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.Kuliah\Tugas Akhir\DroneControl\Karakteristik\dengan navdata\"/>
    </mc:Choice>
  </mc:AlternateContent>
  <xr:revisionPtr revIDLastSave="0" documentId="13_ncr:1_{C58FF5F9-3109-4258-B755-E2EC528E50F7}" xr6:coauthVersionLast="47" xr6:coauthVersionMax="47" xr10:uidLastSave="{00000000-0000-0000-0000-000000000000}"/>
  <bookViews>
    <workbookView xWindow="-108" yWindow="-108" windowWidth="23256" windowHeight="12456" xr2:uid="{61E742AA-720A-4AA9-9915-81BD8E2F7D40}"/>
  </bookViews>
  <sheets>
    <sheet name="Rekap" sheetId="21" r:id="rId1"/>
    <sheet name="Maju 0.05" sheetId="4" r:id="rId2"/>
    <sheet name="Maju 0.1" sheetId="26" r:id="rId3"/>
    <sheet name="Sheet1" sheetId="23" r:id="rId4"/>
  </sheets>
  <definedNames>
    <definedName name="solver_adj" localSheetId="1" hidden="1">'Maju 0.05'!$AK$1:$AK$3</definedName>
    <definedName name="solver_adj" localSheetId="2" hidden="1">'Maju 0.1'!$AM$1:$AM$3</definedName>
    <definedName name="solver_cvg" localSheetId="1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2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drv" localSheetId="1" hidden="1">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est" localSheetId="1" hidden="1">1</definedName>
    <definedName name="solver_est" localSheetId="2" hidden="1">1</definedName>
    <definedName name="solver_itr" localSheetId="1" hidden="1">2147483647</definedName>
    <definedName name="solver_itr" localSheetId="2" hidden="1">2147483647</definedName>
    <definedName name="solver_lhs1" localSheetId="1" hidden="1">'Maju 0.05'!$AK$1</definedName>
    <definedName name="solver_lhs1" localSheetId="2" hidden="1">'Maju 0.1'!$AM$1</definedName>
    <definedName name="solver_lhs2" localSheetId="1" hidden="1">'Maju 0.05'!$AK$2</definedName>
    <definedName name="solver_lhs2" localSheetId="2" hidden="1">'Maju 0.1'!$AM$2</definedName>
    <definedName name="solver_lhs3" localSheetId="1" hidden="1">'Maju 0.05'!$AK$3</definedName>
    <definedName name="solver_lhs3" localSheetId="2" hidden="1">'Maju 0.1'!$AM$3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2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0</definedName>
    <definedName name="solver_num" localSheetId="2" hidden="1">0</definedName>
    <definedName name="solver_nwt" localSheetId="1" hidden="1">1</definedName>
    <definedName name="solver_nwt" localSheetId="2" hidden="1">1</definedName>
    <definedName name="solver_opt" localSheetId="1" hidden="1">'Maju 0.05'!$AK$4</definedName>
    <definedName name="solver_opt" localSheetId="2" hidden="1">'Maju 0.1'!$AM$4</definedName>
    <definedName name="solver_pre" localSheetId="1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2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rbv" localSheetId="1" hidden="1">1</definedName>
    <definedName name="solver_rbv" localSheetId="2" hidden="1">1</definedName>
    <definedName name="solver_rel1" localSheetId="1" hidden="1">3</definedName>
    <definedName name="solver_rel1" localSheetId="2" hidden="1">3</definedName>
    <definedName name="solver_rel2" localSheetId="1" hidden="1">3</definedName>
    <definedName name="solver_rel2" localSheetId="2" hidden="1">3</definedName>
    <definedName name="solver_rel3" localSheetId="1" hidden="1">3</definedName>
    <definedName name="solver_rel3" localSheetId="2" hidden="1">3</definedName>
    <definedName name="solver_rhs1" localSheetId="1" hidden="1">1</definedName>
    <definedName name="solver_rhs1" localSheetId="2" hidden="1">1</definedName>
    <definedName name="solver_rhs2" localSheetId="1" hidden="1">1</definedName>
    <definedName name="solver_rhs2" localSheetId="2" hidden="1">1</definedName>
    <definedName name="solver_rhs3" localSheetId="1" hidden="1">1</definedName>
    <definedName name="solver_rhs3" localSheetId="2" hidden="1">1</definedName>
    <definedName name="solver_rlx" localSheetId="1" hidden="1">2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1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1</definedName>
    <definedName name="solver_tol" localSheetId="2" hidden="1">1</definedName>
    <definedName name="solver_typ" localSheetId="1" hidden="1">2</definedName>
    <definedName name="solver_typ" localSheetId="2" hidden="1">2</definedName>
    <definedName name="solver_val" localSheetId="1" hidden="1">0</definedName>
    <definedName name="solver_val" localSheetId="2" hidden="1">0</definedName>
    <definedName name="solver_ver" localSheetId="1" hidden="1">3</definedName>
    <definedName name="solver_ver" localSheetId="2" hidden="1">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3" l="1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B58" i="23"/>
  <c r="B59" i="23"/>
  <c r="B60" i="23"/>
  <c r="B61" i="23"/>
  <c r="B62" i="23"/>
  <c r="B63" i="23"/>
  <c r="B64" i="23"/>
  <c r="B65" i="23"/>
  <c r="B66" i="23"/>
  <c r="B67" i="23"/>
  <c r="B68" i="23"/>
  <c r="B69" i="23"/>
  <c r="B70" i="23"/>
  <c r="B71" i="23"/>
  <c r="B72" i="23"/>
  <c r="B73" i="23"/>
  <c r="B74" i="23"/>
  <c r="B75" i="23"/>
  <c r="B76" i="23"/>
  <c r="B77" i="23"/>
  <c r="B78" i="23"/>
  <c r="B79" i="23"/>
  <c r="B80" i="23"/>
  <c r="B81" i="23"/>
  <c r="B82" i="23"/>
  <c r="B83" i="23"/>
  <c r="B84" i="23"/>
  <c r="B85" i="23"/>
  <c r="B86" i="23"/>
  <c r="B87" i="23"/>
  <c r="B88" i="23"/>
  <c r="B89" i="23"/>
  <c r="B90" i="23"/>
  <c r="B91" i="23"/>
  <c r="B92" i="23"/>
  <c r="B93" i="23"/>
  <c r="B94" i="23"/>
  <c r="B95" i="23"/>
  <c r="B96" i="23"/>
  <c r="B97" i="23"/>
  <c r="B98" i="23"/>
  <c r="B99" i="23"/>
  <c r="B100" i="23"/>
  <c r="B101" i="23"/>
  <c r="B102" i="23"/>
  <c r="B103" i="23"/>
  <c r="B104" i="23"/>
  <c r="B105" i="23"/>
  <c r="B106" i="23"/>
  <c r="B107" i="23"/>
  <c r="B108" i="23"/>
  <c r="B109" i="23"/>
  <c r="B110" i="23"/>
  <c r="B111" i="23"/>
  <c r="B112" i="23"/>
  <c r="B113" i="23"/>
  <c r="B114" i="23"/>
  <c r="B115" i="23"/>
  <c r="B116" i="23"/>
  <c r="B117" i="23"/>
  <c r="B118" i="23"/>
  <c r="B119" i="23"/>
  <c r="B120" i="23"/>
  <c r="B121" i="23"/>
  <c r="B122" i="23"/>
  <c r="B123" i="23"/>
  <c r="B124" i="23"/>
  <c r="B125" i="23"/>
  <c r="B126" i="23"/>
  <c r="B127" i="23"/>
  <c r="B128" i="23"/>
  <c r="B129" i="23"/>
  <c r="B130" i="23"/>
  <c r="B131" i="23"/>
  <c r="B132" i="23"/>
  <c r="B133" i="23"/>
  <c r="B134" i="23"/>
  <c r="B135" i="23"/>
  <c r="B136" i="23"/>
  <c r="B137" i="23"/>
  <c r="B138" i="23"/>
  <c r="B139" i="23"/>
  <c r="B140" i="23"/>
  <c r="B141" i="23"/>
  <c r="B142" i="23"/>
  <c r="B143" i="23"/>
  <c r="B144" i="23"/>
  <c r="B145" i="23"/>
  <c r="B146" i="23"/>
  <c r="B147" i="23"/>
  <c r="B148" i="23"/>
  <c r="B149" i="23"/>
  <c r="B150" i="23"/>
  <c r="B151" i="23"/>
  <c r="B152" i="23"/>
  <c r="B153" i="23"/>
  <c r="B154" i="23"/>
  <c r="B155" i="23"/>
  <c r="B156" i="23"/>
  <c r="B157" i="23"/>
  <c r="B158" i="23"/>
  <c r="B159" i="23"/>
  <c r="B160" i="23"/>
  <c r="B161" i="23"/>
  <c r="B162" i="23"/>
  <c r="B163" i="23"/>
  <c r="B164" i="23"/>
  <c r="B165" i="23"/>
  <c r="B166" i="23"/>
  <c r="B167" i="23"/>
  <c r="B168" i="23"/>
  <c r="B169" i="23"/>
  <c r="B170" i="23"/>
  <c r="B171" i="23"/>
  <c r="B172" i="23"/>
  <c r="B173" i="23"/>
  <c r="B174" i="23"/>
  <c r="B175" i="23"/>
  <c r="B176" i="23"/>
  <c r="B177" i="23"/>
  <c r="B178" i="23"/>
  <c r="B179" i="23"/>
  <c r="B180" i="23"/>
  <c r="B181" i="23"/>
  <c r="B182" i="23"/>
  <c r="B183" i="23"/>
  <c r="B184" i="23"/>
  <c r="B185" i="23"/>
  <c r="B186" i="23"/>
  <c r="B187" i="23"/>
  <c r="B188" i="23"/>
  <c r="B189" i="23"/>
  <c r="B190" i="23"/>
  <c r="B191" i="23"/>
  <c r="B192" i="23"/>
  <c r="B193" i="23"/>
  <c r="B194" i="23"/>
  <c r="B195" i="23"/>
  <c r="B196" i="23"/>
  <c r="B197" i="23"/>
  <c r="B198" i="23"/>
  <c r="B199" i="23"/>
  <c r="B200" i="23"/>
  <c r="B201" i="23"/>
  <c r="B202" i="23"/>
  <c r="B203" i="23"/>
  <c r="B204" i="23"/>
  <c r="B205" i="23"/>
  <c r="B206" i="23"/>
  <c r="B207" i="23"/>
  <c r="B208" i="23"/>
  <c r="B209" i="23"/>
  <c r="B210" i="23"/>
  <c r="B211" i="23"/>
  <c r="B212" i="23"/>
  <c r="B213" i="23"/>
  <c r="B214" i="23"/>
  <c r="B215" i="23"/>
  <c r="B216" i="23"/>
  <c r="B217" i="23"/>
  <c r="B218" i="23"/>
  <c r="B219" i="23"/>
  <c r="B220" i="23"/>
  <c r="B221" i="23"/>
  <c r="B222" i="23"/>
  <c r="B223" i="23"/>
  <c r="B224" i="23"/>
  <c r="B225" i="23"/>
  <c r="B226" i="23"/>
  <c r="B227" i="23"/>
  <c r="B228" i="23"/>
  <c r="B229" i="23"/>
  <c r="B230" i="23"/>
  <c r="B231" i="23"/>
  <c r="B232" i="23"/>
  <c r="B233" i="23"/>
  <c r="B234" i="23"/>
  <c r="B235" i="23"/>
  <c r="B236" i="23"/>
  <c r="B237" i="23"/>
  <c r="B238" i="23"/>
  <c r="B239" i="23"/>
  <c r="B240" i="23"/>
  <c r="B241" i="23"/>
  <c r="B242" i="23"/>
  <c r="B243" i="23"/>
  <c r="B244" i="23"/>
  <c r="B245" i="23"/>
  <c r="B246" i="23"/>
  <c r="B247" i="23"/>
  <c r="B248" i="23"/>
  <c r="B249" i="23"/>
  <c r="B250" i="23"/>
  <c r="B251" i="23"/>
  <c r="B252" i="23"/>
  <c r="B253" i="23"/>
  <c r="B254" i="23"/>
  <c r="B255" i="23"/>
  <c r="B256" i="23"/>
  <c r="B257" i="23"/>
  <c r="B258" i="23"/>
  <c r="B259" i="23"/>
  <c r="B260" i="23"/>
  <c r="B261" i="23"/>
  <c r="B262" i="23"/>
  <c r="B263" i="23"/>
  <c r="B264" i="23"/>
  <c r="B265" i="23"/>
  <c r="B266" i="23"/>
  <c r="B267" i="23"/>
  <c r="B268" i="23"/>
  <c r="B269" i="23"/>
  <c r="B270" i="23"/>
  <c r="B271" i="23"/>
  <c r="B272" i="23"/>
  <c r="B273" i="23"/>
  <c r="B274" i="23"/>
  <c r="B275" i="23"/>
  <c r="B276" i="23"/>
  <c r="B277" i="23"/>
  <c r="B278" i="23"/>
  <c r="B279" i="23"/>
  <c r="B280" i="23"/>
  <c r="B281" i="23"/>
  <c r="B282" i="23"/>
  <c r="B283" i="23"/>
  <c r="B284" i="23"/>
  <c r="B285" i="23"/>
  <c r="B286" i="23"/>
  <c r="B287" i="23"/>
  <c r="B288" i="23"/>
  <c r="B289" i="23"/>
  <c r="B290" i="23"/>
  <c r="B291" i="23"/>
  <c r="B292" i="23"/>
  <c r="B293" i="23"/>
  <c r="B294" i="23"/>
  <c r="B295" i="23"/>
  <c r="B296" i="23"/>
  <c r="B297" i="23"/>
  <c r="B298" i="23"/>
  <c r="B299" i="23"/>
  <c r="B300" i="23"/>
  <c r="B301" i="23"/>
  <c r="B302" i="23"/>
  <c r="B303" i="23"/>
  <c r="B304" i="23"/>
  <c r="B305" i="23"/>
  <c r="B306" i="23"/>
  <c r="B307" i="23"/>
  <c r="B308" i="23"/>
  <c r="B309" i="23"/>
  <c r="B310" i="23"/>
  <c r="B311" i="23"/>
  <c r="B312" i="23"/>
  <c r="B313" i="23"/>
  <c r="B314" i="23"/>
  <c r="B315" i="23"/>
  <c r="B316" i="23"/>
  <c r="B317" i="23"/>
  <c r="B318" i="23"/>
  <c r="B319" i="23"/>
  <c r="B320" i="23"/>
  <c r="B321" i="23"/>
  <c r="B322" i="23"/>
  <c r="B323" i="23"/>
  <c r="B324" i="23"/>
  <c r="B325" i="23"/>
  <c r="B326" i="23"/>
  <c r="B327" i="23"/>
  <c r="B328" i="23"/>
  <c r="B329" i="23"/>
  <c r="B330" i="23"/>
  <c r="B331" i="23"/>
  <c r="B332" i="23"/>
  <c r="B333" i="23"/>
  <c r="B334" i="23"/>
  <c r="B335" i="23"/>
  <c r="B336" i="23"/>
  <c r="B337" i="23"/>
  <c r="B338" i="23"/>
  <c r="B339" i="23"/>
  <c r="B340" i="23"/>
  <c r="B341" i="23"/>
  <c r="B342" i="23"/>
  <c r="B343" i="23"/>
  <c r="B344" i="23"/>
  <c r="B345" i="23"/>
  <c r="B346" i="23"/>
  <c r="B347" i="23"/>
  <c r="B348" i="23"/>
  <c r="B349" i="23"/>
  <c r="B350" i="23"/>
  <c r="B351" i="23"/>
  <c r="B352" i="23"/>
  <c r="B353" i="23"/>
  <c r="B354" i="23"/>
  <c r="B355" i="23"/>
  <c r="B356" i="23"/>
  <c r="B357" i="23"/>
  <c r="B358" i="23"/>
  <c r="B359" i="23"/>
  <c r="B360" i="23"/>
  <c r="B361" i="23"/>
  <c r="B362" i="23"/>
  <c r="B363" i="23"/>
  <c r="B364" i="23"/>
  <c r="B365" i="23"/>
  <c r="B366" i="23"/>
  <c r="B367" i="23"/>
  <c r="B368" i="23"/>
  <c r="B369" i="23"/>
  <c r="B370" i="23"/>
  <c r="B371" i="23"/>
  <c r="B372" i="23"/>
  <c r="B373" i="23"/>
  <c r="B374" i="23"/>
  <c r="B375" i="23"/>
  <c r="B376" i="23"/>
  <c r="B377" i="23"/>
  <c r="B378" i="23"/>
  <c r="B379" i="23"/>
  <c r="B380" i="23"/>
  <c r="B381" i="23"/>
  <c r="B382" i="23"/>
  <c r="B383" i="23"/>
  <c r="B384" i="23"/>
  <c r="B385" i="23"/>
  <c r="B386" i="23"/>
  <c r="B387" i="23"/>
  <c r="B388" i="23"/>
  <c r="B389" i="23"/>
  <c r="B390" i="23"/>
  <c r="B391" i="23"/>
  <c r="B392" i="23"/>
  <c r="B393" i="23"/>
  <c r="B394" i="23"/>
  <c r="B395" i="23"/>
  <c r="B396" i="23"/>
  <c r="B397" i="23"/>
  <c r="B398" i="23"/>
  <c r="B399" i="23"/>
  <c r="B400" i="23"/>
  <c r="B401" i="23"/>
  <c r="B402" i="23"/>
  <c r="B403" i="23"/>
  <c r="B404" i="23"/>
  <c r="B405" i="23"/>
  <c r="B406" i="23"/>
  <c r="B407" i="23"/>
  <c r="B408" i="23"/>
  <c r="B409" i="23"/>
  <c r="B410" i="23"/>
  <c r="B411" i="23"/>
  <c r="B412" i="23"/>
  <c r="B413" i="23"/>
  <c r="B414" i="23"/>
  <c r="B415" i="23"/>
  <c r="B416" i="23"/>
  <c r="B417" i="23"/>
  <c r="B418" i="23"/>
  <c r="B419" i="23"/>
  <c r="B420" i="23"/>
  <c r="B421" i="23"/>
  <c r="B422" i="23"/>
  <c r="B423" i="23"/>
  <c r="B424" i="23"/>
  <c r="B425" i="23"/>
  <c r="B426" i="23"/>
  <c r="B427" i="23"/>
  <c r="B428" i="23"/>
  <c r="B429" i="23"/>
  <c r="B430" i="23"/>
  <c r="B431" i="23"/>
  <c r="B432" i="23"/>
  <c r="B433" i="23"/>
  <c r="B434" i="23"/>
  <c r="B435" i="23"/>
  <c r="B436" i="23"/>
  <c r="B437" i="23"/>
  <c r="B438" i="23"/>
  <c r="B439" i="23"/>
  <c r="B440" i="23"/>
  <c r="B441" i="23"/>
  <c r="B442" i="23"/>
  <c r="B443" i="23"/>
  <c r="B444" i="23"/>
  <c r="B445" i="23"/>
  <c r="B446" i="23"/>
  <c r="B447" i="23"/>
  <c r="B448" i="23"/>
  <c r="B449" i="23"/>
  <c r="B450" i="23"/>
  <c r="B451" i="23"/>
  <c r="B452" i="23"/>
  <c r="B453" i="23"/>
  <c r="B454" i="23"/>
  <c r="B455" i="23"/>
  <c r="B456" i="23"/>
  <c r="B457" i="23"/>
  <c r="B458" i="23"/>
  <c r="B459" i="23"/>
  <c r="B460" i="23"/>
  <c r="B461" i="23"/>
  <c r="B462" i="23"/>
  <c r="B463" i="23"/>
  <c r="B464" i="23"/>
  <c r="B465" i="23"/>
  <c r="B466" i="23"/>
  <c r="B467" i="23"/>
  <c r="B468" i="23"/>
  <c r="B469" i="23"/>
  <c r="B470" i="23"/>
  <c r="B471" i="23"/>
  <c r="B472" i="23"/>
  <c r="B473" i="23"/>
  <c r="B474" i="23"/>
  <c r="B475" i="23"/>
  <c r="B476" i="23"/>
  <c r="B477" i="23"/>
  <c r="B478" i="23"/>
  <c r="B479" i="23"/>
  <c r="B480" i="23"/>
  <c r="B481" i="23"/>
  <c r="B482" i="23"/>
  <c r="B483" i="23"/>
  <c r="B484" i="23"/>
  <c r="B485" i="23"/>
  <c r="B486" i="23"/>
  <c r="B487" i="23"/>
  <c r="B488" i="23"/>
  <c r="B489" i="23"/>
  <c r="B490" i="23"/>
  <c r="B491" i="23"/>
  <c r="B492" i="23"/>
  <c r="B493" i="23"/>
  <c r="B494" i="23"/>
  <c r="B495" i="23"/>
  <c r="B496" i="23"/>
  <c r="B497" i="23"/>
  <c r="B498" i="23"/>
  <c r="B499" i="23"/>
  <c r="B500" i="23"/>
  <c r="B501" i="23"/>
  <c r="B502" i="23"/>
  <c r="B503" i="23"/>
  <c r="B504" i="23"/>
  <c r="B505" i="23"/>
  <c r="B506" i="23"/>
  <c r="B507" i="23"/>
  <c r="B508" i="23"/>
  <c r="B509" i="23"/>
  <c r="B510" i="23"/>
  <c r="B511" i="23"/>
  <c r="B512" i="23"/>
  <c r="B513" i="23"/>
  <c r="B514" i="23"/>
  <c r="B515" i="23"/>
  <c r="B516" i="23"/>
  <c r="B517" i="23"/>
  <c r="B518" i="23"/>
  <c r="B519" i="23"/>
  <c r="B520" i="23"/>
  <c r="B521" i="23"/>
  <c r="B522" i="23"/>
  <c r="B523" i="23"/>
  <c r="B524" i="23"/>
  <c r="B525" i="23"/>
  <c r="B526" i="23"/>
  <c r="B527" i="23"/>
  <c r="B528" i="23"/>
  <c r="B529" i="23"/>
  <c r="B530" i="23"/>
  <c r="B531" i="23"/>
  <c r="B532" i="23"/>
  <c r="B533" i="23"/>
  <c r="B534" i="23"/>
  <c r="B535" i="23"/>
  <c r="B536" i="23"/>
  <c r="B537" i="23"/>
  <c r="B538" i="23"/>
  <c r="B539" i="23"/>
  <c r="B540" i="23"/>
  <c r="B541" i="23"/>
  <c r="B542" i="23"/>
  <c r="B543" i="23"/>
  <c r="B544" i="23"/>
  <c r="B545" i="23"/>
  <c r="B546" i="23"/>
  <c r="B547" i="23"/>
  <c r="B548" i="23"/>
  <c r="B549" i="23"/>
  <c r="B550" i="23"/>
  <c r="B551" i="23"/>
  <c r="B552" i="23"/>
  <c r="B553" i="23"/>
  <c r="B554" i="23"/>
  <c r="B555" i="23"/>
  <c r="B556" i="23"/>
  <c r="B557" i="23"/>
  <c r="B558" i="23"/>
  <c r="B559" i="23"/>
  <c r="B560" i="23"/>
  <c r="B561" i="23"/>
  <c r="B562" i="23"/>
  <c r="B563" i="23"/>
  <c r="B564" i="23"/>
  <c r="B565" i="23"/>
  <c r="B566" i="23"/>
  <c r="B567" i="23"/>
  <c r="B568" i="23"/>
  <c r="B569" i="23"/>
  <c r="B570" i="23"/>
  <c r="B571" i="23"/>
  <c r="B572" i="23"/>
  <c r="B573" i="23"/>
  <c r="B574" i="23"/>
  <c r="B575" i="23"/>
  <c r="B576" i="23"/>
  <c r="B577" i="23"/>
  <c r="B578" i="23"/>
  <c r="B579" i="23"/>
  <c r="B580" i="23"/>
  <c r="B581" i="23"/>
  <c r="B582" i="23"/>
  <c r="B583" i="23"/>
  <c r="B584" i="23"/>
  <c r="B585" i="23"/>
  <c r="B586" i="23"/>
  <c r="B587" i="23"/>
  <c r="B588" i="23"/>
  <c r="B589" i="23"/>
  <c r="B590" i="23"/>
  <c r="B591" i="23"/>
  <c r="B592" i="23"/>
  <c r="B593" i="23"/>
  <c r="B594" i="23"/>
  <c r="B595" i="23"/>
  <c r="B596" i="23"/>
  <c r="B597" i="23"/>
  <c r="B598" i="23"/>
  <c r="B599" i="23"/>
  <c r="B600" i="23"/>
  <c r="B601" i="23"/>
  <c r="B602" i="23"/>
  <c r="B603" i="23"/>
  <c r="B604" i="23"/>
  <c r="B605" i="23"/>
  <c r="B606" i="23"/>
  <c r="B607" i="23"/>
  <c r="B608" i="23"/>
  <c r="B609" i="23"/>
  <c r="B610" i="23"/>
  <c r="B611" i="23"/>
  <c r="B612" i="23"/>
  <c r="B613" i="23"/>
  <c r="B614" i="23"/>
  <c r="B615" i="23"/>
  <c r="B3" i="23"/>
  <c r="B2" i="23"/>
  <c r="AA7" i="26"/>
  <c r="V22" i="26" l="1"/>
  <c r="V21" i="26" s="1"/>
  <c r="V20" i="26" s="1"/>
  <c r="V19" i="26" s="1"/>
  <c r="V18" i="26" s="1"/>
  <c r="V17" i="26" s="1"/>
  <c r="V16" i="26" s="1"/>
  <c r="V15" i="26" s="1"/>
  <c r="V14" i="26" s="1"/>
  <c r="V13" i="26" s="1"/>
  <c r="V12" i="26" s="1"/>
  <c r="V11" i="26" s="1"/>
  <c r="V10" i="26" s="1"/>
  <c r="V9" i="26" s="1"/>
  <c r="V8" i="26" s="1"/>
  <c r="V7" i="26" s="1"/>
  <c r="V23" i="26"/>
  <c r="V432" i="26"/>
  <c r="V400" i="26"/>
  <c r="V275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7" i="26"/>
  <c r="K3" i="26"/>
  <c r="K4" i="26"/>
  <c r="AA18" i="26" s="1"/>
  <c r="A19" i="23"/>
  <c r="D416" i="26"/>
  <c r="D384" i="26"/>
  <c r="D259" i="26"/>
  <c r="AE8" i="26"/>
  <c r="AE9" i="26"/>
  <c r="AE10" i="26"/>
  <c r="AE11" i="26"/>
  <c r="AE12" i="26"/>
  <c r="AE13" i="26"/>
  <c r="AE14" i="26"/>
  <c r="AE15" i="26"/>
  <c r="AE7" i="26"/>
  <c r="AA509" i="26" l="1"/>
  <c r="AA197" i="26"/>
  <c r="AA232" i="26"/>
  <c r="AA593" i="26"/>
  <c r="AA485" i="26"/>
  <c r="AA413" i="26"/>
  <c r="AA329" i="26"/>
  <c r="AA257" i="26"/>
  <c r="AA149" i="26"/>
  <c r="AA65" i="26"/>
  <c r="AA580" i="26"/>
  <c r="AA508" i="26"/>
  <c r="AA424" i="26"/>
  <c r="AA328" i="26"/>
  <c r="AA244" i="26"/>
  <c r="AA160" i="26"/>
  <c r="AA64" i="26"/>
  <c r="AA615" i="26"/>
  <c r="AA603" i="26"/>
  <c r="AA591" i="26"/>
  <c r="AA579" i="26"/>
  <c r="AA567" i="26"/>
  <c r="AA555" i="26"/>
  <c r="AA543" i="26"/>
  <c r="AA531" i="26"/>
  <c r="AA519" i="26"/>
  <c r="AA507" i="26"/>
  <c r="AA495" i="26"/>
  <c r="AA483" i="26"/>
  <c r="AA471" i="26"/>
  <c r="AA459" i="26"/>
  <c r="AA447" i="26"/>
  <c r="AA435" i="26"/>
  <c r="AA423" i="26"/>
  <c r="AA411" i="26"/>
  <c r="AA399" i="26"/>
  <c r="AA387" i="26"/>
  <c r="AA375" i="26"/>
  <c r="AA363" i="26"/>
  <c r="AA351" i="26"/>
  <c r="AA339" i="26"/>
  <c r="AA327" i="26"/>
  <c r="AA315" i="26"/>
  <c r="AA303" i="26"/>
  <c r="AA291" i="26"/>
  <c r="AA279" i="26"/>
  <c r="AA267" i="26"/>
  <c r="AA255" i="26"/>
  <c r="AA243" i="26"/>
  <c r="AA231" i="26"/>
  <c r="AA219" i="26"/>
  <c r="AA207" i="26"/>
  <c r="AA195" i="26"/>
  <c r="AA183" i="26"/>
  <c r="AA171" i="26"/>
  <c r="AA159" i="26"/>
  <c r="AA147" i="26"/>
  <c r="AA135" i="26"/>
  <c r="AA123" i="26"/>
  <c r="AA111" i="26"/>
  <c r="AA99" i="26"/>
  <c r="AA87" i="26"/>
  <c r="AA75" i="26"/>
  <c r="AA63" i="26"/>
  <c r="AA51" i="26"/>
  <c r="AA39" i="26"/>
  <c r="AA27" i="26"/>
  <c r="AA15" i="26"/>
  <c r="AA581" i="26"/>
  <c r="AA473" i="26"/>
  <c r="AA401" i="26"/>
  <c r="AA317" i="26"/>
  <c r="AA245" i="26"/>
  <c r="AA125" i="26"/>
  <c r="AA41" i="26"/>
  <c r="AA556" i="26"/>
  <c r="AA484" i="26"/>
  <c r="AA436" i="26"/>
  <c r="AA376" i="26"/>
  <c r="AA280" i="26"/>
  <c r="AA196" i="26"/>
  <c r="AA112" i="26"/>
  <c r="AA28" i="26"/>
  <c r="AA614" i="26"/>
  <c r="AA602" i="26"/>
  <c r="AA590" i="26"/>
  <c r="AA578" i="26"/>
  <c r="AA566" i="26"/>
  <c r="AA554" i="26"/>
  <c r="AA542" i="26"/>
  <c r="AA530" i="26"/>
  <c r="AA518" i="26"/>
  <c r="AA506" i="26"/>
  <c r="AA494" i="26"/>
  <c r="AA482" i="26"/>
  <c r="AA470" i="26"/>
  <c r="AA458" i="26"/>
  <c r="AA446" i="26"/>
  <c r="AA434" i="26"/>
  <c r="AA422" i="26"/>
  <c r="AA410" i="26"/>
  <c r="AA398" i="26"/>
  <c r="AA386" i="26"/>
  <c r="AA374" i="26"/>
  <c r="AA362" i="26"/>
  <c r="AA350" i="26"/>
  <c r="AA338" i="26"/>
  <c r="AA326" i="26"/>
  <c r="AA314" i="26"/>
  <c r="AA302" i="26"/>
  <c r="AA290" i="26"/>
  <c r="AA278" i="26"/>
  <c r="AA266" i="26"/>
  <c r="AA254" i="26"/>
  <c r="AA242" i="26"/>
  <c r="AA230" i="26"/>
  <c r="AA218" i="26"/>
  <c r="AA206" i="26"/>
  <c r="AA194" i="26"/>
  <c r="AA182" i="26"/>
  <c r="AA170" i="26"/>
  <c r="AA158" i="26"/>
  <c r="AA146" i="26"/>
  <c r="AA134" i="26"/>
  <c r="AA122" i="26"/>
  <c r="AA110" i="26"/>
  <c r="AA98" i="26"/>
  <c r="AA86" i="26"/>
  <c r="AA74" i="26"/>
  <c r="AA62" i="26"/>
  <c r="AA50" i="26"/>
  <c r="AA38" i="26"/>
  <c r="AA26" i="26"/>
  <c r="AA14" i="26"/>
  <c r="AA497" i="26"/>
  <c r="AA209" i="26"/>
  <c r="AA472" i="26"/>
  <c r="AA292" i="26"/>
  <c r="AA148" i="26"/>
  <c r="AA613" i="26"/>
  <c r="AA601" i="26"/>
  <c r="AA589" i="26"/>
  <c r="AA577" i="26"/>
  <c r="AA565" i="26"/>
  <c r="AA553" i="26"/>
  <c r="AA541" i="26"/>
  <c r="AA529" i="26"/>
  <c r="AA517" i="26"/>
  <c r="AA505" i="26"/>
  <c r="AA493" i="26"/>
  <c r="AA481" i="26"/>
  <c r="AA469" i="26"/>
  <c r="AA457" i="26"/>
  <c r="AA445" i="26"/>
  <c r="AA433" i="26"/>
  <c r="AA421" i="26"/>
  <c r="AA409" i="26"/>
  <c r="AA397" i="26"/>
  <c r="AA385" i="26"/>
  <c r="AA373" i="26"/>
  <c r="AA361" i="26"/>
  <c r="AA349" i="26"/>
  <c r="AA337" i="26"/>
  <c r="AA325" i="26"/>
  <c r="AA313" i="26"/>
  <c r="AA301" i="26"/>
  <c r="AA289" i="26"/>
  <c r="AA277" i="26"/>
  <c r="AA265" i="26"/>
  <c r="AA253" i="26"/>
  <c r="AA241" i="26"/>
  <c r="AA229" i="26"/>
  <c r="AA217" i="26"/>
  <c r="AA205" i="26"/>
  <c r="AA193" i="26"/>
  <c r="AA181" i="26"/>
  <c r="AA169" i="26"/>
  <c r="AA157" i="26"/>
  <c r="AA145" i="26"/>
  <c r="AA133" i="26"/>
  <c r="AA121" i="26"/>
  <c r="AA109" i="26"/>
  <c r="AA97" i="26"/>
  <c r="AA85" i="26"/>
  <c r="AA73" i="26"/>
  <c r="AA61" i="26"/>
  <c r="AA49" i="26"/>
  <c r="AA37" i="26"/>
  <c r="AA25" i="26"/>
  <c r="AA13" i="26"/>
  <c r="AA557" i="26"/>
  <c r="AA437" i="26"/>
  <c r="AA353" i="26"/>
  <c r="AA281" i="26"/>
  <c r="AA185" i="26"/>
  <c r="AA113" i="26"/>
  <c r="AA29" i="26"/>
  <c r="AA532" i="26"/>
  <c r="AA412" i="26"/>
  <c r="AA316" i="26"/>
  <c r="AA220" i="26"/>
  <c r="AA136" i="26"/>
  <c r="AA40" i="26"/>
  <c r="AA612" i="26"/>
  <c r="AA600" i="26"/>
  <c r="AA588" i="26"/>
  <c r="AA576" i="26"/>
  <c r="AA564" i="26"/>
  <c r="AA552" i="26"/>
  <c r="AA540" i="26"/>
  <c r="AA528" i="26"/>
  <c r="AA516" i="26"/>
  <c r="AA504" i="26"/>
  <c r="AA492" i="26"/>
  <c r="AA480" i="26"/>
  <c r="AA468" i="26"/>
  <c r="AA456" i="26"/>
  <c r="AA444" i="26"/>
  <c r="AA432" i="26"/>
  <c r="AA420" i="26"/>
  <c r="AA408" i="26"/>
  <c r="AA396" i="26"/>
  <c r="AA384" i="26"/>
  <c r="AA372" i="26"/>
  <c r="AA360" i="26"/>
  <c r="AA348" i="26"/>
  <c r="AA336" i="26"/>
  <c r="AA324" i="26"/>
  <c r="AA312" i="26"/>
  <c r="AA300" i="26"/>
  <c r="AA288" i="26"/>
  <c r="AA276" i="26"/>
  <c r="AA264" i="26"/>
  <c r="AA252" i="26"/>
  <c r="AA240" i="26"/>
  <c r="AA228" i="26"/>
  <c r="AA216" i="26"/>
  <c r="AA204" i="26"/>
  <c r="AA192" i="26"/>
  <c r="AA180" i="26"/>
  <c r="AA168" i="26"/>
  <c r="AA156" i="26"/>
  <c r="AA144" i="26"/>
  <c r="AA132" i="26"/>
  <c r="AA120" i="26"/>
  <c r="AA108" i="26"/>
  <c r="AA96" i="26"/>
  <c r="AA84" i="26"/>
  <c r="AA72" i="26"/>
  <c r="AA60" i="26"/>
  <c r="AA48" i="26"/>
  <c r="AA36" i="26"/>
  <c r="AA24" i="26"/>
  <c r="AA12" i="26"/>
  <c r="AA611" i="26"/>
  <c r="AA599" i="26"/>
  <c r="AA587" i="26"/>
  <c r="AA575" i="26"/>
  <c r="AA563" i="26"/>
  <c r="AA551" i="26"/>
  <c r="AA539" i="26"/>
  <c r="AA527" i="26"/>
  <c r="AA515" i="26"/>
  <c r="AA503" i="26"/>
  <c r="AA491" i="26"/>
  <c r="AA479" i="26"/>
  <c r="AA467" i="26"/>
  <c r="AA455" i="26"/>
  <c r="AA443" i="26"/>
  <c r="AA431" i="26"/>
  <c r="AA419" i="26"/>
  <c r="AA407" i="26"/>
  <c r="AA395" i="26"/>
  <c r="AA383" i="26"/>
  <c r="AA371" i="26"/>
  <c r="AA359" i="26"/>
  <c r="AA347" i="26"/>
  <c r="AA335" i="26"/>
  <c r="AA323" i="26"/>
  <c r="AA311" i="26"/>
  <c r="AA299" i="26"/>
  <c r="AA287" i="26"/>
  <c r="AA275" i="26"/>
  <c r="AA263" i="26"/>
  <c r="AA251" i="26"/>
  <c r="AA239" i="26"/>
  <c r="AA227" i="26"/>
  <c r="AA215" i="26"/>
  <c r="AA203" i="26"/>
  <c r="AA191" i="26"/>
  <c r="AA179" i="26"/>
  <c r="AA167" i="26"/>
  <c r="AA155" i="26"/>
  <c r="AA143" i="26"/>
  <c r="AA131" i="26"/>
  <c r="AA119" i="26"/>
  <c r="AA107" i="26"/>
  <c r="AA95" i="26"/>
  <c r="AA83" i="26"/>
  <c r="AA71" i="26"/>
  <c r="AA59" i="26"/>
  <c r="AA47" i="26"/>
  <c r="AA35" i="26"/>
  <c r="AA23" i="26"/>
  <c r="AA11" i="26"/>
  <c r="AA610" i="26"/>
  <c r="AA598" i="26"/>
  <c r="AA586" i="26"/>
  <c r="AA574" i="26"/>
  <c r="AA562" i="26"/>
  <c r="AA550" i="26"/>
  <c r="AA538" i="26"/>
  <c r="AA526" i="26"/>
  <c r="AA514" i="26"/>
  <c r="AA502" i="26"/>
  <c r="AA490" i="26"/>
  <c r="AA478" i="26"/>
  <c r="AA466" i="26"/>
  <c r="AA454" i="26"/>
  <c r="AA442" i="26"/>
  <c r="AA430" i="26"/>
  <c r="AA418" i="26"/>
  <c r="AA406" i="26"/>
  <c r="AA394" i="26"/>
  <c r="AA382" i="26"/>
  <c r="AA370" i="26"/>
  <c r="AA358" i="26"/>
  <c r="AA346" i="26"/>
  <c r="AA334" i="26"/>
  <c r="AA322" i="26"/>
  <c r="AA310" i="26"/>
  <c r="AA298" i="26"/>
  <c r="AA286" i="26"/>
  <c r="AA274" i="26"/>
  <c r="AA262" i="26"/>
  <c r="AA250" i="26"/>
  <c r="AA238" i="26"/>
  <c r="AA226" i="26"/>
  <c r="AA214" i="26"/>
  <c r="AA202" i="26"/>
  <c r="AA190" i="26"/>
  <c r="AA178" i="26"/>
  <c r="AA166" i="26"/>
  <c r="AA154" i="26"/>
  <c r="AA142" i="26"/>
  <c r="AA130" i="26"/>
  <c r="AA118" i="26"/>
  <c r="AA106" i="26"/>
  <c r="AA94" i="26"/>
  <c r="AA82" i="26"/>
  <c r="AA70" i="26"/>
  <c r="AA58" i="26"/>
  <c r="AA46" i="26"/>
  <c r="AA34" i="26"/>
  <c r="AA22" i="26"/>
  <c r="AA10" i="26"/>
  <c r="AA569" i="26"/>
  <c r="AA461" i="26"/>
  <c r="AA389" i="26"/>
  <c r="AA305" i="26"/>
  <c r="AA233" i="26"/>
  <c r="AA137" i="26"/>
  <c r="AA77" i="26"/>
  <c r="AA604" i="26"/>
  <c r="AA544" i="26"/>
  <c r="AA460" i="26"/>
  <c r="AA352" i="26"/>
  <c r="AA256" i="26"/>
  <c r="AA184" i="26"/>
  <c r="AA100" i="26"/>
  <c r="AA16" i="26"/>
  <c r="AA609" i="26"/>
  <c r="AA597" i="26"/>
  <c r="AA585" i="26"/>
  <c r="AA573" i="26"/>
  <c r="AA561" i="26"/>
  <c r="AA549" i="26"/>
  <c r="AA537" i="26"/>
  <c r="AA525" i="26"/>
  <c r="AA513" i="26"/>
  <c r="AA501" i="26"/>
  <c r="AA489" i="26"/>
  <c r="AA477" i="26"/>
  <c r="AA465" i="26"/>
  <c r="AA453" i="26"/>
  <c r="AA441" i="26"/>
  <c r="AA429" i="26"/>
  <c r="AA417" i="26"/>
  <c r="AA405" i="26"/>
  <c r="AA393" i="26"/>
  <c r="AA381" i="26"/>
  <c r="AA369" i="26"/>
  <c r="AA357" i="26"/>
  <c r="AA345" i="26"/>
  <c r="AA333" i="26"/>
  <c r="AA321" i="26"/>
  <c r="AA309" i="26"/>
  <c r="AA297" i="26"/>
  <c r="AA285" i="26"/>
  <c r="AA273" i="26"/>
  <c r="AA261" i="26"/>
  <c r="AA249" i="26"/>
  <c r="AA237" i="26"/>
  <c r="AA225" i="26"/>
  <c r="AA213" i="26"/>
  <c r="AA201" i="26"/>
  <c r="AA189" i="26"/>
  <c r="AA177" i="26"/>
  <c r="AA165" i="26"/>
  <c r="AA153" i="26"/>
  <c r="AA141" i="26"/>
  <c r="AA129" i="26"/>
  <c r="AA117" i="26"/>
  <c r="AA105" i="26"/>
  <c r="AA93" i="26"/>
  <c r="AA81" i="26"/>
  <c r="AA69" i="26"/>
  <c r="AA57" i="26"/>
  <c r="AA45" i="26"/>
  <c r="AA33" i="26"/>
  <c r="AA21" i="26"/>
  <c r="AA9" i="26"/>
  <c r="AA617" i="26"/>
  <c r="AA545" i="26"/>
  <c r="AA449" i="26"/>
  <c r="AA365" i="26"/>
  <c r="AA293" i="26"/>
  <c r="AA161" i="26"/>
  <c r="AA89" i="26"/>
  <c r="AA616" i="26"/>
  <c r="AA568" i="26"/>
  <c r="AA520" i="26"/>
  <c r="AA448" i="26"/>
  <c r="AA388" i="26"/>
  <c r="AA340" i="26"/>
  <c r="AA268" i="26"/>
  <c r="AA172" i="26"/>
  <c r="AA88" i="26"/>
  <c r="AA620" i="26"/>
  <c r="AA608" i="26"/>
  <c r="AA596" i="26"/>
  <c r="AA584" i="26"/>
  <c r="AA572" i="26"/>
  <c r="AA560" i="26"/>
  <c r="AA548" i="26"/>
  <c r="AA536" i="26"/>
  <c r="AA524" i="26"/>
  <c r="AA512" i="26"/>
  <c r="AA500" i="26"/>
  <c r="AA488" i="26"/>
  <c r="AA476" i="26"/>
  <c r="AA464" i="26"/>
  <c r="AA452" i="26"/>
  <c r="AA440" i="26"/>
  <c r="AA428" i="26"/>
  <c r="AA416" i="26"/>
  <c r="AA404" i="26"/>
  <c r="AA392" i="26"/>
  <c r="AA380" i="26"/>
  <c r="AA368" i="26"/>
  <c r="AA356" i="26"/>
  <c r="AA344" i="26"/>
  <c r="AA332" i="26"/>
  <c r="AA320" i="26"/>
  <c r="AA308" i="26"/>
  <c r="AA296" i="26"/>
  <c r="AA284" i="26"/>
  <c r="AA272" i="26"/>
  <c r="AA260" i="26"/>
  <c r="AA248" i="26"/>
  <c r="AA236" i="26"/>
  <c r="AA224" i="26"/>
  <c r="AA212" i="26"/>
  <c r="AA200" i="26"/>
  <c r="AA188" i="26"/>
  <c r="AA176" i="26"/>
  <c r="AA164" i="26"/>
  <c r="AA152" i="26"/>
  <c r="AA140" i="26"/>
  <c r="AA128" i="26"/>
  <c r="AA116" i="26"/>
  <c r="AA104" i="26"/>
  <c r="AA92" i="26"/>
  <c r="AA80" i="26"/>
  <c r="AA68" i="26"/>
  <c r="AA56" i="26"/>
  <c r="AA44" i="26"/>
  <c r="AA32" i="26"/>
  <c r="AA20" i="26"/>
  <c r="AA8" i="26"/>
  <c r="AA533" i="26"/>
  <c r="AA377" i="26"/>
  <c r="AA221" i="26"/>
  <c r="AA53" i="26"/>
  <c r="AA364" i="26"/>
  <c r="AA76" i="26"/>
  <c r="AA619" i="26"/>
  <c r="AA607" i="26"/>
  <c r="AA595" i="26"/>
  <c r="AA583" i="26"/>
  <c r="AA571" i="26"/>
  <c r="AA559" i="26"/>
  <c r="AA547" i="26"/>
  <c r="AA535" i="26"/>
  <c r="AA523" i="26"/>
  <c r="AA511" i="26"/>
  <c r="AA499" i="26"/>
  <c r="AA487" i="26"/>
  <c r="AA475" i="26"/>
  <c r="AA463" i="26"/>
  <c r="AA451" i="26"/>
  <c r="AA439" i="26"/>
  <c r="AA427" i="26"/>
  <c r="AA415" i="26"/>
  <c r="AA403" i="26"/>
  <c r="AA391" i="26"/>
  <c r="AA379" i="26"/>
  <c r="AA367" i="26"/>
  <c r="AA355" i="26"/>
  <c r="AA343" i="26"/>
  <c r="AA331" i="26"/>
  <c r="AA319" i="26"/>
  <c r="AA307" i="26"/>
  <c r="AA295" i="26"/>
  <c r="AA283" i="26"/>
  <c r="AA271" i="26"/>
  <c r="AA259" i="26"/>
  <c r="AA247" i="26"/>
  <c r="AA235" i="26"/>
  <c r="AA223" i="26"/>
  <c r="AA211" i="26"/>
  <c r="AA199" i="26"/>
  <c r="AA187" i="26"/>
  <c r="AA175" i="26"/>
  <c r="AA163" i="26"/>
  <c r="AA151" i="26"/>
  <c r="AA139" i="26"/>
  <c r="AA127" i="26"/>
  <c r="AA115" i="26"/>
  <c r="AA103" i="26"/>
  <c r="AA91" i="26"/>
  <c r="AA79" i="26"/>
  <c r="AA67" i="26"/>
  <c r="AA55" i="26"/>
  <c r="AA43" i="26"/>
  <c r="AA31" i="26"/>
  <c r="AA19" i="26"/>
  <c r="AA605" i="26"/>
  <c r="AA521" i="26"/>
  <c r="AA425" i="26"/>
  <c r="AA341" i="26"/>
  <c r="AA269" i="26"/>
  <c r="AA173" i="26"/>
  <c r="AA101" i="26"/>
  <c r="AA17" i="26"/>
  <c r="AA592" i="26"/>
  <c r="AA496" i="26"/>
  <c r="AA400" i="26"/>
  <c r="AA304" i="26"/>
  <c r="AA208" i="26"/>
  <c r="AA124" i="26"/>
  <c r="AA52" i="26"/>
  <c r="AA618" i="26"/>
  <c r="AA606" i="26"/>
  <c r="AA594" i="26"/>
  <c r="AA582" i="26"/>
  <c r="AA570" i="26"/>
  <c r="AA558" i="26"/>
  <c r="AA546" i="26"/>
  <c r="AA534" i="26"/>
  <c r="AA522" i="26"/>
  <c r="AA510" i="26"/>
  <c r="AA498" i="26"/>
  <c r="AA486" i="26"/>
  <c r="AA474" i="26"/>
  <c r="AA462" i="26"/>
  <c r="AA450" i="26"/>
  <c r="AA438" i="26"/>
  <c r="AA426" i="26"/>
  <c r="AA414" i="26"/>
  <c r="AA402" i="26"/>
  <c r="AA390" i="26"/>
  <c r="AA378" i="26"/>
  <c r="AA366" i="26"/>
  <c r="AA354" i="26"/>
  <c r="AA342" i="26"/>
  <c r="AA330" i="26"/>
  <c r="AA318" i="26"/>
  <c r="AA306" i="26"/>
  <c r="AA294" i="26"/>
  <c r="AA282" i="26"/>
  <c r="AA270" i="26"/>
  <c r="AA258" i="26"/>
  <c r="AA246" i="26"/>
  <c r="AA234" i="26"/>
  <c r="AA222" i="26"/>
  <c r="AA210" i="26"/>
  <c r="AA198" i="26"/>
  <c r="AA186" i="26"/>
  <c r="AA174" i="26"/>
  <c r="AA162" i="26"/>
  <c r="AA150" i="26"/>
  <c r="AA138" i="26"/>
  <c r="AA126" i="26"/>
  <c r="AA114" i="26"/>
  <c r="AA102" i="26"/>
  <c r="AA90" i="26"/>
  <c r="AA78" i="26"/>
  <c r="AA66" i="26"/>
  <c r="AA54" i="26"/>
  <c r="AA42" i="26"/>
  <c r="AA30" i="26"/>
  <c r="AC7" i="26"/>
  <c r="AB620" i="26"/>
  <c r="D620" i="26"/>
  <c r="C620" i="26"/>
  <c r="B620" i="26"/>
  <c r="AB619" i="26"/>
  <c r="D619" i="26"/>
  <c r="C619" i="26"/>
  <c r="B619" i="26"/>
  <c r="AB618" i="26"/>
  <c r="D618" i="26"/>
  <c r="C618" i="26"/>
  <c r="B618" i="26"/>
  <c r="AB617" i="26"/>
  <c r="D617" i="26"/>
  <c r="C617" i="26"/>
  <c r="B617" i="26"/>
  <c r="AB616" i="26"/>
  <c r="D616" i="26"/>
  <c r="C616" i="26"/>
  <c r="B616" i="26"/>
  <c r="AB615" i="26"/>
  <c r="D615" i="26"/>
  <c r="C615" i="26"/>
  <c r="B615" i="26"/>
  <c r="AB614" i="26"/>
  <c r="D614" i="26"/>
  <c r="C614" i="26"/>
  <c r="B614" i="26"/>
  <c r="AB613" i="26"/>
  <c r="D613" i="26"/>
  <c r="C613" i="26"/>
  <c r="B613" i="26"/>
  <c r="AB612" i="26"/>
  <c r="D612" i="26"/>
  <c r="C612" i="26"/>
  <c r="B612" i="26"/>
  <c r="AB611" i="26"/>
  <c r="D611" i="26"/>
  <c r="C611" i="26"/>
  <c r="B611" i="26"/>
  <c r="AB610" i="26"/>
  <c r="D610" i="26"/>
  <c r="C610" i="26"/>
  <c r="B610" i="26"/>
  <c r="AB609" i="26"/>
  <c r="D609" i="26"/>
  <c r="C609" i="26"/>
  <c r="B609" i="26"/>
  <c r="AB608" i="26"/>
  <c r="D608" i="26"/>
  <c r="C608" i="26"/>
  <c r="B608" i="26"/>
  <c r="AB607" i="26"/>
  <c r="D607" i="26"/>
  <c r="C607" i="26"/>
  <c r="B607" i="26"/>
  <c r="AB606" i="26"/>
  <c r="D606" i="26"/>
  <c r="C606" i="26"/>
  <c r="B606" i="26"/>
  <c r="AB605" i="26"/>
  <c r="D605" i="26"/>
  <c r="C605" i="26"/>
  <c r="B605" i="26"/>
  <c r="AB604" i="26"/>
  <c r="D604" i="26"/>
  <c r="C604" i="26"/>
  <c r="B604" i="26"/>
  <c r="AB603" i="26"/>
  <c r="D603" i="26"/>
  <c r="C603" i="26"/>
  <c r="B603" i="26"/>
  <c r="AB602" i="26"/>
  <c r="D602" i="26"/>
  <c r="C602" i="26"/>
  <c r="B602" i="26"/>
  <c r="AB601" i="26"/>
  <c r="D601" i="26"/>
  <c r="C601" i="26"/>
  <c r="B601" i="26"/>
  <c r="AB600" i="26"/>
  <c r="D600" i="26"/>
  <c r="C600" i="26"/>
  <c r="B600" i="26"/>
  <c r="AB599" i="26"/>
  <c r="D599" i="26"/>
  <c r="C599" i="26"/>
  <c r="B599" i="26"/>
  <c r="AB598" i="26"/>
  <c r="D598" i="26"/>
  <c r="C598" i="26"/>
  <c r="B598" i="26"/>
  <c r="AB597" i="26"/>
  <c r="D597" i="26"/>
  <c r="C597" i="26"/>
  <c r="B597" i="26"/>
  <c r="AB596" i="26"/>
  <c r="D596" i="26"/>
  <c r="C596" i="26"/>
  <c r="B596" i="26"/>
  <c r="AB595" i="26"/>
  <c r="D595" i="26"/>
  <c r="C595" i="26"/>
  <c r="B595" i="26"/>
  <c r="AB594" i="26"/>
  <c r="D594" i="26"/>
  <c r="C594" i="26"/>
  <c r="B594" i="26"/>
  <c r="AB593" i="26"/>
  <c r="D593" i="26"/>
  <c r="C593" i="26"/>
  <c r="B593" i="26"/>
  <c r="AB592" i="26"/>
  <c r="D592" i="26"/>
  <c r="C592" i="26"/>
  <c r="B592" i="26"/>
  <c r="AB591" i="26"/>
  <c r="D591" i="26"/>
  <c r="C591" i="26"/>
  <c r="B591" i="26"/>
  <c r="AB590" i="26"/>
  <c r="D590" i="26"/>
  <c r="C590" i="26"/>
  <c r="B590" i="26"/>
  <c r="AB589" i="26"/>
  <c r="D589" i="26"/>
  <c r="C589" i="26"/>
  <c r="B589" i="26"/>
  <c r="AB588" i="26"/>
  <c r="D588" i="26"/>
  <c r="C588" i="26"/>
  <c r="B588" i="26"/>
  <c r="AB587" i="26"/>
  <c r="D587" i="26"/>
  <c r="C587" i="26"/>
  <c r="B587" i="26"/>
  <c r="AB586" i="26"/>
  <c r="D586" i="26"/>
  <c r="C586" i="26"/>
  <c r="B586" i="26"/>
  <c r="AB585" i="26"/>
  <c r="D585" i="26"/>
  <c r="C585" i="26"/>
  <c r="B585" i="26"/>
  <c r="AB584" i="26"/>
  <c r="D584" i="26"/>
  <c r="C584" i="26"/>
  <c r="B584" i="26"/>
  <c r="AB583" i="26"/>
  <c r="D583" i="26"/>
  <c r="C583" i="26"/>
  <c r="B583" i="26"/>
  <c r="AB582" i="26"/>
  <c r="D582" i="26"/>
  <c r="C582" i="26"/>
  <c r="B582" i="26"/>
  <c r="AB581" i="26"/>
  <c r="D581" i="26"/>
  <c r="C581" i="26"/>
  <c r="B581" i="26"/>
  <c r="AB580" i="26"/>
  <c r="D580" i="26"/>
  <c r="C580" i="26"/>
  <c r="B580" i="26"/>
  <c r="AB579" i="26"/>
  <c r="D579" i="26"/>
  <c r="C579" i="26"/>
  <c r="B579" i="26"/>
  <c r="AB578" i="26"/>
  <c r="D578" i="26"/>
  <c r="C578" i="26"/>
  <c r="B578" i="26"/>
  <c r="AB577" i="26"/>
  <c r="D577" i="26"/>
  <c r="C577" i="26"/>
  <c r="B577" i="26"/>
  <c r="AB576" i="26"/>
  <c r="D576" i="26"/>
  <c r="C576" i="26"/>
  <c r="B576" i="26"/>
  <c r="AB575" i="26"/>
  <c r="D575" i="26"/>
  <c r="C575" i="26"/>
  <c r="B575" i="26"/>
  <c r="AB574" i="26"/>
  <c r="D574" i="26"/>
  <c r="C574" i="26"/>
  <c r="B574" i="26"/>
  <c r="AB573" i="26"/>
  <c r="D573" i="26"/>
  <c r="C573" i="26"/>
  <c r="B573" i="26"/>
  <c r="AB572" i="26"/>
  <c r="D572" i="26"/>
  <c r="C572" i="26"/>
  <c r="B572" i="26"/>
  <c r="AB571" i="26"/>
  <c r="D571" i="26"/>
  <c r="C571" i="26"/>
  <c r="B571" i="26"/>
  <c r="AB570" i="26"/>
  <c r="D570" i="26"/>
  <c r="C570" i="26"/>
  <c r="B570" i="26"/>
  <c r="AB569" i="26"/>
  <c r="D569" i="26"/>
  <c r="C569" i="26"/>
  <c r="B569" i="26"/>
  <c r="AB568" i="26"/>
  <c r="D568" i="26"/>
  <c r="C568" i="26"/>
  <c r="B568" i="26"/>
  <c r="AB567" i="26"/>
  <c r="D567" i="26"/>
  <c r="C567" i="26"/>
  <c r="B567" i="26"/>
  <c r="AB566" i="26"/>
  <c r="D566" i="26"/>
  <c r="C566" i="26"/>
  <c r="B566" i="26"/>
  <c r="AB565" i="26"/>
  <c r="D565" i="26"/>
  <c r="C565" i="26"/>
  <c r="B565" i="26"/>
  <c r="AB564" i="26"/>
  <c r="D564" i="26"/>
  <c r="C564" i="26"/>
  <c r="B564" i="26"/>
  <c r="AB563" i="26"/>
  <c r="D563" i="26"/>
  <c r="C563" i="26"/>
  <c r="B563" i="26"/>
  <c r="AB562" i="26"/>
  <c r="D562" i="26"/>
  <c r="C562" i="26"/>
  <c r="B562" i="26"/>
  <c r="AB561" i="26"/>
  <c r="D561" i="26"/>
  <c r="C561" i="26"/>
  <c r="B561" i="26"/>
  <c r="AB560" i="26"/>
  <c r="D560" i="26"/>
  <c r="C560" i="26"/>
  <c r="B560" i="26"/>
  <c r="AB559" i="26"/>
  <c r="D559" i="26"/>
  <c r="C559" i="26"/>
  <c r="B559" i="26"/>
  <c r="AB558" i="26"/>
  <c r="D558" i="26"/>
  <c r="C558" i="26"/>
  <c r="B558" i="26"/>
  <c r="AB557" i="26"/>
  <c r="D557" i="26"/>
  <c r="C557" i="26"/>
  <c r="B557" i="26"/>
  <c r="AB556" i="26"/>
  <c r="D556" i="26"/>
  <c r="C556" i="26"/>
  <c r="B556" i="26"/>
  <c r="AB555" i="26"/>
  <c r="D555" i="26"/>
  <c r="C555" i="26"/>
  <c r="B555" i="26"/>
  <c r="AB554" i="26"/>
  <c r="D554" i="26"/>
  <c r="C554" i="26"/>
  <c r="B554" i="26"/>
  <c r="AB553" i="26"/>
  <c r="D553" i="26"/>
  <c r="C553" i="26"/>
  <c r="B553" i="26"/>
  <c r="AB552" i="26"/>
  <c r="D552" i="26"/>
  <c r="C552" i="26"/>
  <c r="B552" i="26"/>
  <c r="AB551" i="26"/>
  <c r="D551" i="26"/>
  <c r="C551" i="26"/>
  <c r="B551" i="26"/>
  <c r="AB550" i="26"/>
  <c r="D550" i="26"/>
  <c r="C550" i="26"/>
  <c r="B550" i="26"/>
  <c r="AB549" i="26"/>
  <c r="D549" i="26"/>
  <c r="C549" i="26"/>
  <c r="B549" i="26"/>
  <c r="AB548" i="26"/>
  <c r="D548" i="26"/>
  <c r="C548" i="26"/>
  <c r="B548" i="26"/>
  <c r="AB547" i="26"/>
  <c r="D547" i="26"/>
  <c r="C547" i="26"/>
  <c r="B547" i="26"/>
  <c r="AB546" i="26"/>
  <c r="D546" i="26"/>
  <c r="C546" i="26"/>
  <c r="B546" i="26"/>
  <c r="AB545" i="26"/>
  <c r="D545" i="26"/>
  <c r="C545" i="26"/>
  <c r="B545" i="26"/>
  <c r="AB544" i="26"/>
  <c r="D544" i="26"/>
  <c r="C544" i="26"/>
  <c r="B544" i="26"/>
  <c r="AB543" i="26"/>
  <c r="D543" i="26"/>
  <c r="C543" i="26"/>
  <c r="B543" i="26"/>
  <c r="AB542" i="26"/>
  <c r="D542" i="26"/>
  <c r="C542" i="26"/>
  <c r="B542" i="26"/>
  <c r="AB541" i="26"/>
  <c r="D541" i="26"/>
  <c r="C541" i="26"/>
  <c r="B541" i="26"/>
  <c r="AB540" i="26"/>
  <c r="D540" i="26"/>
  <c r="C540" i="26"/>
  <c r="B540" i="26"/>
  <c r="AB539" i="26"/>
  <c r="D539" i="26"/>
  <c r="C539" i="26"/>
  <c r="B539" i="26"/>
  <c r="AB538" i="26"/>
  <c r="D538" i="26"/>
  <c r="C538" i="26"/>
  <c r="B538" i="26"/>
  <c r="AB537" i="26"/>
  <c r="D537" i="26"/>
  <c r="C537" i="26"/>
  <c r="B537" i="26"/>
  <c r="AB536" i="26"/>
  <c r="D536" i="26"/>
  <c r="C536" i="26"/>
  <c r="B536" i="26"/>
  <c r="AB535" i="26"/>
  <c r="D535" i="26"/>
  <c r="C535" i="26"/>
  <c r="B535" i="26"/>
  <c r="AB534" i="26"/>
  <c r="D534" i="26"/>
  <c r="C534" i="26"/>
  <c r="B534" i="26"/>
  <c r="AB533" i="26"/>
  <c r="D533" i="26"/>
  <c r="C533" i="26"/>
  <c r="B533" i="26"/>
  <c r="AB532" i="26"/>
  <c r="D532" i="26"/>
  <c r="C532" i="26"/>
  <c r="B532" i="26"/>
  <c r="AB531" i="26"/>
  <c r="D531" i="26"/>
  <c r="C531" i="26"/>
  <c r="B531" i="26"/>
  <c r="AB530" i="26"/>
  <c r="D530" i="26"/>
  <c r="C530" i="26"/>
  <c r="B530" i="26"/>
  <c r="AB529" i="26"/>
  <c r="D529" i="26"/>
  <c r="C529" i="26"/>
  <c r="B529" i="26"/>
  <c r="AB528" i="26"/>
  <c r="D528" i="26"/>
  <c r="C528" i="26"/>
  <c r="B528" i="26"/>
  <c r="AB527" i="26"/>
  <c r="D527" i="26"/>
  <c r="C527" i="26"/>
  <c r="B527" i="26"/>
  <c r="AB526" i="26"/>
  <c r="D526" i="26"/>
  <c r="C526" i="26"/>
  <c r="B526" i="26"/>
  <c r="AB525" i="26"/>
  <c r="D525" i="26"/>
  <c r="C525" i="26"/>
  <c r="B525" i="26"/>
  <c r="AB524" i="26"/>
  <c r="D524" i="26"/>
  <c r="C524" i="26"/>
  <c r="B524" i="26"/>
  <c r="AB523" i="26"/>
  <c r="D523" i="26"/>
  <c r="C523" i="26"/>
  <c r="B523" i="26"/>
  <c r="AB522" i="26"/>
  <c r="D522" i="26"/>
  <c r="C522" i="26"/>
  <c r="B522" i="26"/>
  <c r="AB521" i="26"/>
  <c r="D521" i="26"/>
  <c r="C521" i="26"/>
  <c r="B521" i="26"/>
  <c r="AB520" i="26"/>
  <c r="D520" i="26"/>
  <c r="C520" i="26"/>
  <c r="B520" i="26"/>
  <c r="AB519" i="26"/>
  <c r="D519" i="26"/>
  <c r="C519" i="26"/>
  <c r="B519" i="26"/>
  <c r="AB518" i="26"/>
  <c r="D518" i="26"/>
  <c r="C518" i="26"/>
  <c r="B518" i="26"/>
  <c r="AB517" i="26"/>
  <c r="D517" i="26"/>
  <c r="C517" i="26"/>
  <c r="B517" i="26"/>
  <c r="AB516" i="26"/>
  <c r="D516" i="26"/>
  <c r="C516" i="26"/>
  <c r="B516" i="26"/>
  <c r="AB515" i="26"/>
  <c r="D515" i="26"/>
  <c r="C515" i="26"/>
  <c r="B515" i="26"/>
  <c r="AB514" i="26"/>
  <c r="D514" i="26"/>
  <c r="C514" i="26"/>
  <c r="B514" i="26"/>
  <c r="AB513" i="26"/>
  <c r="D513" i="26"/>
  <c r="C513" i="26"/>
  <c r="B513" i="26"/>
  <c r="AB512" i="26"/>
  <c r="D512" i="26"/>
  <c r="C512" i="26"/>
  <c r="B512" i="26"/>
  <c r="AB511" i="26"/>
  <c r="D511" i="26"/>
  <c r="C511" i="26"/>
  <c r="B511" i="26"/>
  <c r="AB510" i="26"/>
  <c r="D510" i="26"/>
  <c r="C510" i="26"/>
  <c r="B510" i="26"/>
  <c r="AB509" i="26"/>
  <c r="D509" i="26"/>
  <c r="C509" i="26"/>
  <c r="B509" i="26"/>
  <c r="AB508" i="26"/>
  <c r="D508" i="26"/>
  <c r="C508" i="26"/>
  <c r="B508" i="26"/>
  <c r="AB507" i="26"/>
  <c r="D507" i="26"/>
  <c r="C507" i="26"/>
  <c r="B507" i="26"/>
  <c r="AB506" i="26"/>
  <c r="D506" i="26"/>
  <c r="C506" i="26"/>
  <c r="B506" i="26"/>
  <c r="AB505" i="26"/>
  <c r="D505" i="26"/>
  <c r="C505" i="26"/>
  <c r="B505" i="26"/>
  <c r="AB504" i="26"/>
  <c r="D504" i="26"/>
  <c r="C504" i="26"/>
  <c r="B504" i="26"/>
  <c r="AB503" i="26"/>
  <c r="D503" i="26"/>
  <c r="C503" i="26"/>
  <c r="B503" i="26"/>
  <c r="AB502" i="26"/>
  <c r="D502" i="26"/>
  <c r="C502" i="26"/>
  <c r="B502" i="26"/>
  <c r="AB501" i="26"/>
  <c r="D501" i="26"/>
  <c r="C501" i="26"/>
  <c r="B501" i="26"/>
  <c r="AB500" i="26"/>
  <c r="D500" i="26"/>
  <c r="C500" i="26"/>
  <c r="B500" i="26"/>
  <c r="AB499" i="26"/>
  <c r="D499" i="26"/>
  <c r="C499" i="26"/>
  <c r="B499" i="26"/>
  <c r="AB498" i="26"/>
  <c r="D498" i="26"/>
  <c r="C498" i="26"/>
  <c r="B498" i="26"/>
  <c r="AB497" i="26"/>
  <c r="D497" i="26"/>
  <c r="C497" i="26"/>
  <c r="B497" i="26"/>
  <c r="AB496" i="26"/>
  <c r="D496" i="26"/>
  <c r="C496" i="26"/>
  <c r="B496" i="26"/>
  <c r="AB495" i="26"/>
  <c r="D495" i="26"/>
  <c r="C495" i="26"/>
  <c r="B495" i="26"/>
  <c r="AB494" i="26"/>
  <c r="D494" i="26"/>
  <c r="C494" i="26"/>
  <c r="B494" i="26"/>
  <c r="AB493" i="26"/>
  <c r="D493" i="26"/>
  <c r="C493" i="26"/>
  <c r="B493" i="26"/>
  <c r="AB492" i="26"/>
  <c r="D492" i="26"/>
  <c r="C492" i="26"/>
  <c r="B492" i="26"/>
  <c r="AB491" i="26"/>
  <c r="D491" i="26"/>
  <c r="C491" i="26"/>
  <c r="B491" i="26"/>
  <c r="AB490" i="26"/>
  <c r="D490" i="26"/>
  <c r="C490" i="26"/>
  <c r="B490" i="26"/>
  <c r="AB489" i="26"/>
  <c r="D489" i="26"/>
  <c r="C489" i="26"/>
  <c r="B489" i="26"/>
  <c r="AB488" i="26"/>
  <c r="D488" i="26"/>
  <c r="C488" i="26"/>
  <c r="B488" i="26"/>
  <c r="AB487" i="26"/>
  <c r="D487" i="26"/>
  <c r="C487" i="26"/>
  <c r="B487" i="26"/>
  <c r="AB486" i="26"/>
  <c r="D486" i="26"/>
  <c r="C486" i="26"/>
  <c r="B486" i="26"/>
  <c r="AB485" i="26"/>
  <c r="D485" i="26"/>
  <c r="C485" i="26"/>
  <c r="B485" i="26"/>
  <c r="AB484" i="26"/>
  <c r="D484" i="26"/>
  <c r="C484" i="26"/>
  <c r="B484" i="26"/>
  <c r="AB483" i="26"/>
  <c r="D483" i="26"/>
  <c r="C483" i="26"/>
  <c r="B483" i="26"/>
  <c r="AB482" i="26"/>
  <c r="D482" i="26"/>
  <c r="C482" i="26"/>
  <c r="B482" i="26"/>
  <c r="AB481" i="26"/>
  <c r="D481" i="26"/>
  <c r="C481" i="26"/>
  <c r="B481" i="26"/>
  <c r="AB480" i="26"/>
  <c r="D480" i="26"/>
  <c r="C480" i="26"/>
  <c r="B480" i="26"/>
  <c r="AB479" i="26"/>
  <c r="D479" i="26"/>
  <c r="C479" i="26"/>
  <c r="B479" i="26"/>
  <c r="AB478" i="26"/>
  <c r="D478" i="26"/>
  <c r="C478" i="26"/>
  <c r="B478" i="26"/>
  <c r="AB477" i="26"/>
  <c r="D477" i="26"/>
  <c r="C477" i="26"/>
  <c r="B477" i="26"/>
  <c r="AB476" i="26"/>
  <c r="D476" i="26"/>
  <c r="C476" i="26"/>
  <c r="B476" i="26"/>
  <c r="AB475" i="26"/>
  <c r="D475" i="26"/>
  <c r="C475" i="26"/>
  <c r="B475" i="26"/>
  <c r="AB474" i="26"/>
  <c r="D474" i="26"/>
  <c r="C474" i="26"/>
  <c r="B474" i="26"/>
  <c r="AB473" i="26"/>
  <c r="D473" i="26"/>
  <c r="C473" i="26"/>
  <c r="B473" i="26"/>
  <c r="AB472" i="26"/>
  <c r="D472" i="26"/>
  <c r="C472" i="26"/>
  <c r="B472" i="26"/>
  <c r="AB471" i="26"/>
  <c r="D471" i="26"/>
  <c r="C471" i="26"/>
  <c r="B471" i="26"/>
  <c r="AB470" i="26"/>
  <c r="D470" i="26"/>
  <c r="C470" i="26"/>
  <c r="B470" i="26"/>
  <c r="AB469" i="26"/>
  <c r="D469" i="26"/>
  <c r="C469" i="26"/>
  <c r="B469" i="26"/>
  <c r="AB468" i="26"/>
  <c r="D468" i="26"/>
  <c r="C468" i="26"/>
  <c r="B468" i="26"/>
  <c r="AB467" i="26"/>
  <c r="D467" i="26"/>
  <c r="C467" i="26"/>
  <c r="B467" i="26"/>
  <c r="AB466" i="26"/>
  <c r="D466" i="26"/>
  <c r="C466" i="26"/>
  <c r="B466" i="26"/>
  <c r="AB465" i="26"/>
  <c r="D465" i="26"/>
  <c r="C465" i="26"/>
  <c r="B465" i="26"/>
  <c r="AB464" i="26"/>
  <c r="D464" i="26"/>
  <c r="C464" i="26"/>
  <c r="B464" i="26"/>
  <c r="AB463" i="26"/>
  <c r="D463" i="26"/>
  <c r="C463" i="26"/>
  <c r="B463" i="26"/>
  <c r="AB462" i="26"/>
  <c r="D462" i="26"/>
  <c r="C462" i="26"/>
  <c r="B462" i="26"/>
  <c r="AB461" i="26"/>
  <c r="D461" i="26"/>
  <c r="C461" i="26"/>
  <c r="B461" i="26"/>
  <c r="AB460" i="26"/>
  <c r="D460" i="26"/>
  <c r="C460" i="26"/>
  <c r="B460" i="26"/>
  <c r="AB459" i="26"/>
  <c r="D459" i="26"/>
  <c r="C459" i="26"/>
  <c r="B459" i="26"/>
  <c r="AB458" i="26"/>
  <c r="D458" i="26"/>
  <c r="C458" i="26"/>
  <c r="B458" i="26"/>
  <c r="AB457" i="26"/>
  <c r="D457" i="26"/>
  <c r="C457" i="26"/>
  <c r="B457" i="26"/>
  <c r="AB456" i="26"/>
  <c r="D456" i="26"/>
  <c r="C456" i="26"/>
  <c r="B456" i="26"/>
  <c r="AB455" i="26"/>
  <c r="D455" i="26"/>
  <c r="C455" i="26"/>
  <c r="B455" i="26"/>
  <c r="AB454" i="26"/>
  <c r="D454" i="26"/>
  <c r="C454" i="26"/>
  <c r="B454" i="26"/>
  <c r="AB453" i="26"/>
  <c r="D453" i="26"/>
  <c r="C453" i="26"/>
  <c r="B453" i="26"/>
  <c r="AB452" i="26"/>
  <c r="D452" i="26"/>
  <c r="C452" i="26"/>
  <c r="B452" i="26"/>
  <c r="AB451" i="26"/>
  <c r="D451" i="26"/>
  <c r="C451" i="26"/>
  <c r="B451" i="26"/>
  <c r="AB450" i="26"/>
  <c r="D450" i="26"/>
  <c r="C450" i="26"/>
  <c r="B450" i="26"/>
  <c r="D449" i="26"/>
  <c r="AD449" i="26" s="1"/>
  <c r="C449" i="26"/>
  <c r="B449" i="26"/>
  <c r="D448" i="26"/>
  <c r="C448" i="26"/>
  <c r="B448" i="26"/>
  <c r="AB447" i="26"/>
  <c r="AB448" i="26" s="1"/>
  <c r="AB449" i="26" s="1"/>
  <c r="D447" i="26"/>
  <c r="C447" i="26"/>
  <c r="B447" i="26"/>
  <c r="AB446" i="26"/>
  <c r="D446" i="26"/>
  <c r="AD446" i="26" s="1"/>
  <c r="C446" i="26"/>
  <c r="B446" i="26"/>
  <c r="AB445" i="26"/>
  <c r="D445" i="26"/>
  <c r="C445" i="26"/>
  <c r="B445" i="26"/>
  <c r="AB444" i="26"/>
  <c r="D444" i="26"/>
  <c r="C444" i="26"/>
  <c r="B444" i="26"/>
  <c r="AB443" i="26"/>
  <c r="D443" i="26"/>
  <c r="AD444" i="26" s="1"/>
  <c r="C443" i="26"/>
  <c r="B443" i="26"/>
  <c r="AB442" i="26"/>
  <c r="D442" i="26"/>
  <c r="C442" i="26"/>
  <c r="B442" i="26"/>
  <c r="AB441" i="26"/>
  <c r="D441" i="26"/>
  <c r="C441" i="26"/>
  <c r="B441" i="26"/>
  <c r="AB440" i="26"/>
  <c r="D440" i="26"/>
  <c r="C440" i="26"/>
  <c r="B440" i="26"/>
  <c r="AB439" i="26"/>
  <c r="D439" i="26"/>
  <c r="C439" i="26"/>
  <c r="B439" i="26"/>
  <c r="AB438" i="26"/>
  <c r="D438" i="26"/>
  <c r="C438" i="26"/>
  <c r="B438" i="26"/>
  <c r="AB437" i="26"/>
  <c r="D437" i="26"/>
  <c r="AD437" i="26" s="1"/>
  <c r="C437" i="26"/>
  <c r="B437" i="26"/>
  <c r="AB436" i="26"/>
  <c r="D436" i="26"/>
  <c r="C436" i="26"/>
  <c r="B436" i="26"/>
  <c r="AB435" i="26"/>
  <c r="D435" i="26"/>
  <c r="C435" i="26"/>
  <c r="B435" i="26"/>
  <c r="AB434" i="26"/>
  <c r="D434" i="26"/>
  <c r="C434" i="26"/>
  <c r="B434" i="26"/>
  <c r="AB433" i="26"/>
  <c r="D433" i="26"/>
  <c r="C433" i="26"/>
  <c r="B433" i="26"/>
  <c r="AB432" i="26"/>
  <c r="D432" i="26"/>
  <c r="C432" i="26"/>
  <c r="B432" i="26"/>
  <c r="AB431" i="26"/>
  <c r="D431" i="26"/>
  <c r="C431" i="26"/>
  <c r="B431" i="26"/>
  <c r="AB430" i="26"/>
  <c r="D430" i="26"/>
  <c r="C430" i="26"/>
  <c r="B430" i="26"/>
  <c r="AB429" i="26"/>
  <c r="D429" i="26"/>
  <c r="C429" i="26"/>
  <c r="B429" i="26"/>
  <c r="AB428" i="26"/>
  <c r="D428" i="26"/>
  <c r="C428" i="26"/>
  <c r="B428" i="26"/>
  <c r="AB427" i="26"/>
  <c r="D427" i="26"/>
  <c r="C427" i="26"/>
  <c r="B427" i="26"/>
  <c r="AB426" i="26"/>
  <c r="D426" i="26"/>
  <c r="C426" i="26"/>
  <c r="B426" i="26"/>
  <c r="AB425" i="26"/>
  <c r="D425" i="26"/>
  <c r="C425" i="26"/>
  <c r="B425" i="26"/>
  <c r="AB424" i="26"/>
  <c r="D424" i="26"/>
  <c r="C424" i="26"/>
  <c r="B424" i="26"/>
  <c r="AB423" i="26"/>
  <c r="D423" i="26"/>
  <c r="C423" i="26"/>
  <c r="B423" i="26"/>
  <c r="AB422" i="26"/>
  <c r="D422" i="26"/>
  <c r="AD422" i="26" s="1"/>
  <c r="C422" i="26"/>
  <c r="B422" i="26"/>
  <c r="AB421" i="26"/>
  <c r="D421" i="26"/>
  <c r="C421" i="26"/>
  <c r="B421" i="26"/>
  <c r="AB420" i="26"/>
  <c r="D420" i="26"/>
  <c r="C420" i="26"/>
  <c r="B420" i="26"/>
  <c r="AB419" i="26"/>
  <c r="D419" i="26"/>
  <c r="C419" i="26"/>
  <c r="B419" i="26"/>
  <c r="AB418" i="26"/>
  <c r="D418" i="26"/>
  <c r="C418" i="26"/>
  <c r="B418" i="26"/>
  <c r="AB417" i="26"/>
  <c r="D417" i="26"/>
  <c r="C417" i="26"/>
  <c r="B417" i="26"/>
  <c r="AB416" i="26"/>
  <c r="C416" i="26"/>
  <c r="B416" i="26"/>
  <c r="D415" i="26"/>
  <c r="C415" i="26"/>
  <c r="B415" i="26"/>
  <c r="AB414" i="26"/>
  <c r="AB415" i="26" s="1"/>
  <c r="D414" i="26"/>
  <c r="AD414" i="26" s="1"/>
  <c r="C414" i="26"/>
  <c r="B414" i="26"/>
  <c r="AB413" i="26"/>
  <c r="D413" i="26"/>
  <c r="C413" i="26"/>
  <c r="B413" i="26"/>
  <c r="AB412" i="26"/>
  <c r="D412" i="26"/>
  <c r="C412" i="26"/>
  <c r="B412" i="26"/>
  <c r="AB411" i="26"/>
  <c r="D411" i="26"/>
  <c r="C411" i="26"/>
  <c r="B411" i="26"/>
  <c r="AB410" i="26"/>
  <c r="D410" i="26"/>
  <c r="C410" i="26"/>
  <c r="B410" i="26"/>
  <c r="AB409" i="26"/>
  <c r="D409" i="26"/>
  <c r="C409" i="26"/>
  <c r="B409" i="26"/>
  <c r="AB408" i="26"/>
  <c r="D408" i="26"/>
  <c r="C408" i="26"/>
  <c r="B408" i="26"/>
  <c r="AB407" i="26"/>
  <c r="D407" i="26"/>
  <c r="C407" i="26"/>
  <c r="B407" i="26"/>
  <c r="AB406" i="26"/>
  <c r="D406" i="26"/>
  <c r="C406" i="26"/>
  <c r="B406" i="26"/>
  <c r="AB405" i="26"/>
  <c r="D405" i="26"/>
  <c r="C405" i="26"/>
  <c r="B405" i="26"/>
  <c r="AB404" i="26"/>
  <c r="D404" i="26"/>
  <c r="C404" i="26"/>
  <c r="B404" i="26"/>
  <c r="AB403" i="26"/>
  <c r="D403" i="26"/>
  <c r="C403" i="26"/>
  <c r="B403" i="26"/>
  <c r="AB402" i="26"/>
  <c r="D402" i="26"/>
  <c r="C402" i="26"/>
  <c r="B402" i="26"/>
  <c r="AB401" i="26"/>
  <c r="D401" i="26"/>
  <c r="C401" i="26"/>
  <c r="B401" i="26"/>
  <c r="AB400" i="26"/>
  <c r="D400" i="26"/>
  <c r="C400" i="26"/>
  <c r="B400" i="26"/>
  <c r="AB399" i="26"/>
  <c r="D399" i="26"/>
  <c r="C399" i="26"/>
  <c r="B399" i="26"/>
  <c r="AB398" i="26"/>
  <c r="D398" i="26"/>
  <c r="C398" i="26"/>
  <c r="B398" i="26"/>
  <c r="AB397" i="26"/>
  <c r="D397" i="26"/>
  <c r="C397" i="26"/>
  <c r="B397" i="26"/>
  <c r="AB396" i="26"/>
  <c r="D396" i="26"/>
  <c r="C396" i="26"/>
  <c r="B396" i="26"/>
  <c r="AB395" i="26"/>
  <c r="D395" i="26"/>
  <c r="C395" i="26"/>
  <c r="B395" i="26"/>
  <c r="AB394" i="26"/>
  <c r="D394" i="26"/>
  <c r="C394" i="26"/>
  <c r="B394" i="26"/>
  <c r="AB393" i="26"/>
  <c r="D393" i="26"/>
  <c r="C393" i="26"/>
  <c r="B393" i="26"/>
  <c r="AB392" i="26"/>
  <c r="D392" i="26"/>
  <c r="C392" i="26"/>
  <c r="B392" i="26"/>
  <c r="AB391" i="26"/>
  <c r="D391" i="26"/>
  <c r="C391" i="26"/>
  <c r="B391" i="26"/>
  <c r="AB390" i="26"/>
  <c r="D390" i="26"/>
  <c r="AD390" i="26" s="1"/>
  <c r="C390" i="26"/>
  <c r="B390" i="26"/>
  <c r="AB389" i="26"/>
  <c r="D389" i="26"/>
  <c r="C389" i="26"/>
  <c r="B389" i="26"/>
  <c r="AB388" i="26"/>
  <c r="D388" i="26"/>
  <c r="AD389" i="26" s="1"/>
  <c r="C388" i="26"/>
  <c r="B388" i="26"/>
  <c r="AB387" i="26"/>
  <c r="D387" i="26"/>
  <c r="C387" i="26"/>
  <c r="B387" i="26"/>
  <c r="AB386" i="26"/>
  <c r="D386" i="26"/>
  <c r="C386" i="26"/>
  <c r="B386" i="26"/>
  <c r="AB385" i="26"/>
  <c r="D385" i="26"/>
  <c r="AD385" i="26" s="1"/>
  <c r="C385" i="26"/>
  <c r="B385" i="26"/>
  <c r="AB384" i="26"/>
  <c r="C384" i="26"/>
  <c r="B384" i="26"/>
  <c r="D383" i="26"/>
  <c r="AD384" i="26" s="1"/>
  <c r="C383" i="26"/>
  <c r="B383" i="26"/>
  <c r="AB382" i="26"/>
  <c r="AB383" i="26" s="1"/>
  <c r="D382" i="26"/>
  <c r="C382" i="26"/>
  <c r="B382" i="26"/>
  <c r="AB381" i="26"/>
  <c r="D381" i="26"/>
  <c r="C381" i="26"/>
  <c r="B381" i="26"/>
  <c r="AB380" i="26"/>
  <c r="D380" i="26"/>
  <c r="C380" i="26"/>
  <c r="B380" i="26"/>
  <c r="AB379" i="26"/>
  <c r="D379" i="26"/>
  <c r="AD379" i="26" s="1"/>
  <c r="C379" i="26"/>
  <c r="B379" i="26"/>
  <c r="AB378" i="26"/>
  <c r="D378" i="26"/>
  <c r="C378" i="26"/>
  <c r="B378" i="26"/>
  <c r="AB377" i="26"/>
  <c r="D377" i="26"/>
  <c r="C377" i="26"/>
  <c r="B377" i="26"/>
  <c r="AB376" i="26"/>
  <c r="D376" i="26"/>
  <c r="C376" i="26"/>
  <c r="B376" i="26"/>
  <c r="AB375" i="26"/>
  <c r="D375" i="26"/>
  <c r="C375" i="26"/>
  <c r="B375" i="26"/>
  <c r="AB374" i="26"/>
  <c r="D374" i="26"/>
  <c r="C374" i="26"/>
  <c r="B374" i="26"/>
  <c r="AB373" i="26"/>
  <c r="D373" i="26"/>
  <c r="AD373" i="26" s="1"/>
  <c r="C373" i="26"/>
  <c r="B373" i="26"/>
  <c r="AB372" i="26"/>
  <c r="D372" i="26"/>
  <c r="C372" i="26"/>
  <c r="B372" i="26"/>
  <c r="AB371" i="26"/>
  <c r="D371" i="26"/>
  <c r="C371" i="26"/>
  <c r="B371" i="26"/>
  <c r="AB370" i="26"/>
  <c r="D370" i="26"/>
  <c r="C370" i="26"/>
  <c r="B370" i="26"/>
  <c r="AB369" i="26"/>
  <c r="D369" i="26"/>
  <c r="C369" i="26"/>
  <c r="B369" i="26"/>
  <c r="AB368" i="26"/>
  <c r="D368" i="26"/>
  <c r="C368" i="26"/>
  <c r="B368" i="26"/>
  <c r="AB367" i="26"/>
  <c r="D367" i="26"/>
  <c r="C367" i="26"/>
  <c r="B367" i="26"/>
  <c r="AB366" i="26"/>
  <c r="D366" i="26"/>
  <c r="C366" i="26"/>
  <c r="B366" i="26"/>
  <c r="AB365" i="26"/>
  <c r="D365" i="26"/>
  <c r="C365" i="26"/>
  <c r="B365" i="26"/>
  <c r="AB364" i="26"/>
  <c r="D364" i="26"/>
  <c r="C364" i="26"/>
  <c r="B364" i="26"/>
  <c r="AB363" i="26"/>
  <c r="D363" i="26"/>
  <c r="C363" i="26"/>
  <c r="B363" i="26"/>
  <c r="AB362" i="26"/>
  <c r="D362" i="26"/>
  <c r="C362" i="26"/>
  <c r="B362" i="26"/>
  <c r="AB361" i="26"/>
  <c r="D361" i="26"/>
  <c r="C361" i="26"/>
  <c r="B361" i="26"/>
  <c r="AB360" i="26"/>
  <c r="D360" i="26"/>
  <c r="C360" i="26"/>
  <c r="B360" i="26"/>
  <c r="AB359" i="26"/>
  <c r="D359" i="26"/>
  <c r="C359" i="26"/>
  <c r="B359" i="26"/>
  <c r="AB358" i="26"/>
  <c r="D358" i="26"/>
  <c r="C358" i="26"/>
  <c r="B358" i="26"/>
  <c r="AB357" i="26"/>
  <c r="D357" i="26"/>
  <c r="C357" i="26"/>
  <c r="B357" i="26"/>
  <c r="AB356" i="26"/>
  <c r="D356" i="26"/>
  <c r="C356" i="26"/>
  <c r="B356" i="26"/>
  <c r="AB355" i="26"/>
  <c r="D355" i="26"/>
  <c r="C355" i="26"/>
  <c r="B355" i="26"/>
  <c r="AB354" i="26"/>
  <c r="D354" i="26"/>
  <c r="C354" i="26"/>
  <c r="B354" i="26"/>
  <c r="AB353" i="26"/>
  <c r="D353" i="26"/>
  <c r="C353" i="26"/>
  <c r="B353" i="26"/>
  <c r="AB352" i="26"/>
  <c r="D352" i="26"/>
  <c r="C352" i="26"/>
  <c r="B352" i="26"/>
  <c r="AB351" i="26"/>
  <c r="D351" i="26"/>
  <c r="C351" i="26"/>
  <c r="B351" i="26"/>
  <c r="AB350" i="26"/>
  <c r="D350" i="26"/>
  <c r="C350" i="26"/>
  <c r="B350" i="26"/>
  <c r="AB349" i="26"/>
  <c r="D349" i="26"/>
  <c r="AD349" i="26" s="1"/>
  <c r="C349" i="26"/>
  <c r="B349" i="26"/>
  <c r="AB348" i="26"/>
  <c r="D348" i="26"/>
  <c r="C348" i="26"/>
  <c r="B348" i="26"/>
  <c r="AB347" i="26"/>
  <c r="D347" i="26"/>
  <c r="C347" i="26"/>
  <c r="B347" i="26"/>
  <c r="AB346" i="26"/>
  <c r="D346" i="26"/>
  <c r="C346" i="26"/>
  <c r="B346" i="26"/>
  <c r="AB345" i="26"/>
  <c r="D345" i="26"/>
  <c r="C345" i="26"/>
  <c r="B345" i="26"/>
  <c r="AB344" i="26"/>
  <c r="D344" i="26"/>
  <c r="C344" i="26"/>
  <c r="B344" i="26"/>
  <c r="AB343" i="26"/>
  <c r="D343" i="26"/>
  <c r="C343" i="26"/>
  <c r="B343" i="26"/>
  <c r="AB342" i="26"/>
  <c r="D342" i="26"/>
  <c r="C342" i="26"/>
  <c r="B342" i="26"/>
  <c r="AB341" i="26"/>
  <c r="D341" i="26"/>
  <c r="C341" i="26"/>
  <c r="B341" i="26"/>
  <c r="AB340" i="26"/>
  <c r="D340" i="26"/>
  <c r="C340" i="26"/>
  <c r="B340" i="26"/>
  <c r="AB339" i="26"/>
  <c r="D339" i="26"/>
  <c r="C339" i="26"/>
  <c r="B339" i="26"/>
  <c r="AB338" i="26"/>
  <c r="D338" i="26"/>
  <c r="C338" i="26"/>
  <c r="B338" i="26"/>
  <c r="AB337" i="26"/>
  <c r="D337" i="26"/>
  <c r="AD337" i="26" s="1"/>
  <c r="C337" i="26"/>
  <c r="B337" i="26"/>
  <c r="AB336" i="26"/>
  <c r="D336" i="26"/>
  <c r="C336" i="26"/>
  <c r="B336" i="26"/>
  <c r="AB335" i="26"/>
  <c r="D335" i="26"/>
  <c r="C335" i="26"/>
  <c r="B335" i="26"/>
  <c r="AB334" i="26"/>
  <c r="D334" i="26"/>
  <c r="AD335" i="26" s="1"/>
  <c r="C334" i="26"/>
  <c r="B334" i="26"/>
  <c r="AB333" i="26"/>
  <c r="D333" i="26"/>
  <c r="C333" i="26"/>
  <c r="B333" i="26"/>
  <c r="AB332" i="26"/>
  <c r="D332" i="26"/>
  <c r="C332" i="26"/>
  <c r="B332" i="26"/>
  <c r="AB331" i="26"/>
  <c r="D331" i="26"/>
  <c r="AD331" i="26" s="1"/>
  <c r="C331" i="26"/>
  <c r="B331" i="26"/>
  <c r="AB330" i="26"/>
  <c r="D330" i="26"/>
  <c r="C330" i="26"/>
  <c r="B330" i="26"/>
  <c r="AB329" i="26"/>
  <c r="D329" i="26"/>
  <c r="C329" i="26"/>
  <c r="B329" i="26"/>
  <c r="AB328" i="26"/>
  <c r="D328" i="26"/>
  <c r="C328" i="26"/>
  <c r="B328" i="26"/>
  <c r="AB327" i="26"/>
  <c r="D327" i="26"/>
  <c r="C327" i="26"/>
  <c r="B327" i="26"/>
  <c r="AB326" i="26"/>
  <c r="D326" i="26"/>
  <c r="C326" i="26"/>
  <c r="B326" i="26"/>
  <c r="AB325" i="26"/>
  <c r="D325" i="26"/>
  <c r="AD325" i="26" s="1"/>
  <c r="C325" i="26"/>
  <c r="B325" i="26"/>
  <c r="AB324" i="26"/>
  <c r="D324" i="26"/>
  <c r="C324" i="26"/>
  <c r="B324" i="26"/>
  <c r="AB323" i="26"/>
  <c r="D323" i="26"/>
  <c r="C323" i="26"/>
  <c r="B323" i="26"/>
  <c r="AB322" i="26"/>
  <c r="D322" i="26"/>
  <c r="C322" i="26"/>
  <c r="B322" i="26"/>
  <c r="AB321" i="26"/>
  <c r="D321" i="26"/>
  <c r="C321" i="26"/>
  <c r="B321" i="26"/>
  <c r="AB320" i="26"/>
  <c r="D320" i="26"/>
  <c r="C320" i="26"/>
  <c r="B320" i="26"/>
  <c r="AB319" i="26"/>
  <c r="D319" i="26"/>
  <c r="AD319" i="26" s="1"/>
  <c r="C319" i="26"/>
  <c r="B319" i="26"/>
  <c r="AB318" i="26"/>
  <c r="D318" i="26"/>
  <c r="C318" i="26"/>
  <c r="B318" i="26"/>
  <c r="AB317" i="26"/>
  <c r="D317" i="26"/>
  <c r="C317" i="26"/>
  <c r="B317" i="26"/>
  <c r="AB316" i="26"/>
  <c r="D316" i="26"/>
  <c r="AD317" i="26" s="1"/>
  <c r="C316" i="26"/>
  <c r="B316" i="26"/>
  <c r="AB315" i="26"/>
  <c r="D315" i="26"/>
  <c r="C315" i="26"/>
  <c r="B315" i="26"/>
  <c r="AB314" i="26"/>
  <c r="D314" i="26"/>
  <c r="C314" i="26"/>
  <c r="B314" i="26"/>
  <c r="AB313" i="26"/>
  <c r="D313" i="26"/>
  <c r="C313" i="26"/>
  <c r="B313" i="26"/>
  <c r="AB312" i="26"/>
  <c r="D312" i="26"/>
  <c r="C312" i="26"/>
  <c r="B312" i="26"/>
  <c r="AB311" i="26"/>
  <c r="D311" i="26"/>
  <c r="C311" i="26"/>
  <c r="B311" i="26"/>
  <c r="AB310" i="26"/>
  <c r="D310" i="26"/>
  <c r="C310" i="26"/>
  <c r="B310" i="26"/>
  <c r="AB309" i="26"/>
  <c r="D309" i="26"/>
  <c r="C309" i="26"/>
  <c r="B309" i="26"/>
  <c r="AB308" i="26"/>
  <c r="D308" i="26"/>
  <c r="C308" i="26"/>
  <c r="B308" i="26"/>
  <c r="AB307" i="26"/>
  <c r="D307" i="26"/>
  <c r="C307" i="26"/>
  <c r="B307" i="26"/>
  <c r="AB306" i="26"/>
  <c r="D306" i="26"/>
  <c r="C306" i="26"/>
  <c r="B306" i="26"/>
  <c r="AB305" i="26"/>
  <c r="D305" i="26"/>
  <c r="C305" i="26"/>
  <c r="B305" i="26"/>
  <c r="AB304" i="26"/>
  <c r="D304" i="26"/>
  <c r="C304" i="26"/>
  <c r="B304" i="26"/>
  <c r="AB303" i="26"/>
  <c r="D303" i="26"/>
  <c r="C303" i="26"/>
  <c r="B303" i="26"/>
  <c r="AB302" i="26"/>
  <c r="D302" i="26"/>
  <c r="C302" i="26"/>
  <c r="B302" i="26"/>
  <c r="AB301" i="26"/>
  <c r="D301" i="26"/>
  <c r="AD301" i="26" s="1"/>
  <c r="C301" i="26"/>
  <c r="B301" i="26"/>
  <c r="AB300" i="26"/>
  <c r="D300" i="26"/>
  <c r="C300" i="26"/>
  <c r="B300" i="26"/>
  <c r="AB299" i="26"/>
  <c r="D299" i="26"/>
  <c r="C299" i="26"/>
  <c r="B299" i="26"/>
  <c r="AB298" i="26"/>
  <c r="D298" i="26"/>
  <c r="C298" i="26"/>
  <c r="B298" i="26"/>
  <c r="AB297" i="26"/>
  <c r="D297" i="26"/>
  <c r="C297" i="26"/>
  <c r="B297" i="26"/>
  <c r="AB296" i="26"/>
  <c r="D296" i="26"/>
  <c r="C296" i="26"/>
  <c r="B296" i="26"/>
  <c r="AB295" i="26"/>
  <c r="D295" i="26"/>
  <c r="C295" i="26"/>
  <c r="B295" i="26"/>
  <c r="AB294" i="26"/>
  <c r="D294" i="26"/>
  <c r="C294" i="26"/>
  <c r="B294" i="26"/>
  <c r="AB293" i="26"/>
  <c r="D293" i="26"/>
  <c r="C293" i="26"/>
  <c r="B293" i="26"/>
  <c r="AB292" i="26"/>
  <c r="D292" i="26"/>
  <c r="C292" i="26"/>
  <c r="B292" i="26"/>
  <c r="AB291" i="26"/>
  <c r="D291" i="26"/>
  <c r="C291" i="26"/>
  <c r="B291" i="26"/>
  <c r="AB290" i="26"/>
  <c r="D290" i="26"/>
  <c r="C290" i="26"/>
  <c r="B290" i="26"/>
  <c r="AB289" i="26"/>
  <c r="D289" i="26"/>
  <c r="AD289" i="26" s="1"/>
  <c r="C289" i="26"/>
  <c r="B289" i="26"/>
  <c r="AB288" i="26"/>
  <c r="D288" i="26"/>
  <c r="C288" i="26"/>
  <c r="B288" i="26"/>
  <c r="AB287" i="26"/>
  <c r="D287" i="26"/>
  <c r="C287" i="26"/>
  <c r="B287" i="26"/>
  <c r="AB286" i="26"/>
  <c r="D286" i="26"/>
  <c r="C286" i="26"/>
  <c r="B286" i="26"/>
  <c r="AB285" i="26"/>
  <c r="D285" i="26"/>
  <c r="C285" i="26"/>
  <c r="B285" i="26"/>
  <c r="AB284" i="26"/>
  <c r="D284" i="26"/>
  <c r="C284" i="26"/>
  <c r="B284" i="26"/>
  <c r="AB283" i="26"/>
  <c r="D283" i="26"/>
  <c r="AD283" i="26" s="1"/>
  <c r="C283" i="26"/>
  <c r="B283" i="26"/>
  <c r="AB282" i="26"/>
  <c r="D282" i="26"/>
  <c r="C282" i="26"/>
  <c r="B282" i="26"/>
  <c r="AB281" i="26"/>
  <c r="D281" i="26"/>
  <c r="C281" i="26"/>
  <c r="B281" i="26"/>
  <c r="AB280" i="26"/>
  <c r="D280" i="26"/>
  <c r="C280" i="26"/>
  <c r="B280" i="26"/>
  <c r="AB279" i="26"/>
  <c r="D279" i="26"/>
  <c r="C279" i="26"/>
  <c r="B279" i="26"/>
  <c r="AB278" i="26"/>
  <c r="D278" i="26"/>
  <c r="C278" i="26"/>
  <c r="B278" i="26"/>
  <c r="AB277" i="26"/>
  <c r="D277" i="26"/>
  <c r="AD277" i="26" s="1"/>
  <c r="C277" i="26"/>
  <c r="B277" i="26"/>
  <c r="AB276" i="26"/>
  <c r="D276" i="26"/>
  <c r="C276" i="26"/>
  <c r="B276" i="26"/>
  <c r="AB275" i="26"/>
  <c r="D275" i="26"/>
  <c r="C275" i="26"/>
  <c r="B275" i="26"/>
  <c r="AB274" i="26"/>
  <c r="D274" i="26"/>
  <c r="C274" i="26"/>
  <c r="B274" i="26"/>
  <c r="AB273" i="26"/>
  <c r="D273" i="26"/>
  <c r="C273" i="26"/>
  <c r="B273" i="26"/>
  <c r="AB272" i="26"/>
  <c r="D272" i="26"/>
  <c r="C272" i="26"/>
  <c r="B272" i="26"/>
  <c r="AB271" i="26"/>
  <c r="D271" i="26"/>
  <c r="AD271" i="26" s="1"/>
  <c r="C271" i="26"/>
  <c r="B271" i="26"/>
  <c r="AB270" i="26"/>
  <c r="D270" i="26"/>
  <c r="C270" i="26"/>
  <c r="B270" i="26"/>
  <c r="AB269" i="26"/>
  <c r="D269" i="26"/>
  <c r="C269" i="26"/>
  <c r="B269" i="26"/>
  <c r="AB268" i="26"/>
  <c r="D268" i="26"/>
  <c r="C268" i="26"/>
  <c r="B268" i="26"/>
  <c r="AB267" i="26"/>
  <c r="D267" i="26"/>
  <c r="C267" i="26"/>
  <c r="B267" i="26"/>
  <c r="AB266" i="26"/>
  <c r="D266" i="26"/>
  <c r="C266" i="26"/>
  <c r="B266" i="26"/>
  <c r="AB265" i="26"/>
  <c r="D265" i="26"/>
  <c r="C265" i="26"/>
  <c r="B265" i="26"/>
  <c r="AB264" i="26"/>
  <c r="D264" i="26"/>
  <c r="C264" i="26"/>
  <c r="B264" i="26"/>
  <c r="AB263" i="26"/>
  <c r="D263" i="26"/>
  <c r="C263" i="26"/>
  <c r="B263" i="26"/>
  <c r="AB262" i="26"/>
  <c r="D262" i="26"/>
  <c r="C262" i="26"/>
  <c r="B262" i="26"/>
  <c r="AB261" i="26"/>
  <c r="D261" i="26"/>
  <c r="C261" i="26"/>
  <c r="B261" i="26"/>
  <c r="AB260" i="26"/>
  <c r="D260" i="26"/>
  <c r="C260" i="26"/>
  <c r="B260" i="26"/>
  <c r="AB259" i="26"/>
  <c r="C259" i="26"/>
  <c r="B259" i="26"/>
  <c r="D258" i="26"/>
  <c r="C258" i="26"/>
  <c r="B258" i="26"/>
  <c r="AB257" i="26"/>
  <c r="AB258" i="26" s="1"/>
  <c r="D257" i="26"/>
  <c r="C257" i="26"/>
  <c r="B257" i="26"/>
  <c r="AB256" i="26"/>
  <c r="D256" i="26"/>
  <c r="C256" i="26"/>
  <c r="B256" i="26"/>
  <c r="AB255" i="26"/>
  <c r="D255" i="26"/>
  <c r="C255" i="26"/>
  <c r="B255" i="26"/>
  <c r="AB254" i="26"/>
  <c r="D254" i="26"/>
  <c r="C254" i="26"/>
  <c r="B254" i="26"/>
  <c r="AB253" i="26"/>
  <c r="D253" i="26"/>
  <c r="C253" i="26"/>
  <c r="B253" i="26"/>
  <c r="AB252" i="26"/>
  <c r="D252" i="26"/>
  <c r="C252" i="26"/>
  <c r="B252" i="26"/>
  <c r="AB251" i="26"/>
  <c r="D251" i="26"/>
  <c r="C251" i="26"/>
  <c r="B251" i="26"/>
  <c r="AB250" i="26"/>
  <c r="D250" i="26"/>
  <c r="C250" i="26"/>
  <c r="B250" i="26"/>
  <c r="AB249" i="26"/>
  <c r="D249" i="26"/>
  <c r="C249" i="26"/>
  <c r="B249" i="26"/>
  <c r="AB248" i="26"/>
  <c r="D248" i="26"/>
  <c r="C248" i="26"/>
  <c r="B248" i="26"/>
  <c r="AB247" i="26"/>
  <c r="D247" i="26"/>
  <c r="C247" i="26"/>
  <c r="B247" i="26"/>
  <c r="AB246" i="26"/>
  <c r="D246" i="26"/>
  <c r="C246" i="26"/>
  <c r="B246" i="26"/>
  <c r="AB245" i="26"/>
  <c r="D245" i="26"/>
  <c r="C245" i="26"/>
  <c r="B245" i="26"/>
  <c r="AB244" i="26"/>
  <c r="D244" i="26"/>
  <c r="C244" i="26"/>
  <c r="B244" i="26"/>
  <c r="AB243" i="26"/>
  <c r="D243" i="26"/>
  <c r="C243" i="26"/>
  <c r="B243" i="26"/>
  <c r="AB242" i="26"/>
  <c r="D242" i="26"/>
  <c r="C242" i="26"/>
  <c r="B242" i="26"/>
  <c r="AB241" i="26"/>
  <c r="D241" i="26"/>
  <c r="C241" i="26"/>
  <c r="B241" i="26"/>
  <c r="AB240" i="26"/>
  <c r="D240" i="26"/>
  <c r="C240" i="26"/>
  <c r="B240" i="26"/>
  <c r="AB239" i="26"/>
  <c r="D239" i="26"/>
  <c r="C239" i="26"/>
  <c r="B239" i="26"/>
  <c r="AB238" i="26"/>
  <c r="D238" i="26"/>
  <c r="C238" i="26"/>
  <c r="B238" i="26"/>
  <c r="AB237" i="26"/>
  <c r="D237" i="26"/>
  <c r="C237" i="26"/>
  <c r="B237" i="26"/>
  <c r="AB236" i="26"/>
  <c r="D236" i="26"/>
  <c r="C236" i="26"/>
  <c r="B236" i="26"/>
  <c r="AB235" i="26"/>
  <c r="D235" i="26"/>
  <c r="C235" i="26"/>
  <c r="B235" i="26"/>
  <c r="AB234" i="26"/>
  <c r="D234" i="26"/>
  <c r="C234" i="26"/>
  <c r="B234" i="26"/>
  <c r="AB233" i="26"/>
  <c r="D233" i="26"/>
  <c r="C233" i="26"/>
  <c r="B233" i="26"/>
  <c r="AB232" i="26"/>
  <c r="D232" i="26"/>
  <c r="C232" i="26"/>
  <c r="B232" i="26"/>
  <c r="AB231" i="26"/>
  <c r="D231" i="26"/>
  <c r="C231" i="26"/>
  <c r="B231" i="26"/>
  <c r="AB230" i="26"/>
  <c r="D230" i="26"/>
  <c r="C230" i="26"/>
  <c r="B230" i="26"/>
  <c r="AB229" i="26"/>
  <c r="D229" i="26"/>
  <c r="C229" i="26"/>
  <c r="B229" i="26"/>
  <c r="AB228" i="26"/>
  <c r="D228" i="26"/>
  <c r="C228" i="26"/>
  <c r="B228" i="26"/>
  <c r="AB227" i="26"/>
  <c r="D227" i="26"/>
  <c r="C227" i="26"/>
  <c r="B227" i="26"/>
  <c r="AB226" i="26"/>
  <c r="D226" i="26"/>
  <c r="C226" i="26"/>
  <c r="B226" i="26"/>
  <c r="AB225" i="26"/>
  <c r="D225" i="26"/>
  <c r="C225" i="26"/>
  <c r="B225" i="26"/>
  <c r="AB224" i="26"/>
  <c r="D224" i="26"/>
  <c r="C224" i="26"/>
  <c r="B224" i="26"/>
  <c r="AB223" i="26"/>
  <c r="D223" i="26"/>
  <c r="C223" i="26"/>
  <c r="B223" i="26"/>
  <c r="AB222" i="26"/>
  <c r="D222" i="26"/>
  <c r="C222" i="26"/>
  <c r="B222" i="26"/>
  <c r="AB221" i="26"/>
  <c r="D221" i="26"/>
  <c r="C221" i="26"/>
  <c r="B221" i="26"/>
  <c r="AB220" i="26"/>
  <c r="D220" i="26"/>
  <c r="C220" i="26"/>
  <c r="B220" i="26"/>
  <c r="AB219" i="26"/>
  <c r="D219" i="26"/>
  <c r="C219" i="26"/>
  <c r="B219" i="26"/>
  <c r="AB218" i="26"/>
  <c r="D218" i="26"/>
  <c r="C218" i="26"/>
  <c r="B218" i="26"/>
  <c r="AB217" i="26"/>
  <c r="D217" i="26"/>
  <c r="C217" i="26"/>
  <c r="B217" i="26"/>
  <c r="AB216" i="26"/>
  <c r="D216" i="26"/>
  <c r="C216" i="26"/>
  <c r="B216" i="26"/>
  <c r="AB215" i="26"/>
  <c r="D215" i="26"/>
  <c r="C215" i="26"/>
  <c r="B215" i="26"/>
  <c r="AB214" i="26"/>
  <c r="D214" i="26"/>
  <c r="C214" i="26"/>
  <c r="B214" i="26"/>
  <c r="AB213" i="26"/>
  <c r="D213" i="26"/>
  <c r="C213" i="26"/>
  <c r="B213" i="26"/>
  <c r="AB212" i="26"/>
  <c r="D212" i="26"/>
  <c r="C212" i="26"/>
  <c r="B212" i="26"/>
  <c r="AB211" i="26"/>
  <c r="D211" i="26"/>
  <c r="C211" i="26"/>
  <c r="B211" i="26"/>
  <c r="AB210" i="26"/>
  <c r="D210" i="26"/>
  <c r="C210" i="26"/>
  <c r="B210" i="26"/>
  <c r="AB209" i="26"/>
  <c r="D209" i="26"/>
  <c r="C209" i="26"/>
  <c r="B209" i="26"/>
  <c r="AH208" i="26"/>
  <c r="AM208" i="26" s="1"/>
  <c r="AG208" i="26"/>
  <c r="AB208" i="26"/>
  <c r="D208" i="26"/>
  <c r="C208" i="26"/>
  <c r="B208" i="26"/>
  <c r="AH207" i="26"/>
  <c r="AM207" i="26" s="1"/>
  <c r="AG207" i="26"/>
  <c r="AB207" i="26"/>
  <c r="D207" i="26"/>
  <c r="C207" i="26"/>
  <c r="B207" i="26"/>
  <c r="AH206" i="26"/>
  <c r="AM206" i="26" s="1"/>
  <c r="AG206" i="26"/>
  <c r="AB206" i="26"/>
  <c r="D206" i="26"/>
  <c r="C206" i="26"/>
  <c r="B206" i="26"/>
  <c r="AH205" i="26"/>
  <c r="AM205" i="26" s="1"/>
  <c r="AG205" i="26"/>
  <c r="AB205" i="26"/>
  <c r="D205" i="26"/>
  <c r="C205" i="26"/>
  <c r="B205" i="26"/>
  <c r="AH204" i="26"/>
  <c r="AM204" i="26" s="1"/>
  <c r="AG204" i="26"/>
  <c r="AB204" i="26"/>
  <c r="D204" i="26"/>
  <c r="C204" i="26"/>
  <c r="B204" i="26"/>
  <c r="AH203" i="26"/>
  <c r="AM203" i="26" s="1"/>
  <c r="AG203" i="26"/>
  <c r="AB203" i="26"/>
  <c r="D203" i="26"/>
  <c r="C203" i="26"/>
  <c r="B203" i="26"/>
  <c r="AH202" i="26"/>
  <c r="AM202" i="26" s="1"/>
  <c r="AG202" i="26"/>
  <c r="AB202" i="26"/>
  <c r="D202" i="26"/>
  <c r="C202" i="26"/>
  <c r="B202" i="26"/>
  <c r="AM201" i="26"/>
  <c r="AH201" i="26"/>
  <c r="AG201" i="26"/>
  <c r="AB201" i="26"/>
  <c r="D201" i="26"/>
  <c r="C201" i="26"/>
  <c r="B201" i="26"/>
  <c r="AH200" i="26"/>
  <c r="AM200" i="26" s="1"/>
  <c r="AG200" i="26"/>
  <c r="AB200" i="26"/>
  <c r="D200" i="26"/>
  <c r="C200" i="26"/>
  <c r="B200" i="26"/>
  <c r="AH199" i="26"/>
  <c r="AM199" i="26" s="1"/>
  <c r="AG199" i="26"/>
  <c r="AB199" i="26"/>
  <c r="D199" i="26"/>
  <c r="C199" i="26"/>
  <c r="B199" i="26"/>
  <c r="AH198" i="26"/>
  <c r="AM198" i="26" s="1"/>
  <c r="AG198" i="26"/>
  <c r="AB198" i="26"/>
  <c r="D198" i="26"/>
  <c r="C198" i="26"/>
  <c r="B198" i="26"/>
  <c r="AH197" i="26"/>
  <c r="AM197" i="26" s="1"/>
  <c r="AG197" i="26"/>
  <c r="AB197" i="26"/>
  <c r="D197" i="26"/>
  <c r="C197" i="26"/>
  <c r="B197" i="26"/>
  <c r="AH196" i="26"/>
  <c r="AM196" i="26" s="1"/>
  <c r="AG196" i="26"/>
  <c r="AB196" i="26"/>
  <c r="D196" i="26"/>
  <c r="C196" i="26"/>
  <c r="B196" i="26"/>
  <c r="AH195" i="26"/>
  <c r="AM195" i="26" s="1"/>
  <c r="AG195" i="26"/>
  <c r="AB195" i="26"/>
  <c r="D195" i="26"/>
  <c r="C195" i="26"/>
  <c r="B195" i="26"/>
  <c r="AH194" i="26"/>
  <c r="AM194" i="26" s="1"/>
  <c r="AG194" i="26"/>
  <c r="AB194" i="26"/>
  <c r="D194" i="26"/>
  <c r="C194" i="26"/>
  <c r="B194" i="26"/>
  <c r="AH193" i="26"/>
  <c r="AM193" i="26" s="1"/>
  <c r="AG193" i="26"/>
  <c r="AB193" i="26"/>
  <c r="D193" i="26"/>
  <c r="C193" i="26"/>
  <c r="B193" i="26"/>
  <c r="AH192" i="26"/>
  <c r="AM192" i="26" s="1"/>
  <c r="AG192" i="26"/>
  <c r="AB192" i="26"/>
  <c r="D192" i="26"/>
  <c r="C192" i="26"/>
  <c r="B192" i="26"/>
  <c r="AH191" i="26"/>
  <c r="AM191" i="26" s="1"/>
  <c r="AG191" i="26"/>
  <c r="AB191" i="26"/>
  <c r="D191" i="26"/>
  <c r="C191" i="26"/>
  <c r="B191" i="26"/>
  <c r="AM190" i="26"/>
  <c r="AH190" i="26"/>
  <c r="AG190" i="26"/>
  <c r="AB190" i="26"/>
  <c r="D190" i="26"/>
  <c r="C190" i="26"/>
  <c r="B190" i="26"/>
  <c r="AH189" i="26"/>
  <c r="AM189" i="26" s="1"/>
  <c r="AG189" i="26"/>
  <c r="AB189" i="26"/>
  <c r="D189" i="26"/>
  <c r="C189" i="26"/>
  <c r="B189" i="26"/>
  <c r="AH188" i="26"/>
  <c r="AM188" i="26" s="1"/>
  <c r="AG188" i="26"/>
  <c r="AB188" i="26"/>
  <c r="D188" i="26"/>
  <c r="C188" i="26"/>
  <c r="B188" i="26"/>
  <c r="AH187" i="26"/>
  <c r="AM187" i="26" s="1"/>
  <c r="AG187" i="26"/>
  <c r="AB187" i="26"/>
  <c r="D187" i="26"/>
  <c r="C187" i="26"/>
  <c r="B187" i="26"/>
  <c r="AH186" i="26"/>
  <c r="AM186" i="26" s="1"/>
  <c r="AG186" i="26"/>
  <c r="AB186" i="26"/>
  <c r="D186" i="26"/>
  <c r="C186" i="26"/>
  <c r="B186" i="26"/>
  <c r="AH185" i="26"/>
  <c r="AM185" i="26" s="1"/>
  <c r="AG185" i="26"/>
  <c r="AB185" i="26"/>
  <c r="D185" i="26"/>
  <c r="C185" i="26"/>
  <c r="B185" i="26"/>
  <c r="AH184" i="26"/>
  <c r="AM184" i="26" s="1"/>
  <c r="AG184" i="26"/>
  <c r="AB184" i="26"/>
  <c r="D184" i="26"/>
  <c r="C184" i="26"/>
  <c r="B184" i="26"/>
  <c r="AH183" i="26"/>
  <c r="AM183" i="26" s="1"/>
  <c r="AG183" i="26"/>
  <c r="AB183" i="26"/>
  <c r="D183" i="26"/>
  <c r="C183" i="26"/>
  <c r="B183" i="26"/>
  <c r="AH182" i="26"/>
  <c r="AM182" i="26" s="1"/>
  <c r="AG182" i="26"/>
  <c r="AB182" i="26"/>
  <c r="D182" i="26"/>
  <c r="C182" i="26"/>
  <c r="B182" i="26"/>
  <c r="AH181" i="26"/>
  <c r="AM181" i="26" s="1"/>
  <c r="AG181" i="26"/>
  <c r="AB181" i="26"/>
  <c r="D181" i="26"/>
  <c r="C181" i="26"/>
  <c r="B181" i="26"/>
  <c r="AH180" i="26"/>
  <c r="AM180" i="26" s="1"/>
  <c r="AG180" i="26"/>
  <c r="AB180" i="26"/>
  <c r="D180" i="26"/>
  <c r="C180" i="26"/>
  <c r="B180" i="26"/>
  <c r="AH179" i="26"/>
  <c r="AM179" i="26" s="1"/>
  <c r="AG179" i="26"/>
  <c r="AB179" i="26"/>
  <c r="D179" i="26"/>
  <c r="AD179" i="26" s="1"/>
  <c r="C179" i="26"/>
  <c r="B179" i="26"/>
  <c r="AH178" i="26"/>
  <c r="AM178" i="26" s="1"/>
  <c r="AG178" i="26"/>
  <c r="AB178" i="26"/>
  <c r="D178" i="26"/>
  <c r="C178" i="26"/>
  <c r="B178" i="26"/>
  <c r="AH177" i="26"/>
  <c r="AM177" i="26" s="1"/>
  <c r="AG177" i="26"/>
  <c r="AB177" i="26"/>
  <c r="D177" i="26"/>
  <c r="C177" i="26"/>
  <c r="B177" i="26"/>
  <c r="AH176" i="26"/>
  <c r="AM176" i="26" s="1"/>
  <c r="AG176" i="26"/>
  <c r="AB176" i="26"/>
  <c r="D176" i="26"/>
  <c r="C176" i="26"/>
  <c r="B176" i="26"/>
  <c r="AH175" i="26"/>
  <c r="AM175" i="26" s="1"/>
  <c r="AG175" i="26"/>
  <c r="AB175" i="26"/>
  <c r="D175" i="26"/>
  <c r="C175" i="26"/>
  <c r="B175" i="26"/>
  <c r="AH174" i="26"/>
  <c r="AM174" i="26" s="1"/>
  <c r="AG174" i="26"/>
  <c r="AB174" i="26"/>
  <c r="D174" i="26"/>
  <c r="C174" i="26"/>
  <c r="B174" i="26"/>
  <c r="AH173" i="26"/>
  <c r="AM173" i="26" s="1"/>
  <c r="AG173" i="26"/>
  <c r="AB173" i="26"/>
  <c r="D173" i="26"/>
  <c r="C173" i="26"/>
  <c r="B173" i="26"/>
  <c r="AH172" i="26"/>
  <c r="AM172" i="26" s="1"/>
  <c r="AG172" i="26"/>
  <c r="AB172" i="26"/>
  <c r="D172" i="26"/>
  <c r="C172" i="26"/>
  <c r="B172" i="26"/>
  <c r="AH171" i="26"/>
  <c r="AM171" i="26" s="1"/>
  <c r="AG171" i="26"/>
  <c r="AB171" i="26"/>
  <c r="D171" i="26"/>
  <c r="C171" i="26"/>
  <c r="B171" i="26"/>
  <c r="AH170" i="26"/>
  <c r="AM170" i="26" s="1"/>
  <c r="AG170" i="26"/>
  <c r="AB170" i="26"/>
  <c r="D170" i="26"/>
  <c r="C170" i="26"/>
  <c r="B170" i="26"/>
  <c r="AM169" i="26"/>
  <c r="AH169" i="26"/>
  <c r="AG169" i="26"/>
  <c r="AB169" i="26"/>
  <c r="D169" i="26"/>
  <c r="C169" i="26"/>
  <c r="B169" i="26"/>
  <c r="AH168" i="26"/>
  <c r="AM168" i="26" s="1"/>
  <c r="AG168" i="26"/>
  <c r="AB168" i="26"/>
  <c r="D168" i="26"/>
  <c r="C168" i="26"/>
  <c r="B168" i="26"/>
  <c r="AH167" i="26"/>
  <c r="AM167" i="26" s="1"/>
  <c r="AG167" i="26"/>
  <c r="AB167" i="26"/>
  <c r="D167" i="26"/>
  <c r="C167" i="26"/>
  <c r="B167" i="26"/>
  <c r="AH166" i="26"/>
  <c r="AM166" i="26" s="1"/>
  <c r="AG166" i="26"/>
  <c r="AB166" i="26"/>
  <c r="D166" i="26"/>
  <c r="C166" i="26"/>
  <c r="B166" i="26"/>
  <c r="AH165" i="26"/>
  <c r="AM165" i="26" s="1"/>
  <c r="AG165" i="26"/>
  <c r="AB165" i="26"/>
  <c r="D165" i="26"/>
  <c r="C165" i="26"/>
  <c r="B165" i="26"/>
  <c r="AH164" i="26"/>
  <c r="AM164" i="26" s="1"/>
  <c r="AG164" i="26"/>
  <c r="AB164" i="26"/>
  <c r="D164" i="26"/>
  <c r="C164" i="26"/>
  <c r="B164" i="26"/>
  <c r="AH163" i="26"/>
  <c r="AM163" i="26" s="1"/>
  <c r="AG163" i="26"/>
  <c r="AB163" i="26"/>
  <c r="D163" i="26"/>
  <c r="C163" i="26"/>
  <c r="B163" i="26"/>
  <c r="AH162" i="26"/>
  <c r="AM162" i="26" s="1"/>
  <c r="AG162" i="26"/>
  <c r="AB162" i="26"/>
  <c r="D162" i="26"/>
  <c r="C162" i="26"/>
  <c r="B162" i="26"/>
  <c r="AH161" i="26"/>
  <c r="AM161" i="26" s="1"/>
  <c r="AG161" i="26"/>
  <c r="AB161" i="26"/>
  <c r="D161" i="26"/>
  <c r="C161" i="26"/>
  <c r="B161" i="26"/>
  <c r="AH160" i="26"/>
  <c r="AM160" i="26" s="1"/>
  <c r="AG160" i="26"/>
  <c r="AB160" i="26"/>
  <c r="D160" i="26"/>
  <c r="C160" i="26"/>
  <c r="B160" i="26"/>
  <c r="AH159" i="26"/>
  <c r="AM159" i="26" s="1"/>
  <c r="AG159" i="26"/>
  <c r="AB159" i="26"/>
  <c r="D159" i="26"/>
  <c r="C159" i="26"/>
  <c r="B159" i="26"/>
  <c r="AH158" i="26"/>
  <c r="AM158" i="26" s="1"/>
  <c r="AG158" i="26"/>
  <c r="AB158" i="26"/>
  <c r="D158" i="26"/>
  <c r="C158" i="26"/>
  <c r="B158" i="26"/>
  <c r="AH157" i="26"/>
  <c r="AM157" i="26" s="1"/>
  <c r="AG157" i="26"/>
  <c r="AB157" i="26"/>
  <c r="D157" i="26"/>
  <c r="C157" i="26"/>
  <c r="B157" i="26"/>
  <c r="AH156" i="26"/>
  <c r="AM156" i="26" s="1"/>
  <c r="AG156" i="26"/>
  <c r="AB156" i="26"/>
  <c r="D156" i="26"/>
  <c r="C156" i="26"/>
  <c r="B156" i="26"/>
  <c r="AH155" i="26"/>
  <c r="AM155" i="26" s="1"/>
  <c r="AG155" i="26"/>
  <c r="AB155" i="26"/>
  <c r="D155" i="26"/>
  <c r="AD155" i="26" s="1"/>
  <c r="AE155" i="26" s="1"/>
  <c r="C155" i="26"/>
  <c r="B155" i="26"/>
  <c r="AH154" i="26"/>
  <c r="AM154" i="26" s="1"/>
  <c r="AG154" i="26"/>
  <c r="AB154" i="26"/>
  <c r="D154" i="26"/>
  <c r="C154" i="26"/>
  <c r="B154" i="26"/>
  <c r="AH153" i="26"/>
  <c r="AM153" i="26" s="1"/>
  <c r="AG153" i="26"/>
  <c r="AB153" i="26"/>
  <c r="D153" i="26"/>
  <c r="C153" i="26"/>
  <c r="B153" i="26"/>
  <c r="AH152" i="26"/>
  <c r="AM152" i="26" s="1"/>
  <c r="AG152" i="26"/>
  <c r="AB152" i="26"/>
  <c r="D152" i="26"/>
  <c r="C152" i="26"/>
  <c r="B152" i="26"/>
  <c r="AM151" i="26"/>
  <c r="AH151" i="26"/>
  <c r="AG151" i="26"/>
  <c r="AB151" i="26"/>
  <c r="D151" i="26"/>
  <c r="C151" i="26"/>
  <c r="B151" i="26"/>
  <c r="AH150" i="26"/>
  <c r="AM150" i="26" s="1"/>
  <c r="AG150" i="26"/>
  <c r="AB150" i="26"/>
  <c r="D150" i="26"/>
  <c r="C150" i="26"/>
  <c r="B150" i="26"/>
  <c r="AH149" i="26"/>
  <c r="AM149" i="26" s="1"/>
  <c r="AG149" i="26"/>
  <c r="AB149" i="26"/>
  <c r="D149" i="26"/>
  <c r="AD149" i="26" s="1"/>
  <c r="AE149" i="26" s="1"/>
  <c r="C149" i="26"/>
  <c r="B149" i="26"/>
  <c r="AH148" i="26"/>
  <c r="AM148" i="26" s="1"/>
  <c r="AG148" i="26"/>
  <c r="AB148" i="26"/>
  <c r="D148" i="26"/>
  <c r="C148" i="26"/>
  <c r="B148" i="26"/>
  <c r="AH147" i="26"/>
  <c r="AM147" i="26" s="1"/>
  <c r="AG147" i="26"/>
  <c r="AB147" i="26"/>
  <c r="D147" i="26"/>
  <c r="C147" i="26"/>
  <c r="B147" i="26"/>
  <c r="AH146" i="26"/>
  <c r="AM146" i="26" s="1"/>
  <c r="AG146" i="26"/>
  <c r="AB146" i="26"/>
  <c r="D146" i="26"/>
  <c r="C146" i="26"/>
  <c r="B146" i="26"/>
  <c r="AH145" i="26"/>
  <c r="AM145" i="26" s="1"/>
  <c r="AG145" i="26"/>
  <c r="AB145" i="26"/>
  <c r="D145" i="26"/>
  <c r="AD145" i="26" s="1"/>
  <c r="AE145" i="26" s="1"/>
  <c r="C145" i="26"/>
  <c r="B145" i="26"/>
  <c r="AH144" i="26"/>
  <c r="AM144" i="26" s="1"/>
  <c r="AG144" i="26"/>
  <c r="AB144" i="26"/>
  <c r="D144" i="26"/>
  <c r="C144" i="26"/>
  <c r="B144" i="26"/>
  <c r="AH143" i="26"/>
  <c r="AM143" i="26" s="1"/>
  <c r="AG143" i="26"/>
  <c r="AB143" i="26"/>
  <c r="D143" i="26"/>
  <c r="C143" i="26"/>
  <c r="B143" i="26"/>
  <c r="AM142" i="26"/>
  <c r="AH142" i="26"/>
  <c r="AG142" i="26"/>
  <c r="AB142" i="26"/>
  <c r="D142" i="26"/>
  <c r="C142" i="26"/>
  <c r="B142" i="26"/>
  <c r="AH141" i="26"/>
  <c r="AM141" i="26" s="1"/>
  <c r="AG141" i="26"/>
  <c r="AB141" i="26"/>
  <c r="D141" i="26"/>
  <c r="C141" i="26"/>
  <c r="B141" i="26"/>
  <c r="AH140" i="26"/>
  <c r="AM140" i="26" s="1"/>
  <c r="AG140" i="26"/>
  <c r="AB140" i="26"/>
  <c r="D140" i="26"/>
  <c r="C140" i="26"/>
  <c r="B140" i="26"/>
  <c r="AH139" i="26"/>
  <c r="AM139" i="26" s="1"/>
  <c r="AG139" i="26"/>
  <c r="AB139" i="26"/>
  <c r="D139" i="26"/>
  <c r="C139" i="26"/>
  <c r="B139" i="26"/>
  <c r="AH138" i="26"/>
  <c r="AM138" i="26" s="1"/>
  <c r="AG138" i="26"/>
  <c r="AB138" i="26"/>
  <c r="D138" i="26"/>
  <c r="C138" i="26"/>
  <c r="B138" i="26"/>
  <c r="AH137" i="26"/>
  <c r="AM137" i="26" s="1"/>
  <c r="AG137" i="26"/>
  <c r="AB137" i="26"/>
  <c r="D137" i="26"/>
  <c r="C137" i="26"/>
  <c r="B137" i="26"/>
  <c r="AH136" i="26"/>
  <c r="AM136" i="26" s="1"/>
  <c r="AG136" i="26"/>
  <c r="AB136" i="26"/>
  <c r="D136" i="26"/>
  <c r="C136" i="26"/>
  <c r="B136" i="26"/>
  <c r="AH135" i="26"/>
  <c r="AM135" i="26" s="1"/>
  <c r="AG135" i="26"/>
  <c r="AB135" i="26"/>
  <c r="D135" i="26"/>
  <c r="C135" i="26"/>
  <c r="B135" i="26"/>
  <c r="AH134" i="26"/>
  <c r="AM134" i="26" s="1"/>
  <c r="AG134" i="26"/>
  <c r="AB134" i="26"/>
  <c r="D134" i="26"/>
  <c r="C134" i="26"/>
  <c r="B134" i="26"/>
  <c r="AH133" i="26"/>
  <c r="AM133" i="26" s="1"/>
  <c r="AG133" i="26"/>
  <c r="AB133" i="26"/>
  <c r="D133" i="26"/>
  <c r="C133" i="26"/>
  <c r="B133" i="26"/>
  <c r="AH132" i="26"/>
  <c r="AM132" i="26" s="1"/>
  <c r="AG132" i="26"/>
  <c r="AB132" i="26"/>
  <c r="D132" i="26"/>
  <c r="C132" i="26"/>
  <c r="B132" i="26"/>
  <c r="AH131" i="26"/>
  <c r="AM131" i="26" s="1"/>
  <c r="AG131" i="26"/>
  <c r="AB131" i="26"/>
  <c r="D131" i="26"/>
  <c r="C131" i="26"/>
  <c r="B131" i="26"/>
  <c r="AH130" i="26"/>
  <c r="AM130" i="26" s="1"/>
  <c r="AG130" i="26"/>
  <c r="AB130" i="26"/>
  <c r="D130" i="26"/>
  <c r="C130" i="26"/>
  <c r="B130" i="26"/>
  <c r="AH129" i="26"/>
  <c r="AM129" i="26" s="1"/>
  <c r="AG129" i="26"/>
  <c r="AB129" i="26"/>
  <c r="D129" i="26"/>
  <c r="C129" i="26"/>
  <c r="B129" i="26"/>
  <c r="AH128" i="26"/>
  <c r="AM128" i="26" s="1"/>
  <c r="AG128" i="26"/>
  <c r="AB128" i="26"/>
  <c r="D128" i="26"/>
  <c r="C128" i="26"/>
  <c r="B128" i="26"/>
  <c r="AH127" i="26"/>
  <c r="AM127" i="26" s="1"/>
  <c r="AG127" i="26"/>
  <c r="AB127" i="26"/>
  <c r="D127" i="26"/>
  <c r="C127" i="26"/>
  <c r="B127" i="26"/>
  <c r="AH126" i="26"/>
  <c r="AM126" i="26" s="1"/>
  <c r="AG126" i="26"/>
  <c r="AB126" i="26"/>
  <c r="D126" i="26"/>
  <c r="C126" i="26"/>
  <c r="B126" i="26"/>
  <c r="AH125" i="26"/>
  <c r="AM125" i="26" s="1"/>
  <c r="AG125" i="26"/>
  <c r="AB125" i="26"/>
  <c r="D125" i="26"/>
  <c r="C125" i="26"/>
  <c r="B125" i="26"/>
  <c r="AH124" i="26"/>
  <c r="AM124" i="26" s="1"/>
  <c r="AG124" i="26"/>
  <c r="AB124" i="26"/>
  <c r="D124" i="26"/>
  <c r="C124" i="26"/>
  <c r="B124" i="26"/>
  <c r="AH123" i="26"/>
  <c r="AM123" i="26" s="1"/>
  <c r="AG123" i="26"/>
  <c r="AB123" i="26"/>
  <c r="D123" i="26"/>
  <c r="C123" i="26"/>
  <c r="B123" i="26"/>
  <c r="AH122" i="26"/>
  <c r="AM122" i="26" s="1"/>
  <c r="AG122" i="26"/>
  <c r="AB122" i="26"/>
  <c r="D122" i="26"/>
  <c r="C122" i="26"/>
  <c r="B122" i="26"/>
  <c r="AH121" i="26"/>
  <c r="AM121" i="26" s="1"/>
  <c r="AG121" i="26"/>
  <c r="AB121" i="26"/>
  <c r="D121" i="26"/>
  <c r="C121" i="26"/>
  <c r="B121" i="26"/>
  <c r="AH120" i="26"/>
  <c r="AM120" i="26" s="1"/>
  <c r="AG120" i="26"/>
  <c r="AB120" i="26"/>
  <c r="D120" i="26"/>
  <c r="C120" i="26"/>
  <c r="B120" i="26"/>
  <c r="AH119" i="26"/>
  <c r="AM119" i="26" s="1"/>
  <c r="AG119" i="26"/>
  <c r="AB119" i="26"/>
  <c r="D119" i="26"/>
  <c r="C119" i="26"/>
  <c r="B119" i="26"/>
  <c r="AH118" i="26"/>
  <c r="AM118" i="26" s="1"/>
  <c r="AG118" i="26"/>
  <c r="AB118" i="26"/>
  <c r="D118" i="26"/>
  <c r="C118" i="26"/>
  <c r="B118" i="26"/>
  <c r="AH117" i="26"/>
  <c r="AM117" i="26" s="1"/>
  <c r="AG117" i="26"/>
  <c r="AB117" i="26"/>
  <c r="D117" i="26"/>
  <c r="C117" i="26"/>
  <c r="B117" i="26"/>
  <c r="AH116" i="26"/>
  <c r="AM116" i="26" s="1"/>
  <c r="AG116" i="26"/>
  <c r="AB116" i="26"/>
  <c r="D116" i="26"/>
  <c r="C116" i="26"/>
  <c r="B116" i="26"/>
  <c r="AH115" i="26"/>
  <c r="AM115" i="26" s="1"/>
  <c r="AG115" i="26"/>
  <c r="AB115" i="26"/>
  <c r="D115" i="26"/>
  <c r="C115" i="26"/>
  <c r="B115" i="26"/>
  <c r="AH114" i="26"/>
  <c r="AM114" i="26" s="1"/>
  <c r="AG114" i="26"/>
  <c r="AB114" i="26"/>
  <c r="D114" i="26"/>
  <c r="C114" i="26"/>
  <c r="B114" i="26"/>
  <c r="AH113" i="26"/>
  <c r="AM113" i="26" s="1"/>
  <c r="AG113" i="26"/>
  <c r="AB113" i="26"/>
  <c r="D113" i="26"/>
  <c r="C113" i="26"/>
  <c r="B113" i="26"/>
  <c r="AH112" i="26"/>
  <c r="AM112" i="26" s="1"/>
  <c r="AG112" i="26"/>
  <c r="AB112" i="26"/>
  <c r="D112" i="26"/>
  <c r="C112" i="26"/>
  <c r="B112" i="26"/>
  <c r="AH111" i="26"/>
  <c r="AM111" i="26" s="1"/>
  <c r="AG111" i="26"/>
  <c r="AB111" i="26"/>
  <c r="D111" i="26"/>
  <c r="C111" i="26"/>
  <c r="B111" i="26"/>
  <c r="AH110" i="26"/>
  <c r="AM110" i="26" s="1"/>
  <c r="AG110" i="26"/>
  <c r="AB110" i="26"/>
  <c r="D110" i="26"/>
  <c r="C110" i="26"/>
  <c r="B110" i="26"/>
  <c r="AH109" i="26"/>
  <c r="AM109" i="26" s="1"/>
  <c r="AG109" i="26"/>
  <c r="AB109" i="26"/>
  <c r="D109" i="26"/>
  <c r="C109" i="26"/>
  <c r="B109" i="26"/>
  <c r="AH108" i="26"/>
  <c r="AM108" i="26" s="1"/>
  <c r="AG108" i="26"/>
  <c r="AB108" i="26"/>
  <c r="D108" i="26"/>
  <c r="C108" i="26"/>
  <c r="B108" i="26"/>
  <c r="AH107" i="26"/>
  <c r="AM107" i="26" s="1"/>
  <c r="AG107" i="26"/>
  <c r="AB107" i="26"/>
  <c r="D107" i="26"/>
  <c r="C107" i="26"/>
  <c r="B107" i="26"/>
  <c r="AH106" i="26"/>
  <c r="AM106" i="26" s="1"/>
  <c r="AG106" i="26"/>
  <c r="AB106" i="26"/>
  <c r="D106" i="26"/>
  <c r="C106" i="26"/>
  <c r="B106" i="26"/>
  <c r="AH105" i="26"/>
  <c r="AM105" i="26" s="1"/>
  <c r="AG105" i="26"/>
  <c r="AB105" i="26"/>
  <c r="D105" i="26"/>
  <c r="C105" i="26"/>
  <c r="B105" i="26"/>
  <c r="AH104" i="26"/>
  <c r="AM104" i="26" s="1"/>
  <c r="AG104" i="26"/>
  <c r="AB104" i="26"/>
  <c r="D104" i="26"/>
  <c r="C104" i="26"/>
  <c r="B104" i="26"/>
  <c r="AH103" i="26"/>
  <c r="AM103" i="26" s="1"/>
  <c r="AG103" i="26"/>
  <c r="AB103" i="26"/>
  <c r="D103" i="26"/>
  <c r="C103" i="26"/>
  <c r="B103" i="26"/>
  <c r="AH102" i="26"/>
  <c r="AM102" i="26" s="1"/>
  <c r="AG102" i="26"/>
  <c r="AB102" i="26"/>
  <c r="D102" i="26"/>
  <c r="C102" i="26"/>
  <c r="B102" i="26"/>
  <c r="AH101" i="26"/>
  <c r="AM101" i="26" s="1"/>
  <c r="AG101" i="26"/>
  <c r="AB101" i="26"/>
  <c r="D101" i="26"/>
  <c r="C101" i="26"/>
  <c r="B101" i="26"/>
  <c r="AH100" i="26"/>
  <c r="AM100" i="26" s="1"/>
  <c r="AG100" i="26"/>
  <c r="AB100" i="26"/>
  <c r="D100" i="26"/>
  <c r="C100" i="26"/>
  <c r="B100" i="26"/>
  <c r="AH99" i="26"/>
  <c r="AM99" i="26" s="1"/>
  <c r="AG99" i="26"/>
  <c r="AB99" i="26"/>
  <c r="D99" i="26"/>
  <c r="C99" i="26"/>
  <c r="B99" i="26"/>
  <c r="AH98" i="26"/>
  <c r="AM98" i="26" s="1"/>
  <c r="AG98" i="26"/>
  <c r="AB98" i="26"/>
  <c r="D98" i="26"/>
  <c r="C98" i="26"/>
  <c r="B98" i="26"/>
  <c r="AH97" i="26"/>
  <c r="AM97" i="26" s="1"/>
  <c r="AG97" i="26"/>
  <c r="AB97" i="26"/>
  <c r="D97" i="26"/>
  <c r="C97" i="26"/>
  <c r="B97" i="26"/>
  <c r="AH96" i="26"/>
  <c r="AM96" i="26" s="1"/>
  <c r="AG96" i="26"/>
  <c r="AB96" i="26"/>
  <c r="D96" i="26"/>
  <c r="C96" i="26"/>
  <c r="B96" i="26"/>
  <c r="AH95" i="26"/>
  <c r="AM95" i="26" s="1"/>
  <c r="AG95" i="26"/>
  <c r="AB95" i="26"/>
  <c r="D95" i="26"/>
  <c r="C95" i="26"/>
  <c r="B95" i="26"/>
  <c r="AH94" i="26"/>
  <c r="AM94" i="26" s="1"/>
  <c r="AG94" i="26"/>
  <c r="AB94" i="26"/>
  <c r="D94" i="26"/>
  <c r="C94" i="26"/>
  <c r="B94" i="26"/>
  <c r="AH93" i="26"/>
  <c r="AM93" i="26" s="1"/>
  <c r="AG93" i="26"/>
  <c r="AB93" i="26"/>
  <c r="D93" i="26"/>
  <c r="C93" i="26"/>
  <c r="B93" i="26"/>
  <c r="AH92" i="26"/>
  <c r="AM92" i="26" s="1"/>
  <c r="AG92" i="26"/>
  <c r="AB92" i="26"/>
  <c r="D92" i="26"/>
  <c r="C92" i="26"/>
  <c r="B92" i="26"/>
  <c r="AH91" i="26"/>
  <c r="AM91" i="26" s="1"/>
  <c r="AG91" i="26"/>
  <c r="AB91" i="26"/>
  <c r="D91" i="26"/>
  <c r="C91" i="26"/>
  <c r="B91" i="26"/>
  <c r="AH90" i="26"/>
  <c r="AM90" i="26" s="1"/>
  <c r="AG90" i="26"/>
  <c r="AB90" i="26"/>
  <c r="D90" i="26"/>
  <c r="C90" i="26"/>
  <c r="B90" i="26"/>
  <c r="AH89" i="26"/>
  <c r="AM89" i="26" s="1"/>
  <c r="AG89" i="26"/>
  <c r="AB89" i="26"/>
  <c r="D89" i="26"/>
  <c r="C89" i="26"/>
  <c r="B89" i="26"/>
  <c r="AH88" i="26"/>
  <c r="AM88" i="26" s="1"/>
  <c r="AG88" i="26"/>
  <c r="AB88" i="26"/>
  <c r="D88" i="26"/>
  <c r="C88" i="26"/>
  <c r="B88" i="26"/>
  <c r="AH87" i="26"/>
  <c r="AM87" i="26" s="1"/>
  <c r="AG87" i="26"/>
  <c r="AB87" i="26"/>
  <c r="D87" i="26"/>
  <c r="C87" i="26"/>
  <c r="B87" i="26"/>
  <c r="AH86" i="26"/>
  <c r="AM86" i="26" s="1"/>
  <c r="AG86" i="26"/>
  <c r="AB86" i="26"/>
  <c r="D86" i="26"/>
  <c r="C86" i="26"/>
  <c r="B86" i="26"/>
  <c r="AH85" i="26"/>
  <c r="AM85" i="26" s="1"/>
  <c r="AG85" i="26"/>
  <c r="AB85" i="26"/>
  <c r="D85" i="26"/>
  <c r="C85" i="26"/>
  <c r="B85" i="26"/>
  <c r="AH84" i="26"/>
  <c r="AM84" i="26" s="1"/>
  <c r="AG84" i="26"/>
  <c r="AB84" i="26"/>
  <c r="D84" i="26"/>
  <c r="C84" i="26"/>
  <c r="B84" i="26"/>
  <c r="AH83" i="26"/>
  <c r="AM83" i="26" s="1"/>
  <c r="AG83" i="26"/>
  <c r="AB83" i="26"/>
  <c r="D83" i="26"/>
  <c r="C83" i="26"/>
  <c r="B83" i="26"/>
  <c r="AH82" i="26"/>
  <c r="AM82" i="26" s="1"/>
  <c r="AG82" i="26"/>
  <c r="AB82" i="26"/>
  <c r="D82" i="26"/>
  <c r="C82" i="26"/>
  <c r="B82" i="26"/>
  <c r="AH81" i="26"/>
  <c r="AM81" i="26" s="1"/>
  <c r="AG81" i="26"/>
  <c r="AB81" i="26"/>
  <c r="D81" i="26"/>
  <c r="C81" i="26"/>
  <c r="B81" i="26"/>
  <c r="AH80" i="26"/>
  <c r="AM80" i="26" s="1"/>
  <c r="AG80" i="26"/>
  <c r="AB80" i="26"/>
  <c r="D80" i="26"/>
  <c r="C80" i="26"/>
  <c r="B80" i="26"/>
  <c r="AH79" i="26"/>
  <c r="AM79" i="26" s="1"/>
  <c r="AG79" i="26"/>
  <c r="AB79" i="26"/>
  <c r="D79" i="26"/>
  <c r="C79" i="26"/>
  <c r="B79" i="26"/>
  <c r="AH78" i="26"/>
  <c r="AM78" i="26" s="1"/>
  <c r="AG78" i="26"/>
  <c r="AB78" i="26"/>
  <c r="D78" i="26"/>
  <c r="C78" i="26"/>
  <c r="B78" i="26"/>
  <c r="AH77" i="26"/>
  <c r="AM77" i="26" s="1"/>
  <c r="AG77" i="26"/>
  <c r="AB77" i="26"/>
  <c r="D77" i="26"/>
  <c r="C77" i="26"/>
  <c r="B77" i="26"/>
  <c r="AH76" i="26"/>
  <c r="AM76" i="26" s="1"/>
  <c r="AG76" i="26"/>
  <c r="AB76" i="26"/>
  <c r="D76" i="26"/>
  <c r="C76" i="26"/>
  <c r="B76" i="26"/>
  <c r="AH75" i="26"/>
  <c r="AM75" i="26" s="1"/>
  <c r="AG75" i="26"/>
  <c r="AB75" i="26"/>
  <c r="D75" i="26"/>
  <c r="C75" i="26"/>
  <c r="B75" i="26"/>
  <c r="AH74" i="26"/>
  <c r="AM74" i="26" s="1"/>
  <c r="AG74" i="26"/>
  <c r="AB74" i="26"/>
  <c r="D74" i="26"/>
  <c r="C74" i="26"/>
  <c r="B74" i="26"/>
  <c r="AH73" i="26"/>
  <c r="AM73" i="26" s="1"/>
  <c r="AG73" i="26"/>
  <c r="AB73" i="26"/>
  <c r="D73" i="26"/>
  <c r="C73" i="26"/>
  <c r="B73" i="26"/>
  <c r="AH72" i="26"/>
  <c r="AM72" i="26" s="1"/>
  <c r="AG72" i="26"/>
  <c r="AB72" i="26"/>
  <c r="D72" i="26"/>
  <c r="C72" i="26"/>
  <c r="B72" i="26"/>
  <c r="AH71" i="26"/>
  <c r="AM71" i="26" s="1"/>
  <c r="AG71" i="26"/>
  <c r="AB71" i="26"/>
  <c r="D71" i="26"/>
  <c r="C71" i="26"/>
  <c r="B71" i="26"/>
  <c r="AH70" i="26"/>
  <c r="AM70" i="26" s="1"/>
  <c r="AG70" i="26"/>
  <c r="AB70" i="26"/>
  <c r="D70" i="26"/>
  <c r="C70" i="26"/>
  <c r="B70" i="26"/>
  <c r="AH69" i="26"/>
  <c r="AM69" i="26" s="1"/>
  <c r="AG69" i="26"/>
  <c r="AB69" i="26"/>
  <c r="D69" i="26"/>
  <c r="C69" i="26"/>
  <c r="B69" i="26"/>
  <c r="AH68" i="26"/>
  <c r="AM68" i="26" s="1"/>
  <c r="AG68" i="26"/>
  <c r="AB68" i="26"/>
  <c r="D68" i="26"/>
  <c r="C68" i="26"/>
  <c r="B68" i="26"/>
  <c r="AH67" i="26"/>
  <c r="AM67" i="26" s="1"/>
  <c r="AG67" i="26"/>
  <c r="AB67" i="26"/>
  <c r="D67" i="26"/>
  <c r="C67" i="26"/>
  <c r="B67" i="26"/>
  <c r="AH66" i="26"/>
  <c r="AM66" i="26" s="1"/>
  <c r="AG66" i="26"/>
  <c r="AB66" i="26"/>
  <c r="D66" i="26"/>
  <c r="C66" i="26"/>
  <c r="B66" i="26"/>
  <c r="AH65" i="26"/>
  <c r="AM65" i="26" s="1"/>
  <c r="AG65" i="26"/>
  <c r="AB65" i="26"/>
  <c r="D65" i="26"/>
  <c r="C65" i="26"/>
  <c r="B65" i="26"/>
  <c r="AH64" i="26"/>
  <c r="AM64" i="26" s="1"/>
  <c r="AG64" i="26"/>
  <c r="AB64" i="26"/>
  <c r="D64" i="26"/>
  <c r="C64" i="26"/>
  <c r="B64" i="26"/>
  <c r="AH63" i="26"/>
  <c r="AM63" i="26" s="1"/>
  <c r="AG63" i="26"/>
  <c r="AB63" i="26"/>
  <c r="D63" i="26"/>
  <c r="C63" i="26"/>
  <c r="B63" i="26"/>
  <c r="AH62" i="26"/>
  <c r="AM62" i="26" s="1"/>
  <c r="AG62" i="26"/>
  <c r="AB62" i="26"/>
  <c r="D62" i="26"/>
  <c r="C62" i="26"/>
  <c r="B62" i="26"/>
  <c r="AH61" i="26"/>
  <c r="AM61" i="26" s="1"/>
  <c r="AG61" i="26"/>
  <c r="AB61" i="26"/>
  <c r="D61" i="26"/>
  <c r="C61" i="26"/>
  <c r="B61" i="26"/>
  <c r="AH60" i="26"/>
  <c r="AM60" i="26" s="1"/>
  <c r="AG60" i="26"/>
  <c r="AB60" i="26"/>
  <c r="D60" i="26"/>
  <c r="C60" i="26"/>
  <c r="B60" i="26"/>
  <c r="AH59" i="26"/>
  <c r="AM59" i="26" s="1"/>
  <c r="AG59" i="26"/>
  <c r="AB59" i="26"/>
  <c r="D59" i="26"/>
  <c r="C59" i="26"/>
  <c r="B59" i="26"/>
  <c r="AH58" i="26"/>
  <c r="AM58" i="26" s="1"/>
  <c r="AG58" i="26"/>
  <c r="AB58" i="26"/>
  <c r="D58" i="26"/>
  <c r="C58" i="26"/>
  <c r="B58" i="26"/>
  <c r="AH57" i="26"/>
  <c r="AM57" i="26" s="1"/>
  <c r="AG57" i="26"/>
  <c r="AB57" i="26"/>
  <c r="D57" i="26"/>
  <c r="C57" i="26"/>
  <c r="B57" i="26"/>
  <c r="AH56" i="26"/>
  <c r="AM56" i="26" s="1"/>
  <c r="AG56" i="26"/>
  <c r="AB56" i="26"/>
  <c r="D56" i="26"/>
  <c r="C56" i="26"/>
  <c r="B56" i="26"/>
  <c r="AH55" i="26"/>
  <c r="AM55" i="26" s="1"/>
  <c r="AG55" i="26"/>
  <c r="AB55" i="26"/>
  <c r="D55" i="26"/>
  <c r="C55" i="26"/>
  <c r="B55" i="26"/>
  <c r="AH54" i="26"/>
  <c r="AM54" i="26" s="1"/>
  <c r="AG54" i="26"/>
  <c r="AB54" i="26"/>
  <c r="D54" i="26"/>
  <c r="C54" i="26"/>
  <c r="B54" i="26"/>
  <c r="AH53" i="26"/>
  <c r="AM53" i="26" s="1"/>
  <c r="AG53" i="26"/>
  <c r="AB53" i="26"/>
  <c r="D53" i="26"/>
  <c r="C53" i="26"/>
  <c r="B53" i="26"/>
  <c r="AH52" i="26"/>
  <c r="AM52" i="26" s="1"/>
  <c r="AG52" i="26"/>
  <c r="AB52" i="26"/>
  <c r="D52" i="26"/>
  <c r="C52" i="26"/>
  <c r="B52" i="26"/>
  <c r="AH51" i="26"/>
  <c r="AM51" i="26" s="1"/>
  <c r="AG51" i="26"/>
  <c r="AB51" i="26"/>
  <c r="D51" i="26"/>
  <c r="C51" i="26"/>
  <c r="B51" i="26"/>
  <c r="AH50" i="26"/>
  <c r="AM50" i="26" s="1"/>
  <c r="AG50" i="26"/>
  <c r="AB50" i="26"/>
  <c r="D50" i="26"/>
  <c r="C50" i="26"/>
  <c r="B50" i="26"/>
  <c r="AH49" i="26"/>
  <c r="AM49" i="26" s="1"/>
  <c r="AG49" i="26"/>
  <c r="AB49" i="26"/>
  <c r="D49" i="26"/>
  <c r="C49" i="26"/>
  <c r="B49" i="26"/>
  <c r="AH48" i="26"/>
  <c r="AM48" i="26" s="1"/>
  <c r="AG48" i="26"/>
  <c r="AB48" i="26"/>
  <c r="D48" i="26"/>
  <c r="C48" i="26"/>
  <c r="B48" i="26"/>
  <c r="AH47" i="26"/>
  <c r="AM47" i="26" s="1"/>
  <c r="AG47" i="26"/>
  <c r="AB47" i="26"/>
  <c r="D47" i="26"/>
  <c r="C47" i="26"/>
  <c r="B47" i="26"/>
  <c r="AH46" i="26"/>
  <c r="AM46" i="26" s="1"/>
  <c r="AG46" i="26"/>
  <c r="AB46" i="26"/>
  <c r="D46" i="26"/>
  <c r="C46" i="26"/>
  <c r="B46" i="26"/>
  <c r="AH45" i="26"/>
  <c r="AM45" i="26" s="1"/>
  <c r="AG45" i="26"/>
  <c r="AB45" i="26"/>
  <c r="D45" i="26"/>
  <c r="C45" i="26"/>
  <c r="B45" i="26"/>
  <c r="AH44" i="26"/>
  <c r="AM44" i="26" s="1"/>
  <c r="AG44" i="26"/>
  <c r="AB44" i="26"/>
  <c r="D44" i="26"/>
  <c r="C44" i="26"/>
  <c r="B44" i="26"/>
  <c r="AH43" i="26"/>
  <c r="AM43" i="26" s="1"/>
  <c r="AG43" i="26"/>
  <c r="AB43" i="26"/>
  <c r="D43" i="26"/>
  <c r="C43" i="26"/>
  <c r="B43" i="26"/>
  <c r="AH42" i="26"/>
  <c r="AM42" i="26" s="1"/>
  <c r="AG42" i="26"/>
  <c r="AB42" i="26"/>
  <c r="D42" i="26"/>
  <c r="C42" i="26"/>
  <c r="B42" i="26"/>
  <c r="AH41" i="26"/>
  <c r="AM41" i="26" s="1"/>
  <c r="AG41" i="26"/>
  <c r="AB41" i="26"/>
  <c r="D41" i="26"/>
  <c r="C41" i="26"/>
  <c r="B41" i="26"/>
  <c r="AH40" i="26"/>
  <c r="AM40" i="26" s="1"/>
  <c r="AG40" i="26"/>
  <c r="AB40" i="26"/>
  <c r="D40" i="26"/>
  <c r="C40" i="26"/>
  <c r="B40" i="26"/>
  <c r="AH39" i="26"/>
  <c r="AM39" i="26" s="1"/>
  <c r="AG39" i="26"/>
  <c r="AB39" i="26"/>
  <c r="D39" i="26"/>
  <c r="C39" i="26"/>
  <c r="B39" i="26"/>
  <c r="AH38" i="26"/>
  <c r="AM38" i="26" s="1"/>
  <c r="AG38" i="26"/>
  <c r="AB38" i="26"/>
  <c r="D38" i="26"/>
  <c r="C38" i="26"/>
  <c r="B38" i="26"/>
  <c r="AH37" i="26"/>
  <c r="AM37" i="26" s="1"/>
  <c r="AG37" i="26"/>
  <c r="AB37" i="26"/>
  <c r="D37" i="26"/>
  <c r="C37" i="26"/>
  <c r="B37" i="26"/>
  <c r="AH36" i="26"/>
  <c r="AM36" i="26" s="1"/>
  <c r="AG36" i="26"/>
  <c r="AB36" i="26"/>
  <c r="D36" i="26"/>
  <c r="C36" i="26"/>
  <c r="B36" i="26"/>
  <c r="AH35" i="26"/>
  <c r="AM35" i="26" s="1"/>
  <c r="AG35" i="26"/>
  <c r="AB35" i="26"/>
  <c r="D35" i="26"/>
  <c r="C35" i="26"/>
  <c r="B35" i="26"/>
  <c r="AH34" i="26"/>
  <c r="AM34" i="26" s="1"/>
  <c r="AG34" i="26"/>
  <c r="AB34" i="26"/>
  <c r="D34" i="26"/>
  <c r="C34" i="26"/>
  <c r="B34" i="26"/>
  <c r="AH33" i="26"/>
  <c r="AM33" i="26" s="1"/>
  <c r="AG33" i="26"/>
  <c r="AB33" i="26"/>
  <c r="D33" i="26"/>
  <c r="C33" i="26"/>
  <c r="B33" i="26"/>
  <c r="AH32" i="26"/>
  <c r="AM32" i="26" s="1"/>
  <c r="AG32" i="26"/>
  <c r="AB32" i="26"/>
  <c r="D32" i="26"/>
  <c r="C32" i="26"/>
  <c r="B32" i="26"/>
  <c r="AH31" i="26"/>
  <c r="AM31" i="26" s="1"/>
  <c r="AG31" i="26"/>
  <c r="AB31" i="26"/>
  <c r="D31" i="26"/>
  <c r="C31" i="26"/>
  <c r="B31" i="26"/>
  <c r="AH30" i="26"/>
  <c r="AM30" i="26" s="1"/>
  <c r="AG30" i="26"/>
  <c r="AB30" i="26"/>
  <c r="D30" i="26"/>
  <c r="C30" i="26"/>
  <c r="B30" i="26"/>
  <c r="AH29" i="26"/>
  <c r="AM29" i="26" s="1"/>
  <c r="AG29" i="26"/>
  <c r="AB29" i="26"/>
  <c r="D29" i="26"/>
  <c r="C29" i="26"/>
  <c r="B29" i="26"/>
  <c r="AH28" i="26"/>
  <c r="AM28" i="26" s="1"/>
  <c r="AG28" i="26"/>
  <c r="AB28" i="26"/>
  <c r="D28" i="26"/>
  <c r="C28" i="26"/>
  <c r="B28" i="26"/>
  <c r="AH27" i="26"/>
  <c r="AM27" i="26" s="1"/>
  <c r="AG27" i="26"/>
  <c r="AB27" i="26"/>
  <c r="D27" i="26"/>
  <c r="C27" i="26"/>
  <c r="B27" i="26"/>
  <c r="AH26" i="26"/>
  <c r="AM26" i="26" s="1"/>
  <c r="AG26" i="26"/>
  <c r="AB26" i="26"/>
  <c r="D26" i="26"/>
  <c r="C26" i="26"/>
  <c r="B26" i="26"/>
  <c r="AH25" i="26"/>
  <c r="AM25" i="26" s="1"/>
  <c r="AG25" i="26"/>
  <c r="AB25" i="26"/>
  <c r="D25" i="26"/>
  <c r="C25" i="26"/>
  <c r="B25" i="26"/>
  <c r="AH24" i="26"/>
  <c r="AM24" i="26" s="1"/>
  <c r="AG24" i="26"/>
  <c r="AB24" i="26"/>
  <c r="D24" i="26"/>
  <c r="C24" i="26"/>
  <c r="B24" i="26"/>
  <c r="AH23" i="26"/>
  <c r="AM23" i="26" s="1"/>
  <c r="AG23" i="26"/>
  <c r="AB23" i="26"/>
  <c r="D23" i="26"/>
  <c r="C23" i="26"/>
  <c r="B23" i="26"/>
  <c r="AH22" i="26"/>
  <c r="AM22" i="26" s="1"/>
  <c r="AG22" i="26"/>
  <c r="AB22" i="26"/>
  <c r="D22" i="26"/>
  <c r="C22" i="26"/>
  <c r="B22" i="26"/>
  <c r="AH21" i="26"/>
  <c r="AM21" i="26" s="1"/>
  <c r="AG21" i="26"/>
  <c r="AB21" i="26"/>
  <c r="D21" i="26"/>
  <c r="C21" i="26"/>
  <c r="B21" i="26"/>
  <c r="AH20" i="26"/>
  <c r="AM20" i="26" s="1"/>
  <c r="AG20" i="26"/>
  <c r="AB20" i="26"/>
  <c r="D20" i="26"/>
  <c r="C20" i="26"/>
  <c r="B20" i="26"/>
  <c r="AH19" i="26"/>
  <c r="AM19" i="26" s="1"/>
  <c r="AG19" i="26"/>
  <c r="AB19" i="26"/>
  <c r="D19" i="26"/>
  <c r="C19" i="26"/>
  <c r="B19" i="26"/>
  <c r="AH18" i="26"/>
  <c r="AM18" i="26" s="1"/>
  <c r="AG18" i="26"/>
  <c r="AB18" i="26"/>
  <c r="D18" i="26"/>
  <c r="C18" i="26"/>
  <c r="B18" i="26"/>
  <c r="AH17" i="26"/>
  <c r="AM17" i="26" s="1"/>
  <c r="AG17" i="26"/>
  <c r="AB17" i="26"/>
  <c r="D17" i="26"/>
  <c r="C17" i="26"/>
  <c r="B17" i="26"/>
  <c r="AH16" i="26"/>
  <c r="AM16" i="26" s="1"/>
  <c r="AG16" i="26"/>
  <c r="AB16" i="26"/>
  <c r="D16" i="26"/>
  <c r="C16" i="26"/>
  <c r="B16" i="26"/>
  <c r="AH15" i="26"/>
  <c r="AM15" i="26" s="1"/>
  <c r="AG15" i="26"/>
  <c r="AB15" i="26"/>
  <c r="D15" i="26"/>
  <c r="C15" i="26"/>
  <c r="B15" i="26"/>
  <c r="AH14" i="26"/>
  <c r="AM14" i="26" s="1"/>
  <c r="AG14" i="26"/>
  <c r="AB14" i="26"/>
  <c r="D14" i="26"/>
  <c r="C14" i="26"/>
  <c r="B14" i="26"/>
  <c r="AH13" i="26"/>
  <c r="AM13" i="26" s="1"/>
  <c r="AG13" i="26"/>
  <c r="AB13" i="26"/>
  <c r="D13" i="26"/>
  <c r="C13" i="26"/>
  <c r="B13" i="26"/>
  <c r="AH12" i="26"/>
  <c r="AM12" i="26" s="1"/>
  <c r="AG12" i="26"/>
  <c r="AB12" i="26"/>
  <c r="D12" i="26"/>
  <c r="C12" i="26"/>
  <c r="B12" i="26"/>
  <c r="AH11" i="26"/>
  <c r="AM11" i="26" s="1"/>
  <c r="AG11" i="26"/>
  <c r="AB11" i="26"/>
  <c r="D11" i="26"/>
  <c r="C11" i="26"/>
  <c r="B11" i="26"/>
  <c r="AH10" i="26"/>
  <c r="AM10" i="26" s="1"/>
  <c r="AG10" i="26"/>
  <c r="AB10" i="26"/>
  <c r="D10" i="26"/>
  <c r="C10" i="26"/>
  <c r="B10" i="26"/>
  <c r="AH9" i="26"/>
  <c r="AM9" i="26" s="1"/>
  <c r="AG9" i="26"/>
  <c r="AB9" i="26"/>
  <c r="D9" i="26"/>
  <c r="C9" i="26"/>
  <c r="B9" i="26"/>
  <c r="AH8" i="26"/>
  <c r="AM8" i="26" s="1"/>
  <c r="AG8" i="26"/>
  <c r="AB8" i="26"/>
  <c r="D8" i="26"/>
  <c r="C8" i="26"/>
  <c r="B8" i="26"/>
  <c r="AM7" i="26"/>
  <c r="AH7" i="26"/>
  <c r="AB7" i="26"/>
  <c r="D7" i="26"/>
  <c r="AK4" i="26"/>
  <c r="AL185" i="26" s="1"/>
  <c r="AD14" i="26" l="1"/>
  <c r="AD22" i="26"/>
  <c r="AE22" i="26" s="1"/>
  <c r="AD26" i="26"/>
  <c r="AE26" i="26" s="1"/>
  <c r="AD34" i="26"/>
  <c r="AE34" i="26" s="1"/>
  <c r="AD38" i="26"/>
  <c r="AE38" i="26" s="1"/>
  <c r="AD46" i="26"/>
  <c r="AE46" i="26" s="1"/>
  <c r="AD50" i="26"/>
  <c r="AE50" i="26" s="1"/>
  <c r="AD56" i="26"/>
  <c r="AE56" i="26" s="1"/>
  <c r="AD58" i="26"/>
  <c r="AE58" i="26" s="1"/>
  <c r="AD70" i="26"/>
  <c r="AE70" i="26" s="1"/>
  <c r="AD72" i="26"/>
  <c r="AE72" i="26" s="1"/>
  <c r="AD82" i="26"/>
  <c r="AE82" i="26" s="1"/>
  <c r="AD92" i="26"/>
  <c r="AE92" i="26" s="1"/>
  <c r="AD94" i="26"/>
  <c r="AE94" i="26" s="1"/>
  <c r="AD103" i="26"/>
  <c r="AE103" i="26" s="1"/>
  <c r="AD104" i="26"/>
  <c r="AE104" i="26" s="1"/>
  <c r="AD127" i="26"/>
  <c r="AE127" i="26" s="1"/>
  <c r="AD128" i="26"/>
  <c r="AE128" i="26" s="1"/>
  <c r="AD130" i="26"/>
  <c r="AE130" i="26" s="1"/>
  <c r="AD227" i="26"/>
  <c r="AD245" i="26"/>
  <c r="AD392" i="26"/>
  <c r="AD395" i="26"/>
  <c r="AD401" i="26"/>
  <c r="AD404" i="26"/>
  <c r="AD410" i="26"/>
  <c r="AD413" i="26"/>
  <c r="AD456" i="26"/>
  <c r="AD465" i="26"/>
  <c r="AD468" i="26"/>
  <c r="AD474" i="26"/>
  <c r="AD480" i="26"/>
  <c r="AD486" i="26"/>
  <c r="AD492" i="26"/>
  <c r="AD498" i="26"/>
  <c r="AD501" i="26"/>
  <c r="AD504" i="26"/>
  <c r="AD516" i="26"/>
  <c r="AD519" i="26"/>
  <c r="AD522" i="26"/>
  <c r="AD534" i="26"/>
  <c r="AD20" i="26"/>
  <c r="AE20" i="26" s="1"/>
  <c r="AD24" i="26"/>
  <c r="AE24" i="26" s="1"/>
  <c r="AD32" i="26"/>
  <c r="AE32" i="26" s="1"/>
  <c r="AD36" i="26"/>
  <c r="AE36" i="26" s="1"/>
  <c r="AD44" i="26"/>
  <c r="AE44" i="26" s="1"/>
  <c r="AD48" i="26"/>
  <c r="AE48" i="26" s="1"/>
  <c r="AD60" i="26"/>
  <c r="AE60" i="26" s="1"/>
  <c r="AD68" i="26"/>
  <c r="AE68" i="26" s="1"/>
  <c r="AD166" i="26"/>
  <c r="AE166" i="26" s="1"/>
  <c r="AD174" i="26"/>
  <c r="AE174" i="26" s="1"/>
  <c r="AD264" i="26"/>
  <c r="AD276" i="26"/>
  <c r="AD282" i="26"/>
  <c r="AD300" i="26"/>
  <c r="AD318" i="26"/>
  <c r="AD336" i="26"/>
  <c r="AD240" i="26"/>
  <c r="AD246" i="26"/>
  <c r="AD255" i="26"/>
  <c r="AD455" i="26"/>
  <c r="AD458" i="26"/>
  <c r="AD467" i="26"/>
  <c r="AD473" i="26"/>
  <c r="AD482" i="26"/>
  <c r="AD485" i="26"/>
  <c r="AD494" i="26"/>
  <c r="AD500" i="26"/>
  <c r="AD503" i="26"/>
  <c r="AD506" i="26"/>
  <c r="AD509" i="26"/>
  <c r="AD512" i="26"/>
  <c r="AD518" i="26"/>
  <c r="AD524" i="26"/>
  <c r="AD527" i="26"/>
  <c r="AD530" i="26"/>
  <c r="AD539" i="26"/>
  <c r="AD548" i="26"/>
  <c r="AD557" i="26"/>
  <c r="AD563" i="26"/>
  <c r="AD575" i="26"/>
  <c r="AD581" i="26"/>
  <c r="AD584" i="26"/>
  <c r="AD599" i="26"/>
  <c r="AD602" i="26"/>
  <c r="AD611" i="26"/>
  <c r="AD617" i="26"/>
  <c r="AD620" i="26"/>
  <c r="AE620" i="26" s="1"/>
  <c r="AD312" i="26"/>
  <c r="AD420" i="26"/>
  <c r="AD426" i="26"/>
  <c r="AD432" i="26"/>
  <c r="AD537" i="26"/>
  <c r="AD543" i="26"/>
  <c r="AD546" i="26"/>
  <c r="AD558" i="26"/>
  <c r="AD561" i="26"/>
  <c r="AD567" i="26"/>
  <c r="AD573" i="26"/>
  <c r="AD576" i="26"/>
  <c r="AD579" i="26"/>
  <c r="AD582" i="26"/>
  <c r="AD591" i="26"/>
  <c r="AD594" i="26"/>
  <c r="AD600" i="26"/>
  <c r="AD603" i="26"/>
  <c r="AD615" i="26"/>
  <c r="AD618" i="26"/>
  <c r="AD330" i="26"/>
  <c r="AD162" i="26"/>
  <c r="AE162" i="26" s="1"/>
  <c r="AD354" i="26"/>
  <c r="AD366" i="26"/>
  <c r="AD372" i="26"/>
  <c r="AD378" i="26"/>
  <c r="AD295" i="26"/>
  <c r="AD138" i="26"/>
  <c r="AE138" i="26" s="1"/>
  <c r="AD215" i="26"/>
  <c r="AD528" i="26"/>
  <c r="AD159" i="26"/>
  <c r="AE159" i="26" s="1"/>
  <c r="AD224" i="26"/>
  <c r="AD228" i="26"/>
  <c r="AD397" i="26"/>
  <c r="AD403" i="26"/>
  <c r="AD409" i="26"/>
  <c r="AD433" i="26"/>
  <c r="AD439" i="26"/>
  <c r="AD443" i="26"/>
  <c r="AD236" i="26"/>
  <c r="AD239" i="26"/>
  <c r="AD248" i="26"/>
  <c r="AD293" i="26"/>
  <c r="AD302" i="26"/>
  <c r="AD311" i="26"/>
  <c r="AD314" i="26"/>
  <c r="AD451" i="26"/>
  <c r="AD487" i="26"/>
  <c r="AD493" i="26"/>
  <c r="AD505" i="26"/>
  <c r="AD511" i="26"/>
  <c r="AD523" i="26"/>
  <c r="AD9" i="26"/>
  <c r="AD535" i="26"/>
  <c r="AD17" i="26"/>
  <c r="AE17" i="26" s="1"/>
  <c r="AD29" i="26"/>
  <c r="AE29" i="26" s="1"/>
  <c r="AD41" i="26"/>
  <c r="AE41" i="26" s="1"/>
  <c r="AD53" i="26"/>
  <c r="AE53" i="26" s="1"/>
  <c r="AD65" i="26"/>
  <c r="AE65" i="26" s="1"/>
  <c r="AD78" i="26"/>
  <c r="AE78" i="26" s="1"/>
  <c r="AD90" i="26"/>
  <c r="AE90" i="26" s="1"/>
  <c r="AD97" i="26"/>
  <c r="AE97" i="26" s="1"/>
  <c r="AD99" i="26"/>
  <c r="AE99" i="26" s="1"/>
  <c r="AD110" i="26"/>
  <c r="AE110" i="26" s="1"/>
  <c r="AD114" i="26"/>
  <c r="AE114" i="26" s="1"/>
  <c r="AD126" i="26"/>
  <c r="AE126" i="26" s="1"/>
  <c r="AD135" i="26"/>
  <c r="AE135" i="26" s="1"/>
  <c r="AD150" i="26"/>
  <c r="AE150" i="26" s="1"/>
  <c r="AD167" i="26"/>
  <c r="AE167" i="26" s="1"/>
  <c r="AD200" i="26"/>
  <c r="AD338" i="26"/>
  <c r="AD341" i="26"/>
  <c r="AD347" i="26"/>
  <c r="AD350" i="26"/>
  <c r="AD356" i="26"/>
  <c r="AD359" i="26"/>
  <c r="AD365" i="26"/>
  <c r="AD368" i="26"/>
  <c r="AD553" i="26"/>
  <c r="AD589" i="26"/>
  <c r="AD607" i="26"/>
  <c r="AD154" i="26"/>
  <c r="AE154" i="26" s="1"/>
  <c r="AD216" i="26"/>
  <c r="AD226" i="26"/>
  <c r="AD408" i="26"/>
  <c r="AD156" i="26"/>
  <c r="AE156" i="26" s="1"/>
  <c r="AD175" i="26"/>
  <c r="AE175" i="26" s="1"/>
  <c r="AD462" i="26"/>
  <c r="AD552" i="26"/>
  <c r="AD85" i="26"/>
  <c r="AE85" i="26" s="1"/>
  <c r="AD121" i="26"/>
  <c r="AE121" i="26" s="1"/>
  <c r="AD214" i="26"/>
  <c r="AD299" i="26"/>
  <c r="AD305" i="26"/>
  <c r="AD343" i="26"/>
  <c r="AD419" i="26"/>
  <c r="AD438" i="26"/>
  <c r="AD457" i="26"/>
  <c r="AD464" i="26"/>
  <c r="AD476" i="26"/>
  <c r="AD483" i="26"/>
  <c r="AD515" i="26"/>
  <c r="AD521" i="26"/>
  <c r="AD540" i="26"/>
  <c r="AD566" i="26"/>
  <c r="AD597" i="26"/>
  <c r="AD19" i="26"/>
  <c r="AE19" i="26" s="1"/>
  <c r="AD31" i="26"/>
  <c r="AE31" i="26" s="1"/>
  <c r="AD79" i="26"/>
  <c r="AE79" i="26" s="1"/>
  <c r="AD91" i="26"/>
  <c r="AE91" i="26" s="1"/>
  <c r="AD125" i="26"/>
  <c r="AE125" i="26" s="1"/>
  <c r="AD133" i="26"/>
  <c r="AE133" i="26" s="1"/>
  <c r="AD204" i="26"/>
  <c r="AD244" i="26"/>
  <c r="AD253" i="26"/>
  <c r="AD329" i="26"/>
  <c r="AD348" i="26"/>
  <c r="AD355" i="26"/>
  <c r="AD367" i="26"/>
  <c r="AD374" i="26"/>
  <c r="AD386" i="26"/>
  <c r="AD425" i="26"/>
  <c r="AD431" i="26"/>
  <c r="AD450" i="26"/>
  <c r="AD469" i="26"/>
  <c r="AD488" i="26"/>
  <c r="AD545" i="26"/>
  <c r="AD571" i="26"/>
  <c r="AD609" i="26"/>
  <c r="AD62" i="26"/>
  <c r="AE62" i="26" s="1"/>
  <c r="AD74" i="26"/>
  <c r="AE74" i="26" s="1"/>
  <c r="AD86" i="26"/>
  <c r="AE86" i="26" s="1"/>
  <c r="AD122" i="26"/>
  <c r="AE122" i="26" s="1"/>
  <c r="AD163" i="26"/>
  <c r="AE163" i="26" s="1"/>
  <c r="AD212" i="26"/>
  <c r="AD252" i="26"/>
  <c r="AD265" i="26"/>
  <c r="AD481" i="26"/>
  <c r="AD134" i="26"/>
  <c r="AE134" i="26" s="1"/>
  <c r="AD234" i="26"/>
  <c r="AD461" i="26"/>
  <c r="AD564" i="26"/>
  <c r="AD570" i="26"/>
  <c r="AD11" i="26"/>
  <c r="AD28" i="26"/>
  <c r="AE28" i="26" s="1"/>
  <c r="AD40" i="26"/>
  <c r="AE40" i="26" s="1"/>
  <c r="AD52" i="26"/>
  <c r="AE52" i="26" s="1"/>
  <c r="AD64" i="26"/>
  <c r="AE64" i="26" s="1"/>
  <c r="AD76" i="26"/>
  <c r="AE76" i="26" s="1"/>
  <c r="AD124" i="26"/>
  <c r="AE124" i="26" s="1"/>
  <c r="AD129" i="26"/>
  <c r="AE129" i="26" s="1"/>
  <c r="AD217" i="26"/>
  <c r="AD251" i="26"/>
  <c r="AD275" i="26"/>
  <c r="AD294" i="26"/>
  <c r="AD313" i="26"/>
  <c r="AD320" i="26"/>
  <c r="AD332" i="26"/>
  <c r="AD371" i="26"/>
  <c r="AD377" i="26"/>
  <c r="AD396" i="26"/>
  <c r="AD491" i="26"/>
  <c r="AD510" i="26"/>
  <c r="AD517" i="26"/>
  <c r="AD529" i="26"/>
  <c r="AD555" i="26"/>
  <c r="AD593" i="26"/>
  <c r="AD612" i="26"/>
  <c r="AD23" i="26"/>
  <c r="AE23" i="26" s="1"/>
  <c r="AD35" i="26"/>
  <c r="AE35" i="26" s="1"/>
  <c r="AD47" i="26"/>
  <c r="AE47" i="26" s="1"/>
  <c r="AD59" i="26"/>
  <c r="AE59" i="26" s="1"/>
  <c r="AD71" i="26"/>
  <c r="AE71" i="26" s="1"/>
  <c r="AD108" i="26"/>
  <c r="AE108" i="26" s="1"/>
  <c r="AD497" i="26"/>
  <c r="AD606" i="26"/>
  <c r="AD407" i="26"/>
  <c r="AD13" i="26"/>
  <c r="AD266" i="26"/>
  <c r="AD278" i="26"/>
  <c r="AD323" i="26"/>
  <c r="AD361" i="26"/>
  <c r="AD475" i="26"/>
  <c r="AD15" i="26"/>
  <c r="AD353" i="26"/>
  <c r="AD106" i="26"/>
  <c r="AE106" i="26" s="1"/>
  <c r="AD118" i="26"/>
  <c r="AE118" i="26" s="1"/>
  <c r="AD164" i="26"/>
  <c r="AE164" i="26" s="1"/>
  <c r="AD177" i="26"/>
  <c r="AE177" i="26" s="1"/>
  <c r="AD223" i="26"/>
  <c r="AD263" i="26"/>
  <c r="AD269" i="26"/>
  <c r="AD307" i="26"/>
  <c r="AD402" i="26"/>
  <c r="AD421" i="26"/>
  <c r="AD428" i="26"/>
  <c r="AD440" i="26"/>
  <c r="AD479" i="26"/>
  <c r="AD588" i="26"/>
  <c r="AL15" i="26"/>
  <c r="AN15" i="26" s="1"/>
  <c r="AL12" i="26"/>
  <c r="AN12" i="26" s="1"/>
  <c r="AD21" i="26"/>
  <c r="AE21" i="26" s="1"/>
  <c r="AD33" i="26"/>
  <c r="AE33" i="26" s="1"/>
  <c r="AD45" i="26"/>
  <c r="AE45" i="26" s="1"/>
  <c r="AD57" i="26"/>
  <c r="AE57" i="26" s="1"/>
  <c r="AD69" i="26"/>
  <c r="AE69" i="26" s="1"/>
  <c r="AD120" i="26"/>
  <c r="AE120" i="26" s="1"/>
  <c r="AD137" i="26"/>
  <c r="AE137" i="26" s="1"/>
  <c r="AD153" i="26"/>
  <c r="AE153" i="26" s="1"/>
  <c r="AD169" i="26"/>
  <c r="AE169" i="26" s="1"/>
  <c r="AD229" i="26"/>
  <c r="AD391" i="26"/>
  <c r="AD427" i="26"/>
  <c r="AD445" i="26"/>
  <c r="AD463" i="26"/>
  <c r="AD499" i="26"/>
  <c r="AD542" i="26"/>
  <c r="AD560" i="26"/>
  <c r="AD578" i="26"/>
  <c r="AD596" i="26"/>
  <c r="AD614" i="26"/>
  <c r="AD16" i="26"/>
  <c r="AE16" i="26" s="1"/>
  <c r="AD89" i="26"/>
  <c r="AE89" i="26" s="1"/>
  <c r="AD102" i="26"/>
  <c r="AE102" i="26" s="1"/>
  <c r="AD109" i="26"/>
  <c r="AE109" i="26" s="1"/>
  <c r="AD115" i="26"/>
  <c r="AE115" i="26" s="1"/>
  <c r="AD243" i="26"/>
  <c r="AD272" i="26"/>
  <c r="AD290" i="26"/>
  <c r="AD308" i="26"/>
  <c r="AD326" i="26"/>
  <c r="AD344" i="26"/>
  <c r="AD362" i="26"/>
  <c r="AD380" i="26"/>
  <c r="AD398" i="26"/>
  <c r="AD416" i="26"/>
  <c r="AD434" i="26"/>
  <c r="AD452" i="26"/>
  <c r="AD470" i="26"/>
  <c r="AD551" i="26"/>
  <c r="AD569" i="26"/>
  <c r="AD587" i="26"/>
  <c r="AD605" i="26"/>
  <c r="AD119" i="26"/>
  <c r="AE119" i="26" s="1"/>
  <c r="AD218" i="26"/>
  <c r="AD256" i="26"/>
  <c r="AD257" i="26" s="1"/>
  <c r="AD258" i="26" s="1"/>
  <c r="AD297" i="26"/>
  <c r="AD441" i="26"/>
  <c r="AD459" i="26"/>
  <c r="AD477" i="26"/>
  <c r="AD495" i="26"/>
  <c r="AD513" i="26"/>
  <c r="AD531" i="26"/>
  <c r="AD18" i="26"/>
  <c r="AE18" i="26" s="1"/>
  <c r="AD30" i="26"/>
  <c r="AE30" i="26" s="1"/>
  <c r="AD42" i="26"/>
  <c r="AE42" i="26" s="1"/>
  <c r="AD54" i="26"/>
  <c r="AE54" i="26" s="1"/>
  <c r="AD66" i="26"/>
  <c r="AE66" i="26" s="1"/>
  <c r="AD101" i="26"/>
  <c r="AE101" i="26" s="1"/>
  <c r="AD111" i="26"/>
  <c r="AE111" i="26" s="1"/>
  <c r="AD116" i="26"/>
  <c r="AE116" i="26" s="1"/>
  <c r="AD139" i="26"/>
  <c r="AE139" i="26" s="1"/>
  <c r="AD147" i="26"/>
  <c r="AE147" i="26" s="1"/>
  <c r="AD171" i="26"/>
  <c r="AE171" i="26" s="1"/>
  <c r="AD241" i="26"/>
  <c r="AD547" i="26"/>
  <c r="AD565" i="26"/>
  <c r="AD583" i="26"/>
  <c r="AD601" i="26"/>
  <c r="AD619" i="26"/>
  <c r="AE619" i="26" s="1"/>
  <c r="AD10" i="26"/>
  <c r="AD25" i="26"/>
  <c r="AE25" i="26" s="1"/>
  <c r="AD37" i="26"/>
  <c r="AE37" i="26" s="1"/>
  <c r="AD49" i="26"/>
  <c r="AE49" i="26" s="1"/>
  <c r="AD61" i="26"/>
  <c r="AE61" i="26" s="1"/>
  <c r="AD73" i="26"/>
  <c r="AE73" i="26" s="1"/>
  <c r="AD84" i="26"/>
  <c r="AE84" i="26" s="1"/>
  <c r="AD88" i="26"/>
  <c r="AE88" i="26" s="1"/>
  <c r="AD93" i="26"/>
  <c r="AE93" i="26" s="1"/>
  <c r="AD98" i="26"/>
  <c r="AE98" i="26" s="1"/>
  <c r="AD144" i="26"/>
  <c r="AE144" i="26" s="1"/>
  <c r="AD160" i="26"/>
  <c r="AE160" i="26" s="1"/>
  <c r="AD259" i="26"/>
  <c r="AD270" i="26"/>
  <c r="AD288" i="26"/>
  <c r="AD306" i="26"/>
  <c r="AD324" i="26"/>
  <c r="AD342" i="26"/>
  <c r="AD360" i="26"/>
  <c r="AD536" i="26"/>
  <c r="AD554" i="26"/>
  <c r="AD572" i="26"/>
  <c r="AD590" i="26"/>
  <c r="AD608" i="26"/>
  <c r="AD168" i="26"/>
  <c r="AE168" i="26" s="1"/>
  <c r="AD237" i="26"/>
  <c r="AC8" i="26"/>
  <c r="AC9" i="26" s="1"/>
  <c r="AC10" i="26" s="1"/>
  <c r="AC11" i="26" s="1"/>
  <c r="AC12" i="26" s="1"/>
  <c r="AC13" i="26" s="1"/>
  <c r="AC14" i="26" s="1"/>
  <c r="AC15" i="26" s="1"/>
  <c r="AC16" i="26" s="1"/>
  <c r="AC17" i="26" s="1"/>
  <c r="AC18" i="26" s="1"/>
  <c r="AC19" i="26" s="1"/>
  <c r="AC20" i="26" s="1"/>
  <c r="AC21" i="26" s="1"/>
  <c r="AC22" i="26" s="1"/>
  <c r="AC23" i="26" s="1"/>
  <c r="AC24" i="26" s="1"/>
  <c r="AC25" i="26" s="1"/>
  <c r="AC26" i="26" s="1"/>
  <c r="AC27" i="26" s="1"/>
  <c r="AC28" i="26" s="1"/>
  <c r="AC29" i="26" s="1"/>
  <c r="AC30" i="26" s="1"/>
  <c r="AC31" i="26" s="1"/>
  <c r="AC32" i="26" s="1"/>
  <c r="AC33" i="26" s="1"/>
  <c r="AC34" i="26" s="1"/>
  <c r="AC35" i="26" s="1"/>
  <c r="AC36" i="26" s="1"/>
  <c r="AC37" i="26" s="1"/>
  <c r="AC38" i="26" s="1"/>
  <c r="AC39" i="26" s="1"/>
  <c r="AC40" i="26" s="1"/>
  <c r="AC41" i="26" s="1"/>
  <c r="AC42" i="26" s="1"/>
  <c r="AC43" i="26" s="1"/>
  <c r="AC44" i="26" s="1"/>
  <c r="AC45" i="26" s="1"/>
  <c r="AC46" i="26" s="1"/>
  <c r="AC47" i="26" s="1"/>
  <c r="AC48" i="26" s="1"/>
  <c r="AC49" i="26" s="1"/>
  <c r="AC50" i="26" s="1"/>
  <c r="AC51" i="26" s="1"/>
  <c r="AC52" i="26" s="1"/>
  <c r="AC53" i="26" s="1"/>
  <c r="AC54" i="26" s="1"/>
  <c r="AC55" i="26" s="1"/>
  <c r="AC56" i="26" s="1"/>
  <c r="AC57" i="26" s="1"/>
  <c r="AC58" i="26" s="1"/>
  <c r="AC59" i="26" s="1"/>
  <c r="AC60" i="26" s="1"/>
  <c r="AC61" i="26" s="1"/>
  <c r="AC62" i="26" s="1"/>
  <c r="AC63" i="26" s="1"/>
  <c r="AC64" i="26" s="1"/>
  <c r="AC65" i="26" s="1"/>
  <c r="AC66" i="26" s="1"/>
  <c r="AC67" i="26" s="1"/>
  <c r="AC68" i="26" s="1"/>
  <c r="AC69" i="26" s="1"/>
  <c r="AC70" i="26" s="1"/>
  <c r="AC71" i="26" s="1"/>
  <c r="AC72" i="26" s="1"/>
  <c r="AC73" i="26" s="1"/>
  <c r="AC74" i="26" s="1"/>
  <c r="AC75" i="26" s="1"/>
  <c r="AC76" i="26" s="1"/>
  <c r="AC77" i="26" s="1"/>
  <c r="AC78" i="26" s="1"/>
  <c r="AC79" i="26" s="1"/>
  <c r="AC80" i="26" s="1"/>
  <c r="AC81" i="26" s="1"/>
  <c r="AC82" i="26" s="1"/>
  <c r="AC83" i="26" s="1"/>
  <c r="AC84" i="26" s="1"/>
  <c r="AC85" i="26" s="1"/>
  <c r="AC86" i="26" s="1"/>
  <c r="AC87" i="26" s="1"/>
  <c r="AC88" i="26" s="1"/>
  <c r="AC89" i="26" s="1"/>
  <c r="AC90" i="26" s="1"/>
  <c r="AC91" i="26" s="1"/>
  <c r="AC92" i="26" s="1"/>
  <c r="AC93" i="26" s="1"/>
  <c r="AC94" i="26" s="1"/>
  <c r="AC95" i="26" s="1"/>
  <c r="AC96" i="26" s="1"/>
  <c r="AC97" i="26" s="1"/>
  <c r="AC98" i="26" s="1"/>
  <c r="AC99" i="26" s="1"/>
  <c r="AC100" i="26" s="1"/>
  <c r="AC101" i="26" s="1"/>
  <c r="AC102" i="26" s="1"/>
  <c r="AC103" i="26" s="1"/>
  <c r="AC104" i="26" s="1"/>
  <c r="AC105" i="26" s="1"/>
  <c r="AC106" i="26" s="1"/>
  <c r="AC107" i="26" s="1"/>
  <c r="AC108" i="26" s="1"/>
  <c r="AC109" i="26" s="1"/>
  <c r="AC110" i="26" s="1"/>
  <c r="AC111" i="26" s="1"/>
  <c r="AC112" i="26" s="1"/>
  <c r="AC113" i="26" s="1"/>
  <c r="AC114" i="26" s="1"/>
  <c r="AC115" i="26" s="1"/>
  <c r="AC116" i="26" s="1"/>
  <c r="AC117" i="26" s="1"/>
  <c r="AC118" i="26" s="1"/>
  <c r="AC119" i="26" s="1"/>
  <c r="AC120" i="26" s="1"/>
  <c r="AC121" i="26" s="1"/>
  <c r="AC122" i="26" s="1"/>
  <c r="AC123" i="26" s="1"/>
  <c r="AC124" i="26" s="1"/>
  <c r="AC125" i="26" s="1"/>
  <c r="AC126" i="26" s="1"/>
  <c r="AC127" i="26" s="1"/>
  <c r="AC128" i="26" s="1"/>
  <c r="AC129" i="26" s="1"/>
  <c r="AC130" i="26" s="1"/>
  <c r="AC131" i="26" s="1"/>
  <c r="AC132" i="26" s="1"/>
  <c r="AC133" i="26" s="1"/>
  <c r="AC134" i="26" s="1"/>
  <c r="AC135" i="26" s="1"/>
  <c r="AC136" i="26" s="1"/>
  <c r="AC137" i="26" s="1"/>
  <c r="AC138" i="26" s="1"/>
  <c r="AC139" i="26" s="1"/>
  <c r="AC140" i="26" s="1"/>
  <c r="AC141" i="26" s="1"/>
  <c r="AC142" i="26" s="1"/>
  <c r="AC143" i="26" s="1"/>
  <c r="AC144" i="26" s="1"/>
  <c r="AC145" i="26" s="1"/>
  <c r="AC146" i="26" s="1"/>
  <c r="AC147" i="26" s="1"/>
  <c r="AC148" i="26" s="1"/>
  <c r="AC149" i="26" s="1"/>
  <c r="AC150" i="26" s="1"/>
  <c r="AC151" i="26" s="1"/>
  <c r="AC152" i="26" s="1"/>
  <c r="AC153" i="26" s="1"/>
  <c r="AC154" i="26" s="1"/>
  <c r="AC155" i="26" s="1"/>
  <c r="AC156" i="26" s="1"/>
  <c r="AC157" i="26" s="1"/>
  <c r="AC158" i="26" s="1"/>
  <c r="AC159" i="26" s="1"/>
  <c r="AC160" i="26" s="1"/>
  <c r="AC161" i="26" s="1"/>
  <c r="AC162" i="26" s="1"/>
  <c r="AC163" i="26" s="1"/>
  <c r="AC164" i="26" s="1"/>
  <c r="AC165" i="26" s="1"/>
  <c r="AC166" i="26" s="1"/>
  <c r="AC167" i="26" s="1"/>
  <c r="AC168" i="26" s="1"/>
  <c r="AC169" i="26" s="1"/>
  <c r="AC170" i="26" s="1"/>
  <c r="AC171" i="26" s="1"/>
  <c r="AC172" i="26" s="1"/>
  <c r="AC173" i="26" s="1"/>
  <c r="AC174" i="26" s="1"/>
  <c r="AC175" i="26" s="1"/>
  <c r="AC176" i="26" s="1"/>
  <c r="AC177" i="26" s="1"/>
  <c r="AC178" i="26" s="1"/>
  <c r="AC179" i="26" s="1"/>
  <c r="AC180" i="26" s="1"/>
  <c r="AC181" i="26" s="1"/>
  <c r="AC182" i="26" s="1"/>
  <c r="AC183" i="26" s="1"/>
  <c r="AC184" i="26" s="1"/>
  <c r="AC185" i="26" s="1"/>
  <c r="AC186" i="26" s="1"/>
  <c r="AC187" i="26" s="1"/>
  <c r="AC188" i="26" s="1"/>
  <c r="AC189" i="26" s="1"/>
  <c r="AC190" i="26" s="1"/>
  <c r="AC191" i="26" s="1"/>
  <c r="AC192" i="26" s="1"/>
  <c r="AC193" i="26" s="1"/>
  <c r="AC194" i="26" s="1"/>
  <c r="AC195" i="26" s="1"/>
  <c r="AC196" i="26" s="1"/>
  <c r="AC197" i="26" s="1"/>
  <c r="AC198" i="26" s="1"/>
  <c r="AC199" i="26" s="1"/>
  <c r="AC200" i="26" s="1"/>
  <c r="AC201" i="26" s="1"/>
  <c r="AC202" i="26" s="1"/>
  <c r="AC203" i="26" s="1"/>
  <c r="AC204" i="26" s="1"/>
  <c r="AC205" i="26" s="1"/>
  <c r="AC206" i="26" s="1"/>
  <c r="AC207" i="26" s="1"/>
  <c r="AC208" i="26" s="1"/>
  <c r="AC209" i="26" s="1"/>
  <c r="AC210" i="26" s="1"/>
  <c r="AC211" i="26" s="1"/>
  <c r="AC212" i="26" s="1"/>
  <c r="AC213" i="26" s="1"/>
  <c r="AC214" i="26" s="1"/>
  <c r="AC215" i="26" s="1"/>
  <c r="AC216" i="26" s="1"/>
  <c r="AC217" i="26" s="1"/>
  <c r="AC218" i="26" s="1"/>
  <c r="AC219" i="26" s="1"/>
  <c r="AC220" i="26" s="1"/>
  <c r="AC221" i="26" s="1"/>
  <c r="AC222" i="26" s="1"/>
  <c r="AC223" i="26" s="1"/>
  <c r="AC224" i="26" s="1"/>
  <c r="AC225" i="26" s="1"/>
  <c r="AC226" i="26" s="1"/>
  <c r="AC227" i="26" s="1"/>
  <c r="AC228" i="26" s="1"/>
  <c r="AC229" i="26" s="1"/>
  <c r="AC230" i="26" s="1"/>
  <c r="AC231" i="26" s="1"/>
  <c r="AC232" i="26" s="1"/>
  <c r="AC233" i="26" s="1"/>
  <c r="AC234" i="26" s="1"/>
  <c r="AC235" i="26" s="1"/>
  <c r="AC236" i="26" s="1"/>
  <c r="AC237" i="26" s="1"/>
  <c r="AC238" i="26" s="1"/>
  <c r="AC239" i="26" s="1"/>
  <c r="AC240" i="26" s="1"/>
  <c r="AC241" i="26" s="1"/>
  <c r="AC242" i="26" s="1"/>
  <c r="AC243" i="26" s="1"/>
  <c r="AC244" i="26" s="1"/>
  <c r="AC245" i="26" s="1"/>
  <c r="AC246" i="26" s="1"/>
  <c r="AC247" i="26" s="1"/>
  <c r="AC248" i="26" s="1"/>
  <c r="AC249" i="26" s="1"/>
  <c r="AC250" i="26" s="1"/>
  <c r="AC251" i="26" s="1"/>
  <c r="AC252" i="26" s="1"/>
  <c r="AC253" i="26" s="1"/>
  <c r="AC254" i="26" s="1"/>
  <c r="AC255" i="26" s="1"/>
  <c r="AC256" i="26" s="1"/>
  <c r="AC257" i="26" s="1"/>
  <c r="AC258" i="26" s="1"/>
  <c r="AC259" i="26" s="1"/>
  <c r="AD12" i="26"/>
  <c r="AD27" i="26"/>
  <c r="AE27" i="26" s="1"/>
  <c r="AD39" i="26"/>
  <c r="AE39" i="26" s="1"/>
  <c r="AD51" i="26"/>
  <c r="AE51" i="26" s="1"/>
  <c r="AD63" i="26"/>
  <c r="AE63" i="26" s="1"/>
  <c r="AD75" i="26"/>
  <c r="AE75" i="26" s="1"/>
  <c r="AD80" i="26"/>
  <c r="AE80" i="26" s="1"/>
  <c r="AD96" i="26"/>
  <c r="AE96" i="26" s="1"/>
  <c r="AD100" i="26"/>
  <c r="AE100" i="26" s="1"/>
  <c r="AD105" i="26"/>
  <c r="AE105" i="26" s="1"/>
  <c r="AD141" i="26"/>
  <c r="AE141" i="26" s="1"/>
  <c r="AD157" i="26"/>
  <c r="AE157" i="26" s="1"/>
  <c r="AD165" i="26"/>
  <c r="AE165" i="26" s="1"/>
  <c r="AD178" i="26"/>
  <c r="AE178" i="26" s="1"/>
  <c r="AD235" i="26"/>
  <c r="AD453" i="26"/>
  <c r="AD471" i="26"/>
  <c r="AD507" i="26"/>
  <c r="AD113" i="26"/>
  <c r="AE113" i="26" s="1"/>
  <c r="AD123" i="26"/>
  <c r="AE123" i="26" s="1"/>
  <c r="AD199" i="26"/>
  <c r="AD541" i="26"/>
  <c r="AD559" i="26"/>
  <c r="AD577" i="26"/>
  <c r="AD595" i="26"/>
  <c r="AD613" i="26"/>
  <c r="AD415" i="26"/>
  <c r="AD146" i="26"/>
  <c r="AE146" i="26" s="1"/>
  <c r="AD43" i="26"/>
  <c r="AE43" i="26" s="1"/>
  <c r="AD55" i="26"/>
  <c r="AE55" i="26" s="1"/>
  <c r="AD67" i="26"/>
  <c r="AE67" i="26" s="1"/>
  <c r="AD77" i="26"/>
  <c r="AE77" i="26" s="1"/>
  <c r="AD107" i="26"/>
  <c r="AE107" i="26" s="1"/>
  <c r="AD112" i="26"/>
  <c r="AE112" i="26" s="1"/>
  <c r="AD117" i="26"/>
  <c r="AE117" i="26" s="1"/>
  <c r="AD148" i="26"/>
  <c r="AE148" i="26" s="1"/>
  <c r="AD172" i="26"/>
  <c r="AE172" i="26" s="1"/>
  <c r="AD180" i="26"/>
  <c r="AD285" i="26"/>
  <c r="AL86" i="26"/>
  <c r="AN86" i="26" s="1"/>
  <c r="AL92" i="26"/>
  <c r="AN92" i="26" s="1"/>
  <c r="AD81" i="26"/>
  <c r="AE81" i="26" s="1"/>
  <c r="AL89" i="26"/>
  <c r="AN89" i="26" s="1"/>
  <c r="AL98" i="26"/>
  <c r="AN98" i="26" s="1"/>
  <c r="AL104" i="26"/>
  <c r="AN104" i="26" s="1"/>
  <c r="AL169" i="26"/>
  <c r="AN169" i="26" s="1"/>
  <c r="AL101" i="26"/>
  <c r="AN101" i="26" s="1"/>
  <c r="AL110" i="26"/>
  <c r="AN110" i="26" s="1"/>
  <c r="AL116" i="26"/>
  <c r="AN116" i="26" s="1"/>
  <c r="AL128" i="26"/>
  <c r="AN128" i="26" s="1"/>
  <c r="AL139" i="26"/>
  <c r="AL14" i="26"/>
  <c r="AN14" i="26" s="1"/>
  <c r="AL113" i="26"/>
  <c r="AN113" i="26" s="1"/>
  <c r="AL122" i="26"/>
  <c r="AN122" i="26" s="1"/>
  <c r="AL125" i="26"/>
  <c r="AN125" i="26" s="1"/>
  <c r="AL182" i="26"/>
  <c r="AL208" i="26"/>
  <c r="AN208" i="26" s="1"/>
  <c r="AL207" i="26"/>
  <c r="AN207" i="26" s="1"/>
  <c r="AL206" i="26"/>
  <c r="AL205" i="26"/>
  <c r="AN205" i="26" s="1"/>
  <c r="AL204" i="26"/>
  <c r="AN204" i="26" s="1"/>
  <c r="AL203" i="26"/>
  <c r="AL200" i="26"/>
  <c r="AN200" i="26" s="1"/>
  <c r="AL194" i="26"/>
  <c r="AN194" i="26" s="1"/>
  <c r="AL201" i="26"/>
  <c r="AN201" i="26" s="1"/>
  <c r="AL195" i="26"/>
  <c r="AN195" i="26" s="1"/>
  <c r="AL189" i="26"/>
  <c r="AL183" i="26"/>
  <c r="AN183" i="26" s="1"/>
  <c r="AL177" i="26"/>
  <c r="AL171" i="26"/>
  <c r="AN171" i="26" s="1"/>
  <c r="AL165" i="26"/>
  <c r="AL159" i="26"/>
  <c r="AN159" i="26" s="1"/>
  <c r="AL153" i="26"/>
  <c r="AN153" i="26" s="1"/>
  <c r="AL147" i="26"/>
  <c r="AL141" i="26"/>
  <c r="AN141" i="26" s="1"/>
  <c r="AL202" i="26"/>
  <c r="AN202" i="26" s="1"/>
  <c r="AL196" i="26"/>
  <c r="AN196" i="26" s="1"/>
  <c r="AL190" i="26"/>
  <c r="AN190" i="26" s="1"/>
  <c r="AL184" i="26"/>
  <c r="AN184" i="26" s="1"/>
  <c r="AL178" i="26"/>
  <c r="AN178" i="26" s="1"/>
  <c r="AL172" i="26"/>
  <c r="AN172" i="26" s="1"/>
  <c r="AL166" i="26"/>
  <c r="AN166" i="26" s="1"/>
  <c r="AL136" i="26"/>
  <c r="AN136" i="26" s="1"/>
  <c r="AL198" i="26"/>
  <c r="AN198" i="26" s="1"/>
  <c r="AL192" i="26"/>
  <c r="AL186" i="26"/>
  <c r="AN186" i="26" s="1"/>
  <c r="AL180" i="26"/>
  <c r="AN180" i="26" s="1"/>
  <c r="AL174" i="26"/>
  <c r="AN174" i="26" s="1"/>
  <c r="AL168" i="26"/>
  <c r="AN168" i="26" s="1"/>
  <c r="AL162" i="26"/>
  <c r="AN162" i="26" s="1"/>
  <c r="AL156" i="26"/>
  <c r="AL150" i="26"/>
  <c r="AN150" i="26" s="1"/>
  <c r="AL144" i="26"/>
  <c r="AN144" i="26" s="1"/>
  <c r="AL137" i="26"/>
  <c r="AN137" i="26" s="1"/>
  <c r="AL155" i="26"/>
  <c r="AL148" i="26"/>
  <c r="AN148" i="26" s="1"/>
  <c r="AL134" i="26"/>
  <c r="AN134" i="26" s="1"/>
  <c r="AL199" i="26"/>
  <c r="AN199" i="26" s="1"/>
  <c r="AL152" i="26"/>
  <c r="AN152" i="26" s="1"/>
  <c r="AL145" i="26"/>
  <c r="AN145" i="26" s="1"/>
  <c r="AL135" i="26"/>
  <c r="AN135" i="26" s="1"/>
  <c r="AL123" i="26"/>
  <c r="AN123" i="26" s="1"/>
  <c r="AL111" i="26"/>
  <c r="AN111" i="26" s="1"/>
  <c r="AL99" i="26"/>
  <c r="AN99" i="26" s="1"/>
  <c r="AL87" i="26"/>
  <c r="AN87" i="26" s="1"/>
  <c r="AL193" i="26"/>
  <c r="AN193" i="26" s="1"/>
  <c r="AL149" i="26"/>
  <c r="AN149" i="26" s="1"/>
  <c r="AL142" i="26"/>
  <c r="AN142" i="26" s="1"/>
  <c r="AL124" i="26"/>
  <c r="AL112" i="26"/>
  <c r="AL100" i="26"/>
  <c r="AN100" i="26" s="1"/>
  <c r="AL88" i="26"/>
  <c r="AN88" i="26" s="1"/>
  <c r="AL76" i="26"/>
  <c r="AN76" i="26" s="1"/>
  <c r="AL75" i="26"/>
  <c r="AN75" i="26" s="1"/>
  <c r="AL74" i="26"/>
  <c r="AN74" i="26" s="1"/>
  <c r="AL73" i="26"/>
  <c r="AN73" i="26" s="1"/>
  <c r="AL72" i="26"/>
  <c r="AN72" i="26" s="1"/>
  <c r="AL71" i="26"/>
  <c r="AN71" i="26" s="1"/>
  <c r="AL70" i="26"/>
  <c r="AN70" i="26" s="1"/>
  <c r="AL69" i="26"/>
  <c r="AN69" i="26" s="1"/>
  <c r="AL68" i="26"/>
  <c r="AN68" i="26" s="1"/>
  <c r="AL67" i="26"/>
  <c r="AN67" i="26" s="1"/>
  <c r="AL66" i="26"/>
  <c r="AN66" i="26" s="1"/>
  <c r="AL65" i="26"/>
  <c r="AN65" i="26" s="1"/>
  <c r="AL64" i="26"/>
  <c r="AN64" i="26" s="1"/>
  <c r="AL63" i="26"/>
  <c r="AN63" i="26" s="1"/>
  <c r="AL62" i="26"/>
  <c r="AN62" i="26" s="1"/>
  <c r="AL61" i="26"/>
  <c r="AN61" i="26" s="1"/>
  <c r="AL60" i="26"/>
  <c r="AN60" i="26" s="1"/>
  <c r="AL59" i="26"/>
  <c r="AN59" i="26" s="1"/>
  <c r="AL58" i="26"/>
  <c r="AN58" i="26" s="1"/>
  <c r="AL57" i="26"/>
  <c r="AN57" i="26" s="1"/>
  <c r="AL56" i="26"/>
  <c r="AN56" i="26" s="1"/>
  <c r="AL55" i="26"/>
  <c r="AN55" i="26" s="1"/>
  <c r="AL54" i="26"/>
  <c r="AN54" i="26" s="1"/>
  <c r="AL53" i="26"/>
  <c r="AN53" i="26" s="1"/>
  <c r="AL52" i="26"/>
  <c r="AN52" i="26" s="1"/>
  <c r="AL51" i="26"/>
  <c r="AN51" i="26" s="1"/>
  <c r="AL50" i="26"/>
  <c r="AN50" i="26" s="1"/>
  <c r="AL49" i="26"/>
  <c r="AN49" i="26" s="1"/>
  <c r="AL48" i="26"/>
  <c r="AN48" i="26" s="1"/>
  <c r="AL47" i="26"/>
  <c r="AN47" i="26" s="1"/>
  <c r="AL46" i="26"/>
  <c r="AN46" i="26" s="1"/>
  <c r="AL45" i="26"/>
  <c r="AN45" i="26" s="1"/>
  <c r="AL44" i="26"/>
  <c r="AN44" i="26" s="1"/>
  <c r="AL43" i="26"/>
  <c r="AN43" i="26" s="1"/>
  <c r="AL42" i="26"/>
  <c r="AN42" i="26" s="1"/>
  <c r="AL41" i="26"/>
  <c r="AN41" i="26" s="1"/>
  <c r="AL40" i="26"/>
  <c r="AN40" i="26" s="1"/>
  <c r="AL39" i="26"/>
  <c r="AN39" i="26" s="1"/>
  <c r="AL38" i="26"/>
  <c r="AN38" i="26" s="1"/>
  <c r="AL37" i="26"/>
  <c r="AN37" i="26" s="1"/>
  <c r="AL36" i="26"/>
  <c r="AN36" i="26" s="1"/>
  <c r="AL35" i="26"/>
  <c r="AN35" i="26" s="1"/>
  <c r="AL34" i="26"/>
  <c r="AN34" i="26" s="1"/>
  <c r="AL33" i="26"/>
  <c r="AN33" i="26" s="1"/>
  <c r="AL32" i="26"/>
  <c r="AN32" i="26" s="1"/>
  <c r="AL31" i="26"/>
  <c r="AN31" i="26" s="1"/>
  <c r="AL30" i="26"/>
  <c r="AN30" i="26" s="1"/>
  <c r="AL29" i="26"/>
  <c r="AN29" i="26" s="1"/>
  <c r="AL28" i="26"/>
  <c r="AN28" i="26" s="1"/>
  <c r="AL27" i="26"/>
  <c r="AN27" i="26" s="1"/>
  <c r="AL26" i="26"/>
  <c r="AN26" i="26" s="1"/>
  <c r="AL25" i="26"/>
  <c r="AN25" i="26" s="1"/>
  <c r="AL24" i="26"/>
  <c r="AN24" i="26" s="1"/>
  <c r="AL23" i="26"/>
  <c r="AN23" i="26" s="1"/>
  <c r="AL22" i="26"/>
  <c r="AN22" i="26" s="1"/>
  <c r="AL21" i="26"/>
  <c r="AN21" i="26" s="1"/>
  <c r="AL20" i="26"/>
  <c r="AN20" i="26" s="1"/>
  <c r="AL19" i="26"/>
  <c r="AN19" i="26" s="1"/>
  <c r="AL181" i="26"/>
  <c r="AN181" i="26" s="1"/>
  <c r="AL143" i="26"/>
  <c r="AN143" i="26" s="1"/>
  <c r="AL126" i="26"/>
  <c r="AN126" i="26" s="1"/>
  <c r="AL114" i="26"/>
  <c r="AN114" i="26" s="1"/>
  <c r="AL102" i="26"/>
  <c r="AN102" i="26" s="1"/>
  <c r="AL90" i="26"/>
  <c r="AN90" i="26" s="1"/>
  <c r="AL78" i="26"/>
  <c r="AN78" i="26" s="1"/>
  <c r="AL197" i="26"/>
  <c r="AN197" i="26" s="1"/>
  <c r="AL191" i="26"/>
  <c r="AN191" i="26" s="1"/>
  <c r="AL188" i="26"/>
  <c r="AN188" i="26" s="1"/>
  <c r="AL175" i="26"/>
  <c r="AL140" i="26"/>
  <c r="AL127" i="26"/>
  <c r="AN127" i="26" s="1"/>
  <c r="AL115" i="26"/>
  <c r="AL103" i="26"/>
  <c r="AN103" i="26" s="1"/>
  <c r="AL91" i="26"/>
  <c r="AN91" i="26" s="1"/>
  <c r="AL79" i="26"/>
  <c r="AN79" i="26" s="1"/>
  <c r="AL179" i="26"/>
  <c r="AN179" i="26" s="1"/>
  <c r="AL176" i="26"/>
  <c r="AN176" i="26" s="1"/>
  <c r="AL163" i="26"/>
  <c r="AN163" i="26" s="1"/>
  <c r="AL129" i="26"/>
  <c r="AN129" i="26" s="1"/>
  <c r="AL117" i="26"/>
  <c r="AN117" i="26" s="1"/>
  <c r="AL105" i="26"/>
  <c r="AN105" i="26" s="1"/>
  <c r="AL93" i="26"/>
  <c r="AN93" i="26" s="1"/>
  <c r="AL81" i="26"/>
  <c r="AN81" i="26" s="1"/>
  <c r="AL173" i="26"/>
  <c r="AN173" i="26" s="1"/>
  <c r="AL170" i="26"/>
  <c r="AN170" i="26" s="1"/>
  <c r="AL160" i="26"/>
  <c r="AN160" i="26" s="1"/>
  <c r="AL130" i="26"/>
  <c r="AN130" i="26" s="1"/>
  <c r="AL118" i="26"/>
  <c r="AN118" i="26" s="1"/>
  <c r="AL106" i="26"/>
  <c r="AN106" i="26" s="1"/>
  <c r="AL94" i="26"/>
  <c r="AN94" i="26" s="1"/>
  <c r="AL82" i="26"/>
  <c r="AN82" i="26" s="1"/>
  <c r="AL167" i="26"/>
  <c r="AN167" i="26" s="1"/>
  <c r="AL164" i="26"/>
  <c r="AL157" i="26"/>
  <c r="AN157" i="26" s="1"/>
  <c r="AL131" i="26"/>
  <c r="AN131" i="26" s="1"/>
  <c r="AL119" i="26"/>
  <c r="AN119" i="26" s="1"/>
  <c r="AL107" i="26"/>
  <c r="AN107" i="26" s="1"/>
  <c r="AL95" i="26"/>
  <c r="AN95" i="26" s="1"/>
  <c r="AL83" i="26"/>
  <c r="AN83" i="26" s="1"/>
  <c r="AL161" i="26"/>
  <c r="AN161" i="26" s="1"/>
  <c r="AL154" i="26"/>
  <c r="AN154" i="26" s="1"/>
  <c r="AL132" i="26"/>
  <c r="AN132" i="26" s="1"/>
  <c r="AL120" i="26"/>
  <c r="AN120" i="26" s="1"/>
  <c r="AL108" i="26"/>
  <c r="AN108" i="26" s="1"/>
  <c r="AL96" i="26"/>
  <c r="AN96" i="26" s="1"/>
  <c r="AL84" i="26"/>
  <c r="AN84" i="26" s="1"/>
  <c r="AL85" i="26"/>
  <c r="AN85" i="26" s="1"/>
  <c r="AL158" i="26"/>
  <c r="AN158" i="26" s="1"/>
  <c r="AL151" i="26"/>
  <c r="AN151" i="26" s="1"/>
  <c r="AL138" i="26"/>
  <c r="AN138" i="26" s="1"/>
  <c r="AL133" i="26"/>
  <c r="AN133" i="26" s="1"/>
  <c r="AL121" i="26"/>
  <c r="AN121" i="26" s="1"/>
  <c r="AL109" i="26"/>
  <c r="AN109" i="26" s="1"/>
  <c r="AL97" i="26"/>
  <c r="AN97" i="26" s="1"/>
  <c r="AD8" i="26"/>
  <c r="AL13" i="26"/>
  <c r="AN13" i="26" s="1"/>
  <c r="AD87" i="26"/>
  <c r="AE87" i="26" s="1"/>
  <c r="AL11" i="26"/>
  <c r="AN11" i="26" s="1"/>
  <c r="AL18" i="26"/>
  <c r="AN18" i="26" s="1"/>
  <c r="AN112" i="26"/>
  <c r="AN115" i="26"/>
  <c r="AN124" i="26"/>
  <c r="AD151" i="26"/>
  <c r="AE151" i="26" s="1"/>
  <c r="AD152" i="26"/>
  <c r="AE152" i="26" s="1"/>
  <c r="AL187" i="26"/>
  <c r="AN187" i="26" s="1"/>
  <c r="AL9" i="26"/>
  <c r="AN9" i="26" s="1"/>
  <c r="AL146" i="26"/>
  <c r="AN146" i="26" s="1"/>
  <c r="AD219" i="26"/>
  <c r="AD220" i="26"/>
  <c r="AL77" i="26"/>
  <c r="AN77" i="26" s="1"/>
  <c r="AL80" i="26"/>
  <c r="AN80" i="26" s="1"/>
  <c r="AD83" i="26"/>
  <c r="AE83" i="26" s="1"/>
  <c r="AD131" i="26"/>
  <c r="AE131" i="26" s="1"/>
  <c r="AD132" i="26"/>
  <c r="AE132" i="26" s="1"/>
  <c r="AD142" i="26"/>
  <c r="AE142" i="26" s="1"/>
  <c r="AD143" i="26"/>
  <c r="AE143" i="26" s="1"/>
  <c r="AD197" i="26"/>
  <c r="AL10" i="26"/>
  <c r="AN10" i="26" s="1"/>
  <c r="AL17" i="26"/>
  <c r="AN17" i="26" s="1"/>
  <c r="AL8" i="26"/>
  <c r="AN8" i="26" s="1"/>
  <c r="AL7" i="26"/>
  <c r="AN7" i="26" s="1"/>
  <c r="AL16" i="26"/>
  <c r="AN16" i="26" s="1"/>
  <c r="AD95" i="26"/>
  <c r="AE95" i="26" s="1"/>
  <c r="AN140" i="26"/>
  <c r="AD170" i="26"/>
  <c r="AE170" i="26" s="1"/>
  <c r="AD173" i="26"/>
  <c r="AE173" i="26" s="1"/>
  <c r="AD201" i="26"/>
  <c r="AN164" i="26"/>
  <c r="AD176" i="26"/>
  <c r="AE176" i="26" s="1"/>
  <c r="AN189" i="26"/>
  <c r="AN192" i="26"/>
  <c r="AD140" i="26"/>
  <c r="AE140" i="26" s="1"/>
  <c r="AN147" i="26"/>
  <c r="AD181" i="26"/>
  <c r="AD136" i="26"/>
  <c r="AE136" i="26" s="1"/>
  <c r="AN182" i="26"/>
  <c r="AN185" i="26"/>
  <c r="AN156" i="26"/>
  <c r="AD222" i="26"/>
  <c r="AD221" i="26"/>
  <c r="AN175" i="26"/>
  <c r="AN139" i="26"/>
  <c r="AD158" i="26"/>
  <c r="AE158" i="26" s="1"/>
  <c r="AN165" i="26"/>
  <c r="AN203" i="26"/>
  <c r="AN155" i="26"/>
  <c r="AD161" i="26"/>
  <c r="AE161" i="26" s="1"/>
  <c r="AN177" i="26"/>
  <c r="AD231" i="26"/>
  <c r="AD232" i="26"/>
  <c r="AE232" i="26" s="1"/>
  <c r="AD233" i="26"/>
  <c r="AD262" i="26"/>
  <c r="AD225" i="26"/>
  <c r="AD321" i="26"/>
  <c r="AD322" i="26"/>
  <c r="AD213" i="26"/>
  <c r="AD339" i="26"/>
  <c r="AD340" i="26"/>
  <c r="AD363" i="26"/>
  <c r="AD364" i="26"/>
  <c r="AD211" i="26"/>
  <c r="AD273" i="26"/>
  <c r="AD274" i="26"/>
  <c r="AD291" i="26"/>
  <c r="AD292" i="26"/>
  <c r="AD357" i="26"/>
  <c r="AD358" i="26"/>
  <c r="AD399" i="26"/>
  <c r="AD400" i="26"/>
  <c r="AN206" i="26"/>
  <c r="AD230" i="26"/>
  <c r="AD260" i="26"/>
  <c r="AD375" i="26"/>
  <c r="AD376" i="26"/>
  <c r="AD267" i="26"/>
  <c r="AD268" i="26"/>
  <c r="AD309" i="26"/>
  <c r="AD310" i="26"/>
  <c r="AD393" i="26"/>
  <c r="AD394" i="26"/>
  <c r="AD351" i="26"/>
  <c r="AD352" i="26"/>
  <c r="AD387" i="26"/>
  <c r="AD388" i="26"/>
  <c r="AD423" i="26"/>
  <c r="AD424" i="26"/>
  <c r="AD247" i="26"/>
  <c r="AD249" i="26"/>
  <c r="AD345" i="26"/>
  <c r="AD346" i="26"/>
  <c r="AD381" i="26"/>
  <c r="AD382" i="26"/>
  <c r="AD417" i="26"/>
  <c r="AD418" i="26"/>
  <c r="AD279" i="26"/>
  <c r="AD280" i="26"/>
  <c r="AD447" i="26"/>
  <c r="AD448" i="26"/>
  <c r="AD489" i="26"/>
  <c r="AD549" i="26"/>
  <c r="AD411" i="26"/>
  <c r="AD412" i="26"/>
  <c r="AD333" i="26"/>
  <c r="AD334" i="26"/>
  <c r="AD369" i="26"/>
  <c r="AD370" i="26"/>
  <c r="AD405" i="26"/>
  <c r="AD406" i="26"/>
  <c r="AD525" i="26"/>
  <c r="AD585" i="26"/>
  <c r="AD238" i="26"/>
  <c r="AD242" i="26"/>
  <c r="AD296" i="26"/>
  <c r="AD298" i="26"/>
  <c r="AD327" i="26"/>
  <c r="AD328" i="26"/>
  <c r="AD435" i="26"/>
  <c r="AD436" i="26"/>
  <c r="AD250" i="26"/>
  <c r="AD254" i="26"/>
  <c r="AD284" i="26"/>
  <c r="AD286" i="26"/>
  <c r="AD315" i="26"/>
  <c r="AD316" i="26"/>
  <c r="AD429" i="26"/>
  <c r="AD430" i="26"/>
  <c r="AD303" i="26"/>
  <c r="AE303" i="26" s="1"/>
  <c r="AD304" i="26"/>
  <c r="AD460" i="26"/>
  <c r="AD472" i="26"/>
  <c r="AD484" i="26"/>
  <c r="AD496" i="26"/>
  <c r="AD508" i="26"/>
  <c r="AD520" i="26"/>
  <c r="AD532" i="26"/>
  <c r="AD544" i="26"/>
  <c r="AD556" i="26"/>
  <c r="AD568" i="26"/>
  <c r="AD580" i="26"/>
  <c r="AD592" i="26"/>
  <c r="AD604" i="26"/>
  <c r="AD616" i="26"/>
  <c r="AD442" i="26"/>
  <c r="AD454" i="26"/>
  <c r="AD466" i="26"/>
  <c r="AD478" i="26"/>
  <c r="AD490" i="26"/>
  <c r="AD502" i="26"/>
  <c r="AE500" i="26" s="1"/>
  <c r="AD514" i="26"/>
  <c r="AD526" i="26"/>
  <c r="AD538" i="26"/>
  <c r="AD550" i="26"/>
  <c r="AD562" i="26"/>
  <c r="AD574" i="26"/>
  <c r="AD586" i="26"/>
  <c r="AD598" i="26"/>
  <c r="AD610" i="26"/>
  <c r="AE222" i="26" l="1"/>
  <c r="AE213" i="26"/>
  <c r="AE221" i="26"/>
  <c r="AE223" i="26"/>
  <c r="AE228" i="26"/>
  <c r="AE298" i="26"/>
  <c r="AD198" i="26"/>
  <c r="AE237" i="26"/>
  <c r="AE217" i="26"/>
  <c r="AE234" i="26"/>
  <c r="AE214" i="26"/>
  <c r="AE300" i="26"/>
  <c r="AE224" i="26"/>
  <c r="AE295" i="26"/>
  <c r="AE229" i="26"/>
  <c r="AE225" i="26"/>
  <c r="AD202" i="26"/>
  <c r="AE238" i="26"/>
  <c r="AE218" i="26"/>
  <c r="AD205" i="26"/>
  <c r="AE239" i="26"/>
  <c r="AE215" i="26"/>
  <c r="AE236" i="26"/>
  <c r="AE233" i="26"/>
  <c r="AD182" i="26"/>
  <c r="AE325" i="26"/>
  <c r="AE212" i="26"/>
  <c r="AE227" i="26"/>
  <c r="AE211" i="26"/>
  <c r="AE331" i="26"/>
  <c r="AE231" i="26"/>
  <c r="AE289" i="26"/>
  <c r="AE319" i="26"/>
  <c r="AE230" i="26"/>
  <c r="AE220" i="26"/>
  <c r="AE235" i="26"/>
  <c r="AE226" i="26"/>
  <c r="AE562" i="26"/>
  <c r="AE351" i="26"/>
  <c r="AE219" i="26"/>
  <c r="AE317" i="26"/>
  <c r="AE294" i="26"/>
  <c r="AE216" i="26"/>
  <c r="AE335" i="26"/>
  <c r="AE506" i="26"/>
  <c r="AE404" i="26"/>
  <c r="AE616" i="26"/>
  <c r="AE414" i="26"/>
  <c r="AE604" i="26"/>
  <c r="AE460" i="26"/>
  <c r="AE575" i="26"/>
  <c r="AE416" i="26"/>
  <c r="AE546" i="26"/>
  <c r="AE385" i="26"/>
  <c r="AE437" i="26"/>
  <c r="AE573" i="26"/>
  <c r="AE512" i="26"/>
  <c r="AE498" i="26"/>
  <c r="AE611" i="26"/>
  <c r="AE485" i="26"/>
  <c r="AE435" i="26"/>
  <c r="AE417" i="26"/>
  <c r="AE613" i="26"/>
  <c r="AE495" i="26"/>
  <c r="AE470" i="26"/>
  <c r="AE463" i="26"/>
  <c r="AE570" i="26"/>
  <c r="AE403" i="26"/>
  <c r="AE538" i="26"/>
  <c r="AE412" i="26"/>
  <c r="AE557" i="26"/>
  <c r="AE543" i="26"/>
  <c r="AE548" i="26"/>
  <c r="AE618" i="26"/>
  <c r="AE600" i="26"/>
  <c r="AE482" i="26"/>
  <c r="AE582" i="26"/>
  <c r="AE422" i="26"/>
  <c r="AE503" i="26"/>
  <c r="AE474" i="26"/>
  <c r="AE384" i="26"/>
  <c r="AE373" i="26"/>
  <c r="AE366" i="26"/>
  <c r="AE593" i="26"/>
  <c r="AE312" i="26"/>
  <c r="AE550" i="26"/>
  <c r="AE592" i="26"/>
  <c r="AE304" i="26"/>
  <c r="AE328" i="26"/>
  <c r="AE334" i="26"/>
  <c r="AD383" i="26"/>
  <c r="AE382" i="26" s="1"/>
  <c r="AE394" i="26"/>
  <c r="AE400" i="26"/>
  <c r="AE339" i="26"/>
  <c r="AE595" i="26"/>
  <c r="AE306" i="26"/>
  <c r="AE477" i="26"/>
  <c r="AE452" i="26"/>
  <c r="AE445" i="26"/>
  <c r="AE555" i="26"/>
  <c r="AE564" i="26"/>
  <c r="AE355" i="26"/>
  <c r="AE597" i="26"/>
  <c r="AE305" i="26"/>
  <c r="AE314" i="26"/>
  <c r="AE397" i="26"/>
  <c r="AE615" i="26"/>
  <c r="AE504" i="26"/>
  <c r="AE301" i="26"/>
  <c r="AE372" i="26"/>
  <c r="AE563" i="26"/>
  <c r="AE580" i="26"/>
  <c r="AE327" i="26"/>
  <c r="AE333" i="26"/>
  <c r="AE393" i="26"/>
  <c r="AE399" i="26"/>
  <c r="AE577" i="26"/>
  <c r="AE288" i="26"/>
  <c r="AE459" i="26"/>
  <c r="AE434" i="26"/>
  <c r="AE427" i="26"/>
  <c r="AE407" i="26"/>
  <c r="AE461" i="26"/>
  <c r="AE609" i="26"/>
  <c r="AE348" i="26"/>
  <c r="AE566" i="26"/>
  <c r="AE299" i="26"/>
  <c r="AE607" i="26"/>
  <c r="AE311" i="26"/>
  <c r="AE603" i="26"/>
  <c r="AE501" i="26"/>
  <c r="AE568" i="26"/>
  <c r="AE430" i="26"/>
  <c r="AE346" i="26"/>
  <c r="AE358" i="26"/>
  <c r="AE322" i="26"/>
  <c r="AE559" i="26"/>
  <c r="AE441" i="26"/>
  <c r="AE391" i="26"/>
  <c r="AE606" i="26"/>
  <c r="AE571" i="26"/>
  <c r="AE329" i="26"/>
  <c r="AE540" i="26"/>
  <c r="AE589" i="26"/>
  <c r="AE302" i="26"/>
  <c r="AE537" i="26"/>
  <c r="AE354" i="26"/>
  <c r="AE494" i="26"/>
  <c r="AE340" i="26"/>
  <c r="AE556" i="26"/>
  <c r="AE429" i="26"/>
  <c r="AE296" i="26"/>
  <c r="AE411" i="26"/>
  <c r="AE345" i="26"/>
  <c r="AE310" i="26"/>
  <c r="AE357" i="26"/>
  <c r="AE321" i="26"/>
  <c r="AE541" i="26"/>
  <c r="AE240" i="26"/>
  <c r="AE241" i="26"/>
  <c r="AE245" i="26"/>
  <c r="AE297" i="26"/>
  <c r="AE398" i="26"/>
  <c r="AE588" i="26"/>
  <c r="AE497" i="26"/>
  <c r="AE510" i="26"/>
  <c r="AE545" i="26"/>
  <c r="AE553" i="26"/>
  <c r="AE293" i="26"/>
  <c r="AE594" i="26"/>
  <c r="AE444" i="26"/>
  <c r="AE492" i="26"/>
  <c r="AE318" i="26"/>
  <c r="AE539" i="26"/>
  <c r="AE502" i="26"/>
  <c r="AE544" i="26"/>
  <c r="AE316" i="26"/>
  <c r="AE549" i="26"/>
  <c r="AE309" i="26"/>
  <c r="AE292" i="26"/>
  <c r="AE608" i="26"/>
  <c r="AE380" i="26"/>
  <c r="AE479" i="26"/>
  <c r="AE491" i="26"/>
  <c r="AE481" i="26"/>
  <c r="AE488" i="26"/>
  <c r="AE368" i="26"/>
  <c r="AE535" i="26"/>
  <c r="AE534" i="26"/>
  <c r="AE591" i="26"/>
  <c r="AE486" i="26"/>
  <c r="AE330" i="26"/>
  <c r="AE451" i="26"/>
  <c r="AE490" i="26"/>
  <c r="AD533" i="26"/>
  <c r="AE514" i="26" s="1"/>
  <c r="AE315" i="26"/>
  <c r="AE489" i="26"/>
  <c r="AE291" i="26"/>
  <c r="AE590" i="26"/>
  <c r="AE601" i="26"/>
  <c r="AE362" i="26"/>
  <c r="AE614" i="26"/>
  <c r="AE440" i="26"/>
  <c r="AE353" i="26"/>
  <c r="AE396" i="26"/>
  <c r="AE469" i="26"/>
  <c r="AE483" i="26"/>
  <c r="AE552" i="26"/>
  <c r="AE365" i="26"/>
  <c r="AE389" i="26"/>
  <c r="AE480" i="26"/>
  <c r="AE617" i="26"/>
  <c r="AE473" i="26"/>
  <c r="AE413" i="26"/>
  <c r="AE369" i="26"/>
  <c r="AE343" i="26"/>
  <c r="AE478" i="26"/>
  <c r="AE520" i="26"/>
  <c r="AD287" i="26"/>
  <c r="AE287" i="26" s="1"/>
  <c r="AE585" i="26"/>
  <c r="AE448" i="26"/>
  <c r="AE424" i="26"/>
  <c r="AE572" i="26"/>
  <c r="AE583" i="26"/>
  <c r="AE344" i="26"/>
  <c r="AE596" i="26"/>
  <c r="AE428" i="26"/>
  <c r="AE377" i="26"/>
  <c r="AE450" i="26"/>
  <c r="AE476" i="26"/>
  <c r="AE462" i="26"/>
  <c r="AE359" i="26"/>
  <c r="AE579" i="26"/>
  <c r="AE432" i="26"/>
  <c r="AE467" i="26"/>
  <c r="AE410" i="26"/>
  <c r="AE338" i="26"/>
  <c r="AE610" i="26"/>
  <c r="AE466" i="26"/>
  <c r="AE508" i="26"/>
  <c r="AE447" i="26"/>
  <c r="AE423" i="26"/>
  <c r="AE376" i="26"/>
  <c r="AE507" i="26"/>
  <c r="AE554" i="26"/>
  <c r="AE565" i="26"/>
  <c r="AE605" i="26"/>
  <c r="AE326" i="26"/>
  <c r="AE578" i="26"/>
  <c r="AE421" i="26"/>
  <c r="AE475" i="26"/>
  <c r="AE371" i="26"/>
  <c r="AE431" i="26"/>
  <c r="AE464" i="26"/>
  <c r="AE356" i="26"/>
  <c r="AE511" i="26"/>
  <c r="AE443" i="26"/>
  <c r="AE576" i="26"/>
  <c r="AE468" i="26"/>
  <c r="AE426" i="26"/>
  <c r="AE602" i="26"/>
  <c r="AE458" i="26"/>
  <c r="AE367" i="26"/>
  <c r="AE558" i="26"/>
  <c r="AE598" i="26"/>
  <c r="AE454" i="26"/>
  <c r="AE496" i="26"/>
  <c r="AE406" i="26"/>
  <c r="AD281" i="26"/>
  <c r="AE388" i="26"/>
  <c r="AE471" i="26"/>
  <c r="AE536" i="26"/>
  <c r="AE547" i="26"/>
  <c r="AE587" i="26"/>
  <c r="AE308" i="26"/>
  <c r="AE560" i="26"/>
  <c r="AE402" i="26"/>
  <c r="AE361" i="26"/>
  <c r="AE332" i="26"/>
  <c r="AE425" i="26"/>
  <c r="AE457" i="26"/>
  <c r="AE350" i="26"/>
  <c r="AE505" i="26"/>
  <c r="AE439" i="26"/>
  <c r="AE465" i="26"/>
  <c r="AE420" i="26"/>
  <c r="AE599" i="26"/>
  <c r="AE518" i="26"/>
  <c r="AE455" i="26"/>
  <c r="AE401" i="26"/>
  <c r="AE324" i="26"/>
  <c r="AE586" i="26"/>
  <c r="AE442" i="26"/>
  <c r="AE484" i="26"/>
  <c r="AE405" i="26"/>
  <c r="AE387" i="26"/>
  <c r="AD261" i="26"/>
  <c r="AE261" i="26" s="1"/>
  <c r="AE364" i="26"/>
  <c r="AE453" i="26"/>
  <c r="AE360" i="26"/>
  <c r="AE569" i="26"/>
  <c r="AE290" i="26"/>
  <c r="AE542" i="26"/>
  <c r="AE307" i="26"/>
  <c r="AE323" i="26"/>
  <c r="AE320" i="26"/>
  <c r="AE386" i="26"/>
  <c r="AE438" i="26"/>
  <c r="AE408" i="26"/>
  <c r="AE347" i="26"/>
  <c r="AE493" i="26"/>
  <c r="AE433" i="26"/>
  <c r="AE349" i="26"/>
  <c r="AE567" i="26"/>
  <c r="AE522" i="26"/>
  <c r="AE456" i="26"/>
  <c r="AE584" i="26"/>
  <c r="AE449" i="26"/>
  <c r="AE395" i="26"/>
  <c r="AE574" i="26"/>
  <c r="AE472" i="26"/>
  <c r="AE436" i="26"/>
  <c r="AE370" i="26"/>
  <c r="AE418" i="26"/>
  <c r="AE352" i="26"/>
  <c r="AE363" i="26"/>
  <c r="AE415" i="26"/>
  <c r="AE342" i="26"/>
  <c r="AE513" i="26"/>
  <c r="AE551" i="26"/>
  <c r="AE499" i="26"/>
  <c r="AE269" i="26"/>
  <c r="AE612" i="26"/>
  <c r="AE313" i="26"/>
  <c r="AE374" i="26"/>
  <c r="AE419" i="26"/>
  <c r="AE341" i="26"/>
  <c r="AE487" i="26"/>
  <c r="AE409" i="26"/>
  <c r="AE337" i="26"/>
  <c r="AE561" i="26"/>
  <c r="AE519" i="26"/>
  <c r="AE390" i="26"/>
  <c r="AE336" i="26"/>
  <c r="AE581" i="26"/>
  <c r="AE509" i="26"/>
  <c r="AE446" i="26"/>
  <c r="AE392" i="26"/>
  <c r="AC260" i="26"/>
  <c r="AC261" i="26" s="1"/>
  <c r="AC262" i="26" s="1"/>
  <c r="AC263" i="26" s="1"/>
  <c r="AC264" i="26" s="1"/>
  <c r="AC265" i="26" s="1"/>
  <c r="AC266" i="26" s="1"/>
  <c r="AC267" i="26" s="1"/>
  <c r="AC268" i="26" s="1"/>
  <c r="AC269" i="26" s="1"/>
  <c r="AC270" i="26" s="1"/>
  <c r="AC271" i="26" s="1"/>
  <c r="AC272" i="26" s="1"/>
  <c r="AC273" i="26" s="1"/>
  <c r="AC274" i="26" s="1"/>
  <c r="AC275" i="26" s="1"/>
  <c r="AC276" i="26" s="1"/>
  <c r="AC277" i="26" s="1"/>
  <c r="AC278" i="26" s="1"/>
  <c r="AC279" i="26" s="1"/>
  <c r="AC280" i="26" s="1"/>
  <c r="AC281" i="26" s="1"/>
  <c r="AC282" i="26" s="1"/>
  <c r="AC283" i="26" s="1"/>
  <c r="AC284" i="26" s="1"/>
  <c r="AC285" i="26" s="1"/>
  <c r="AC286" i="26" s="1"/>
  <c r="AC287" i="26" s="1"/>
  <c r="AC288" i="26" s="1"/>
  <c r="AC289" i="26" s="1"/>
  <c r="AC290" i="26" s="1"/>
  <c r="AC291" i="26" s="1"/>
  <c r="AC292" i="26" s="1"/>
  <c r="AC293" i="26" s="1"/>
  <c r="AC294" i="26" s="1"/>
  <c r="AC295" i="26" s="1"/>
  <c r="AC296" i="26" s="1"/>
  <c r="AC297" i="26" s="1"/>
  <c r="AC298" i="26" s="1"/>
  <c r="AC299" i="26" s="1"/>
  <c r="AC300" i="26" s="1"/>
  <c r="AC301" i="26" s="1"/>
  <c r="AC302" i="26" s="1"/>
  <c r="AC303" i="26" s="1"/>
  <c r="AC304" i="26" s="1"/>
  <c r="AC305" i="26" s="1"/>
  <c r="AC306" i="26" s="1"/>
  <c r="AC307" i="26" s="1"/>
  <c r="AC308" i="26" s="1"/>
  <c r="AC309" i="26" s="1"/>
  <c r="AC310" i="26" s="1"/>
  <c r="AC311" i="26" s="1"/>
  <c r="AC312" i="26" s="1"/>
  <c r="AC313" i="26" s="1"/>
  <c r="AC314" i="26" s="1"/>
  <c r="AC315" i="26" s="1"/>
  <c r="AC316" i="26" s="1"/>
  <c r="AC317" i="26" s="1"/>
  <c r="AC318" i="26" s="1"/>
  <c r="AC319" i="26" s="1"/>
  <c r="AC320" i="26" s="1"/>
  <c r="AC321" i="26" s="1"/>
  <c r="AC322" i="26" s="1"/>
  <c r="AC323" i="26" s="1"/>
  <c r="AC324" i="26" s="1"/>
  <c r="AC325" i="26" s="1"/>
  <c r="AC326" i="26" s="1"/>
  <c r="AC327" i="26" s="1"/>
  <c r="AC328" i="26" s="1"/>
  <c r="AC329" i="26" s="1"/>
  <c r="AC330" i="26" s="1"/>
  <c r="AC331" i="26" s="1"/>
  <c r="AC332" i="26" s="1"/>
  <c r="AC333" i="26" s="1"/>
  <c r="AC334" i="26" s="1"/>
  <c r="AC335" i="26" s="1"/>
  <c r="AC336" i="26" s="1"/>
  <c r="AC337" i="26" s="1"/>
  <c r="AC338" i="26" s="1"/>
  <c r="AC339" i="26" s="1"/>
  <c r="AC340" i="26" s="1"/>
  <c r="AC341" i="26" s="1"/>
  <c r="AC342" i="26" s="1"/>
  <c r="AC343" i="26" s="1"/>
  <c r="AC344" i="26" s="1"/>
  <c r="AC345" i="26" s="1"/>
  <c r="AC346" i="26" s="1"/>
  <c r="AC347" i="26" s="1"/>
  <c r="AC348" i="26" s="1"/>
  <c r="AC349" i="26" s="1"/>
  <c r="AC350" i="26" s="1"/>
  <c r="AC351" i="26" s="1"/>
  <c r="AC352" i="26" s="1"/>
  <c r="AC353" i="26" s="1"/>
  <c r="AC354" i="26" s="1"/>
  <c r="AC355" i="26" s="1"/>
  <c r="AC356" i="26" s="1"/>
  <c r="AC357" i="26" s="1"/>
  <c r="AC358" i="26" s="1"/>
  <c r="AC359" i="26" s="1"/>
  <c r="AC360" i="26" s="1"/>
  <c r="AC361" i="26" s="1"/>
  <c r="AC362" i="26" s="1"/>
  <c r="AC363" i="26" s="1"/>
  <c r="AC364" i="26" s="1"/>
  <c r="AC365" i="26" s="1"/>
  <c r="AC366" i="26" s="1"/>
  <c r="AC367" i="26" s="1"/>
  <c r="AC368" i="26" s="1"/>
  <c r="AC369" i="26" s="1"/>
  <c r="AC370" i="26" s="1"/>
  <c r="AC371" i="26" s="1"/>
  <c r="AC372" i="26" s="1"/>
  <c r="AC373" i="26" s="1"/>
  <c r="AC374" i="26" s="1"/>
  <c r="AC375" i="26" s="1"/>
  <c r="AC376" i="26" s="1"/>
  <c r="AC377" i="26" s="1"/>
  <c r="AC378" i="26" s="1"/>
  <c r="AC379" i="26" s="1"/>
  <c r="AC380" i="26" s="1"/>
  <c r="AC381" i="26" s="1"/>
  <c r="AC382" i="26" s="1"/>
  <c r="AC383" i="26" s="1"/>
  <c r="AC384" i="26" s="1"/>
  <c r="AC385" i="26" s="1"/>
  <c r="AC386" i="26" s="1"/>
  <c r="AC387" i="26" s="1"/>
  <c r="AC388" i="26" s="1"/>
  <c r="AC389" i="26" s="1"/>
  <c r="AC390" i="26" s="1"/>
  <c r="AC391" i="26" s="1"/>
  <c r="AC392" i="26" s="1"/>
  <c r="AC393" i="26" s="1"/>
  <c r="AC394" i="26" s="1"/>
  <c r="AC395" i="26" s="1"/>
  <c r="AC396" i="26" s="1"/>
  <c r="AC397" i="26" s="1"/>
  <c r="AC398" i="26" s="1"/>
  <c r="AC399" i="26" s="1"/>
  <c r="AC400" i="26" s="1"/>
  <c r="AC401" i="26" s="1"/>
  <c r="AC402" i="26" s="1"/>
  <c r="AC403" i="26" s="1"/>
  <c r="AC404" i="26" s="1"/>
  <c r="AC405" i="26" s="1"/>
  <c r="AC406" i="26" s="1"/>
  <c r="AC407" i="26" s="1"/>
  <c r="AC408" i="26" s="1"/>
  <c r="AC409" i="26" s="1"/>
  <c r="AC410" i="26" s="1"/>
  <c r="AC411" i="26" s="1"/>
  <c r="AC412" i="26" s="1"/>
  <c r="AC413" i="26" s="1"/>
  <c r="AC414" i="26" s="1"/>
  <c r="AC415" i="26" s="1"/>
  <c r="AC416" i="26" s="1"/>
  <c r="AC417" i="26" s="1"/>
  <c r="AC418" i="26" s="1"/>
  <c r="AC419" i="26" s="1"/>
  <c r="AC420" i="26" s="1"/>
  <c r="AC421" i="26" s="1"/>
  <c r="AC422" i="26" s="1"/>
  <c r="AC423" i="26" s="1"/>
  <c r="AC424" i="26" s="1"/>
  <c r="AC425" i="26" s="1"/>
  <c r="AC426" i="26" s="1"/>
  <c r="AC427" i="26" s="1"/>
  <c r="AC428" i="26" s="1"/>
  <c r="AC429" i="26" s="1"/>
  <c r="AC430" i="26" s="1"/>
  <c r="AC431" i="26" s="1"/>
  <c r="AC432" i="26" s="1"/>
  <c r="AC433" i="26" s="1"/>
  <c r="AC434" i="26" s="1"/>
  <c r="AC435" i="26" s="1"/>
  <c r="AC436" i="26" s="1"/>
  <c r="AC437" i="26" s="1"/>
  <c r="AC438" i="26" s="1"/>
  <c r="AC439" i="26" s="1"/>
  <c r="AC440" i="26" s="1"/>
  <c r="AC441" i="26" s="1"/>
  <c r="AC442" i="26" s="1"/>
  <c r="AC443" i="26" s="1"/>
  <c r="AC444" i="26" s="1"/>
  <c r="AC445" i="26" s="1"/>
  <c r="AC446" i="26" s="1"/>
  <c r="AC447" i="26" s="1"/>
  <c r="AC448" i="26" s="1"/>
  <c r="AC449" i="26" s="1"/>
  <c r="AC450" i="26" s="1"/>
  <c r="AC451" i="26" s="1"/>
  <c r="AC452" i="26" s="1"/>
  <c r="AC453" i="26" s="1"/>
  <c r="AC454" i="26" s="1"/>
  <c r="AC455" i="26" s="1"/>
  <c r="AC456" i="26" s="1"/>
  <c r="AC457" i="26" s="1"/>
  <c r="AC458" i="26" s="1"/>
  <c r="AC459" i="26" s="1"/>
  <c r="AC460" i="26" s="1"/>
  <c r="AC461" i="26" s="1"/>
  <c r="AC462" i="26" s="1"/>
  <c r="AC463" i="26" s="1"/>
  <c r="AC464" i="26" s="1"/>
  <c r="AC465" i="26" s="1"/>
  <c r="AC466" i="26" s="1"/>
  <c r="AC467" i="26" s="1"/>
  <c r="AC468" i="26" s="1"/>
  <c r="AC469" i="26" s="1"/>
  <c r="AC470" i="26" s="1"/>
  <c r="AC471" i="26" s="1"/>
  <c r="AC472" i="26" s="1"/>
  <c r="AC473" i="26" s="1"/>
  <c r="AC474" i="26" s="1"/>
  <c r="AC475" i="26" s="1"/>
  <c r="AC476" i="26" s="1"/>
  <c r="AC477" i="26" s="1"/>
  <c r="AC478" i="26" s="1"/>
  <c r="AC479" i="26" s="1"/>
  <c r="AC480" i="26" s="1"/>
  <c r="AC481" i="26" s="1"/>
  <c r="AC482" i="26" s="1"/>
  <c r="AC483" i="26" s="1"/>
  <c r="AC484" i="26" s="1"/>
  <c r="AC485" i="26" s="1"/>
  <c r="AC486" i="26" s="1"/>
  <c r="AC487" i="26" s="1"/>
  <c r="AC488" i="26" s="1"/>
  <c r="AC489" i="26" s="1"/>
  <c r="AC490" i="26" s="1"/>
  <c r="AC491" i="26" s="1"/>
  <c r="AC492" i="26" s="1"/>
  <c r="AC493" i="26" s="1"/>
  <c r="AC494" i="26" s="1"/>
  <c r="AC495" i="26" s="1"/>
  <c r="AC496" i="26" s="1"/>
  <c r="AC497" i="26" s="1"/>
  <c r="AC498" i="26" s="1"/>
  <c r="AC499" i="26" s="1"/>
  <c r="AC500" i="26" s="1"/>
  <c r="AC501" i="26" s="1"/>
  <c r="AC502" i="26" s="1"/>
  <c r="AC503" i="26" s="1"/>
  <c r="AC504" i="26" s="1"/>
  <c r="AC505" i="26" s="1"/>
  <c r="AC506" i="26" s="1"/>
  <c r="AC507" i="26" s="1"/>
  <c r="AC508" i="26" s="1"/>
  <c r="AC509" i="26" s="1"/>
  <c r="AC510" i="26" s="1"/>
  <c r="AC511" i="26" s="1"/>
  <c r="AC512" i="26" s="1"/>
  <c r="AC513" i="26" s="1"/>
  <c r="AC514" i="26" s="1"/>
  <c r="AC515" i="26" s="1"/>
  <c r="AC516" i="26" s="1"/>
  <c r="AC517" i="26" s="1"/>
  <c r="AC518" i="26" s="1"/>
  <c r="AC519" i="26" s="1"/>
  <c r="AC520" i="26" s="1"/>
  <c r="AC521" i="26" s="1"/>
  <c r="AC522" i="26" s="1"/>
  <c r="AC523" i="26" s="1"/>
  <c r="AC524" i="26" s="1"/>
  <c r="AC525" i="26" s="1"/>
  <c r="AC526" i="26" s="1"/>
  <c r="AC527" i="26" s="1"/>
  <c r="AC528" i="26" s="1"/>
  <c r="AC529" i="26" s="1"/>
  <c r="AC530" i="26" s="1"/>
  <c r="AC531" i="26" s="1"/>
  <c r="AC532" i="26" s="1"/>
  <c r="AC533" i="26" s="1"/>
  <c r="AC534" i="26" s="1"/>
  <c r="AC535" i="26" s="1"/>
  <c r="AC536" i="26" s="1"/>
  <c r="AC537" i="26" s="1"/>
  <c r="AC538" i="26" s="1"/>
  <c r="AC539" i="26" s="1"/>
  <c r="AC540" i="26" s="1"/>
  <c r="AC541" i="26" s="1"/>
  <c r="AC542" i="26" s="1"/>
  <c r="AC543" i="26" s="1"/>
  <c r="AC544" i="26" s="1"/>
  <c r="AC545" i="26" s="1"/>
  <c r="AC546" i="26" s="1"/>
  <c r="AC547" i="26" s="1"/>
  <c r="AC548" i="26" s="1"/>
  <c r="AC549" i="26" s="1"/>
  <c r="AC550" i="26" s="1"/>
  <c r="AC551" i="26" s="1"/>
  <c r="AC552" i="26" s="1"/>
  <c r="AC553" i="26" s="1"/>
  <c r="AC554" i="26" s="1"/>
  <c r="AC555" i="26" s="1"/>
  <c r="AC556" i="26" s="1"/>
  <c r="AC557" i="26" s="1"/>
  <c r="AC558" i="26" s="1"/>
  <c r="AC559" i="26" s="1"/>
  <c r="AC560" i="26" s="1"/>
  <c r="AC561" i="26" s="1"/>
  <c r="AC562" i="26" s="1"/>
  <c r="AC563" i="26" s="1"/>
  <c r="AC564" i="26" s="1"/>
  <c r="AC565" i="26" s="1"/>
  <c r="AC566" i="26" s="1"/>
  <c r="AC567" i="26" s="1"/>
  <c r="AC568" i="26" s="1"/>
  <c r="AC569" i="26" s="1"/>
  <c r="AC570" i="26" s="1"/>
  <c r="AC571" i="26" s="1"/>
  <c r="AC572" i="26" s="1"/>
  <c r="AC573" i="26" s="1"/>
  <c r="AC574" i="26" s="1"/>
  <c r="AC575" i="26" s="1"/>
  <c r="AC576" i="26" s="1"/>
  <c r="AC577" i="26" s="1"/>
  <c r="AC578" i="26" s="1"/>
  <c r="AC579" i="26" s="1"/>
  <c r="AC580" i="26" s="1"/>
  <c r="AC581" i="26" s="1"/>
  <c r="AC582" i="26" s="1"/>
  <c r="AC583" i="26" s="1"/>
  <c r="AC584" i="26" s="1"/>
  <c r="AC585" i="26" s="1"/>
  <c r="AC586" i="26" s="1"/>
  <c r="AC587" i="26" s="1"/>
  <c r="AC588" i="26" s="1"/>
  <c r="AC589" i="26" s="1"/>
  <c r="AC590" i="26" s="1"/>
  <c r="AC591" i="26" s="1"/>
  <c r="AC592" i="26" s="1"/>
  <c r="AC593" i="26" s="1"/>
  <c r="AC594" i="26" s="1"/>
  <c r="AC595" i="26" s="1"/>
  <c r="AC596" i="26" s="1"/>
  <c r="AC597" i="26" s="1"/>
  <c r="AC598" i="26" s="1"/>
  <c r="AC599" i="26" s="1"/>
  <c r="AC600" i="26" s="1"/>
  <c r="AC601" i="26" s="1"/>
  <c r="AC602" i="26" s="1"/>
  <c r="AC603" i="26" s="1"/>
  <c r="AC604" i="26" s="1"/>
  <c r="AC605" i="26" s="1"/>
  <c r="AC606" i="26" s="1"/>
  <c r="AC607" i="26" s="1"/>
  <c r="AC608" i="26" s="1"/>
  <c r="AC609" i="26" s="1"/>
  <c r="AC610" i="26" s="1"/>
  <c r="AC611" i="26" s="1"/>
  <c r="AC612" i="26" s="1"/>
  <c r="AC613" i="26" s="1"/>
  <c r="AC614" i="26" s="1"/>
  <c r="AC615" i="26" s="1"/>
  <c r="AC616" i="26" s="1"/>
  <c r="AC617" i="26" s="1"/>
  <c r="AC618" i="26" s="1"/>
  <c r="AC619" i="26" s="1"/>
  <c r="AC620" i="26" s="1"/>
  <c r="AG260" i="26"/>
  <c r="AM4" i="26"/>
  <c r="AE375" i="26" l="1"/>
  <c r="AE281" i="26"/>
  <c r="AE379" i="26"/>
  <c r="AE278" i="26"/>
  <c r="AE531" i="26"/>
  <c r="AE381" i="26"/>
  <c r="AE524" i="26"/>
  <c r="AE282" i="26"/>
  <c r="AE528" i="26"/>
  <c r="AD206" i="26"/>
  <c r="AD203" i="26"/>
  <c r="AD183" i="26"/>
  <c r="AE532" i="26"/>
  <c r="AE527" i="26"/>
  <c r="AE515" i="26"/>
  <c r="AE517" i="26"/>
  <c r="AE280" i="26"/>
  <c r="AE521" i="26"/>
  <c r="AE248" i="26"/>
  <c r="AE251" i="26"/>
  <c r="AE286" i="26"/>
  <c r="AE268" i="26"/>
  <c r="AE247" i="26"/>
  <c r="AE250" i="26"/>
  <c r="AE266" i="26"/>
  <c r="AE256" i="26"/>
  <c r="AE249" i="26"/>
  <c r="AE244" i="26"/>
  <c r="AE270" i="26"/>
  <c r="AE272" i="26"/>
  <c r="AE260" i="26"/>
  <c r="AE265" i="26"/>
  <c r="AE263" i="26"/>
  <c r="AE255" i="26"/>
  <c r="AE264" i="26"/>
  <c r="AE273" i="26"/>
  <c r="AE533" i="26"/>
  <c r="AE516" i="26"/>
  <c r="AE243" i="26"/>
  <c r="AE254" i="26"/>
  <c r="AE279" i="26"/>
  <c r="AE262" i="26"/>
  <c r="AE259" i="26"/>
  <c r="AE242" i="26"/>
  <c r="AE276" i="26"/>
  <c r="AE523" i="26"/>
  <c r="AE274" i="26"/>
  <c r="AE258" i="26"/>
  <c r="AE253" i="26"/>
  <c r="AE383" i="26"/>
  <c r="AE378" i="26"/>
  <c r="AE271" i="26"/>
  <c r="AE285" i="26"/>
  <c r="AE525" i="26"/>
  <c r="AE267" i="26"/>
  <c r="AE277" i="26"/>
  <c r="AE246" i="26"/>
  <c r="AE529" i="26"/>
  <c r="AE275" i="26"/>
  <c r="AE530" i="26"/>
  <c r="AE284" i="26"/>
  <c r="AE257" i="26"/>
  <c r="AE252" i="26"/>
  <c r="AE526" i="26"/>
  <c r="AE283" i="26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F90" i="4"/>
  <c r="AK90" i="4" s="1"/>
  <c r="AF91" i="4"/>
  <c r="AK91" i="4" s="1"/>
  <c r="AF92" i="4"/>
  <c r="AK92" i="4" s="1"/>
  <c r="AF93" i="4"/>
  <c r="AK93" i="4" s="1"/>
  <c r="AF94" i="4"/>
  <c r="AK94" i="4" s="1"/>
  <c r="AF95" i="4"/>
  <c r="AK95" i="4" s="1"/>
  <c r="AF96" i="4"/>
  <c r="AK96" i="4" s="1"/>
  <c r="AF97" i="4"/>
  <c r="AK97" i="4" s="1"/>
  <c r="AF98" i="4"/>
  <c r="AK98" i="4" s="1"/>
  <c r="AF99" i="4"/>
  <c r="AK99" i="4" s="1"/>
  <c r="AF100" i="4"/>
  <c r="AK100" i="4" s="1"/>
  <c r="AF101" i="4"/>
  <c r="AK101" i="4" s="1"/>
  <c r="AF102" i="4"/>
  <c r="AK102" i="4" s="1"/>
  <c r="AF103" i="4"/>
  <c r="AK103" i="4" s="1"/>
  <c r="AF104" i="4"/>
  <c r="AK104" i="4" s="1"/>
  <c r="AF105" i="4"/>
  <c r="AK105" i="4" s="1"/>
  <c r="AF106" i="4"/>
  <c r="AK106" i="4" s="1"/>
  <c r="AF107" i="4"/>
  <c r="AK107" i="4" s="1"/>
  <c r="AF108" i="4"/>
  <c r="AK108" i="4" s="1"/>
  <c r="AF109" i="4"/>
  <c r="AK109" i="4" s="1"/>
  <c r="AF110" i="4"/>
  <c r="AK110" i="4" s="1"/>
  <c r="AF111" i="4"/>
  <c r="AK111" i="4" s="1"/>
  <c r="AF112" i="4"/>
  <c r="AK112" i="4" s="1"/>
  <c r="AF113" i="4"/>
  <c r="AK113" i="4" s="1"/>
  <c r="AF114" i="4"/>
  <c r="AK114" i="4" s="1"/>
  <c r="AF115" i="4"/>
  <c r="AK115" i="4" s="1"/>
  <c r="AF116" i="4"/>
  <c r="AK116" i="4" s="1"/>
  <c r="AF117" i="4"/>
  <c r="AK117" i="4" s="1"/>
  <c r="AF118" i="4"/>
  <c r="AK118" i="4" s="1"/>
  <c r="AF119" i="4"/>
  <c r="AK119" i="4" s="1"/>
  <c r="AF120" i="4"/>
  <c r="AK120" i="4" s="1"/>
  <c r="AF121" i="4"/>
  <c r="AK121" i="4" s="1"/>
  <c r="AF122" i="4"/>
  <c r="AK122" i="4" s="1"/>
  <c r="AF123" i="4"/>
  <c r="AK123" i="4" s="1"/>
  <c r="AF124" i="4"/>
  <c r="AK124" i="4" s="1"/>
  <c r="AF125" i="4"/>
  <c r="AK125" i="4" s="1"/>
  <c r="AF126" i="4"/>
  <c r="AK126" i="4" s="1"/>
  <c r="AF127" i="4"/>
  <c r="AK127" i="4" s="1"/>
  <c r="AF128" i="4"/>
  <c r="AK128" i="4" s="1"/>
  <c r="AF129" i="4"/>
  <c r="AK129" i="4" s="1"/>
  <c r="AF130" i="4"/>
  <c r="AK130" i="4" s="1"/>
  <c r="AF131" i="4"/>
  <c r="AK131" i="4" s="1"/>
  <c r="AF132" i="4"/>
  <c r="AK132" i="4" s="1"/>
  <c r="AF133" i="4"/>
  <c r="AK133" i="4" s="1"/>
  <c r="AF134" i="4"/>
  <c r="AK134" i="4" s="1"/>
  <c r="AF135" i="4"/>
  <c r="AK135" i="4" s="1"/>
  <c r="AF136" i="4"/>
  <c r="AK136" i="4" s="1"/>
  <c r="AF137" i="4"/>
  <c r="AK137" i="4" s="1"/>
  <c r="AF138" i="4"/>
  <c r="AK138" i="4" s="1"/>
  <c r="AF139" i="4"/>
  <c r="AK139" i="4" s="1"/>
  <c r="AF140" i="4"/>
  <c r="AK140" i="4" s="1"/>
  <c r="AF141" i="4"/>
  <c r="AK141" i="4" s="1"/>
  <c r="AF142" i="4"/>
  <c r="AK142" i="4" s="1"/>
  <c r="AF143" i="4"/>
  <c r="AK143" i="4" s="1"/>
  <c r="AF144" i="4"/>
  <c r="AK144" i="4" s="1"/>
  <c r="AF145" i="4"/>
  <c r="AK145" i="4" s="1"/>
  <c r="AF146" i="4"/>
  <c r="AK146" i="4" s="1"/>
  <c r="AF147" i="4"/>
  <c r="AK147" i="4" s="1"/>
  <c r="AF148" i="4"/>
  <c r="AK148" i="4" s="1"/>
  <c r="AF149" i="4"/>
  <c r="AK149" i="4" s="1"/>
  <c r="AF150" i="4"/>
  <c r="AK150" i="4" s="1"/>
  <c r="AF151" i="4"/>
  <c r="AK151" i="4" s="1"/>
  <c r="AF152" i="4"/>
  <c r="AK152" i="4" s="1"/>
  <c r="AF153" i="4"/>
  <c r="AK153" i="4" s="1"/>
  <c r="AF154" i="4"/>
  <c r="AK154" i="4" s="1"/>
  <c r="AF155" i="4"/>
  <c r="AK155" i="4" s="1"/>
  <c r="AF156" i="4"/>
  <c r="AK156" i="4" s="1"/>
  <c r="AF157" i="4"/>
  <c r="AK157" i="4" s="1"/>
  <c r="AF158" i="4"/>
  <c r="AK158" i="4" s="1"/>
  <c r="AF159" i="4"/>
  <c r="AK159" i="4" s="1"/>
  <c r="AF160" i="4"/>
  <c r="AK160" i="4" s="1"/>
  <c r="AF161" i="4"/>
  <c r="AK161" i="4" s="1"/>
  <c r="AF162" i="4"/>
  <c r="AK162" i="4" s="1"/>
  <c r="AF163" i="4"/>
  <c r="AK163" i="4" s="1"/>
  <c r="AF164" i="4"/>
  <c r="AK164" i="4" s="1"/>
  <c r="AF165" i="4"/>
  <c r="AK165" i="4" s="1"/>
  <c r="AF166" i="4"/>
  <c r="AK166" i="4" s="1"/>
  <c r="AF167" i="4"/>
  <c r="AK167" i="4" s="1"/>
  <c r="AF168" i="4"/>
  <c r="AK168" i="4" s="1"/>
  <c r="AF169" i="4"/>
  <c r="AK169" i="4" s="1"/>
  <c r="AF170" i="4"/>
  <c r="AK170" i="4" s="1"/>
  <c r="AF171" i="4"/>
  <c r="AK171" i="4" s="1"/>
  <c r="AF172" i="4"/>
  <c r="AK172" i="4" s="1"/>
  <c r="AF173" i="4"/>
  <c r="AK173" i="4" s="1"/>
  <c r="AF174" i="4"/>
  <c r="AK174" i="4" s="1"/>
  <c r="AF175" i="4"/>
  <c r="AK175" i="4" s="1"/>
  <c r="AF176" i="4"/>
  <c r="AK176" i="4" s="1"/>
  <c r="AF177" i="4"/>
  <c r="AK177" i="4" s="1"/>
  <c r="AF178" i="4"/>
  <c r="AK178" i="4" s="1"/>
  <c r="AF179" i="4"/>
  <c r="AK179" i="4" s="1"/>
  <c r="AF180" i="4"/>
  <c r="AK180" i="4" s="1"/>
  <c r="AF181" i="4"/>
  <c r="AK181" i="4" s="1"/>
  <c r="AF182" i="4"/>
  <c r="AK182" i="4" s="1"/>
  <c r="AF183" i="4"/>
  <c r="AK183" i="4" s="1"/>
  <c r="AF184" i="4"/>
  <c r="AK184" i="4" s="1"/>
  <c r="AF185" i="4"/>
  <c r="AK185" i="4" s="1"/>
  <c r="AF186" i="4"/>
  <c r="AK186" i="4" s="1"/>
  <c r="AF187" i="4"/>
  <c r="AK187" i="4" s="1"/>
  <c r="AF188" i="4"/>
  <c r="AK188" i="4" s="1"/>
  <c r="AF189" i="4"/>
  <c r="AK189" i="4" s="1"/>
  <c r="AF190" i="4"/>
  <c r="AK190" i="4" s="1"/>
  <c r="AF191" i="4"/>
  <c r="AK191" i="4" s="1"/>
  <c r="AF192" i="4"/>
  <c r="AK192" i="4" s="1"/>
  <c r="AF193" i="4"/>
  <c r="AK193" i="4" s="1"/>
  <c r="AF194" i="4"/>
  <c r="AK194" i="4" s="1"/>
  <c r="AF195" i="4"/>
  <c r="AK195" i="4" s="1"/>
  <c r="AF196" i="4"/>
  <c r="AK196" i="4" s="1"/>
  <c r="AF197" i="4"/>
  <c r="AK197" i="4" s="1"/>
  <c r="AF198" i="4"/>
  <c r="AK198" i="4" s="1"/>
  <c r="AF199" i="4"/>
  <c r="AK199" i="4" s="1"/>
  <c r="AF200" i="4"/>
  <c r="AK200" i="4" s="1"/>
  <c r="AF201" i="4"/>
  <c r="AK201" i="4" s="1"/>
  <c r="AF202" i="4"/>
  <c r="AK202" i="4" s="1"/>
  <c r="AF203" i="4"/>
  <c r="AK203" i="4" s="1"/>
  <c r="AF204" i="4"/>
  <c r="AK204" i="4" s="1"/>
  <c r="AF205" i="4"/>
  <c r="AK205" i="4" s="1"/>
  <c r="AF206" i="4"/>
  <c r="AK206" i="4" s="1"/>
  <c r="AF207" i="4"/>
  <c r="AK207" i="4" s="1"/>
  <c r="AF208" i="4"/>
  <c r="AK208" i="4" s="1"/>
  <c r="AB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7" i="4"/>
  <c r="AA567" i="4"/>
  <c r="AA568" i="4"/>
  <c r="AA569" i="4"/>
  <c r="AA570" i="4"/>
  <c r="AA571" i="4"/>
  <c r="AA572" i="4"/>
  <c r="AA573" i="4"/>
  <c r="AA574" i="4"/>
  <c r="AA575" i="4"/>
  <c r="AA576" i="4"/>
  <c r="AA577" i="4"/>
  <c r="AA578" i="4"/>
  <c r="AA579" i="4"/>
  <c r="AA580" i="4"/>
  <c r="AA581" i="4"/>
  <c r="AA582" i="4"/>
  <c r="AA583" i="4"/>
  <c r="AA584" i="4"/>
  <c r="AA585" i="4"/>
  <c r="AA586" i="4"/>
  <c r="AA587" i="4"/>
  <c r="AA588" i="4"/>
  <c r="AA589" i="4"/>
  <c r="AA590" i="4"/>
  <c r="AA591" i="4"/>
  <c r="AA592" i="4"/>
  <c r="AA593" i="4"/>
  <c r="AA594" i="4"/>
  <c r="AA595" i="4"/>
  <c r="AA596" i="4"/>
  <c r="AA597" i="4"/>
  <c r="AA598" i="4"/>
  <c r="AA599" i="4"/>
  <c r="AA600" i="4"/>
  <c r="AA601" i="4"/>
  <c r="AA602" i="4"/>
  <c r="AA603" i="4"/>
  <c r="AA604" i="4"/>
  <c r="AA605" i="4"/>
  <c r="AA606" i="4"/>
  <c r="AA607" i="4"/>
  <c r="AA608" i="4"/>
  <c r="AA609" i="4"/>
  <c r="AA610" i="4"/>
  <c r="AA611" i="4"/>
  <c r="AA612" i="4"/>
  <c r="AA613" i="4"/>
  <c r="AA614" i="4"/>
  <c r="AA615" i="4"/>
  <c r="AA616" i="4"/>
  <c r="AA617" i="4"/>
  <c r="AA618" i="4"/>
  <c r="AA619" i="4"/>
  <c r="AA620" i="4"/>
  <c r="AA621" i="4"/>
  <c r="AA622" i="4"/>
  <c r="AA623" i="4"/>
  <c r="AA624" i="4"/>
  <c r="AA625" i="4"/>
  <c r="AA626" i="4"/>
  <c r="AA627" i="4"/>
  <c r="AA628" i="4"/>
  <c r="AA629" i="4"/>
  <c r="AA630" i="4"/>
  <c r="AA631" i="4"/>
  <c r="AA632" i="4"/>
  <c r="AA633" i="4"/>
  <c r="AA634" i="4"/>
  <c r="AA635" i="4"/>
  <c r="AA636" i="4"/>
  <c r="AA637" i="4"/>
  <c r="AA638" i="4"/>
  <c r="AA639" i="4"/>
  <c r="AA640" i="4"/>
  <c r="AA641" i="4"/>
  <c r="AA642" i="4"/>
  <c r="AA643" i="4"/>
  <c r="AA644" i="4"/>
  <c r="AA645" i="4"/>
  <c r="AA646" i="4"/>
  <c r="AA647" i="4"/>
  <c r="AA648" i="4"/>
  <c r="AA649" i="4"/>
  <c r="AA650" i="4"/>
  <c r="AA651" i="4"/>
  <c r="AA652" i="4"/>
  <c r="AA653" i="4"/>
  <c r="AA654" i="4"/>
  <c r="AA655" i="4"/>
  <c r="AA656" i="4"/>
  <c r="AA657" i="4"/>
  <c r="AA658" i="4"/>
  <c r="AA659" i="4"/>
  <c r="AA660" i="4"/>
  <c r="AA661" i="4"/>
  <c r="AA662" i="4"/>
  <c r="AA663" i="4"/>
  <c r="AA664" i="4"/>
  <c r="AA665" i="4"/>
  <c r="AA666" i="4"/>
  <c r="AA667" i="4"/>
  <c r="AA668" i="4"/>
  <c r="AA669" i="4"/>
  <c r="AA670" i="4"/>
  <c r="AA671" i="4"/>
  <c r="AA672" i="4"/>
  <c r="AA673" i="4"/>
  <c r="AA674" i="4"/>
  <c r="AA675" i="4"/>
  <c r="AA676" i="4"/>
  <c r="AA677" i="4"/>
  <c r="AA678" i="4"/>
  <c r="AA679" i="4"/>
  <c r="AA680" i="4"/>
  <c r="AA681" i="4"/>
  <c r="AA566" i="4"/>
  <c r="AA534" i="4"/>
  <c r="AA535" i="4"/>
  <c r="AA536" i="4"/>
  <c r="AA537" i="4"/>
  <c r="AA538" i="4"/>
  <c r="AA539" i="4"/>
  <c r="AA540" i="4"/>
  <c r="AA541" i="4"/>
  <c r="AA542" i="4"/>
  <c r="AA543" i="4"/>
  <c r="AA544" i="4"/>
  <c r="AA545" i="4"/>
  <c r="AA546" i="4"/>
  <c r="AA547" i="4"/>
  <c r="AA548" i="4"/>
  <c r="AA549" i="4"/>
  <c r="AA550" i="4"/>
  <c r="AA551" i="4"/>
  <c r="AA552" i="4"/>
  <c r="AA553" i="4"/>
  <c r="AA554" i="4"/>
  <c r="AA555" i="4"/>
  <c r="AA556" i="4"/>
  <c r="AA557" i="4"/>
  <c r="AA558" i="4"/>
  <c r="AA559" i="4"/>
  <c r="AA560" i="4"/>
  <c r="AA561" i="4"/>
  <c r="AA562" i="4"/>
  <c r="AA563" i="4"/>
  <c r="AA564" i="4"/>
  <c r="AA565" i="4"/>
  <c r="AA533" i="4"/>
  <c r="AA258" i="4"/>
  <c r="AA259" i="4"/>
  <c r="AA260" i="4"/>
  <c r="AA261" i="4"/>
  <c r="AA262" i="4"/>
  <c r="AA263" i="4"/>
  <c r="AA264" i="4"/>
  <c r="AA265" i="4"/>
  <c r="AA266" i="4"/>
  <c r="AA267" i="4"/>
  <c r="AA268" i="4"/>
  <c r="AA269" i="4"/>
  <c r="AA270" i="4"/>
  <c r="AA271" i="4"/>
  <c r="AA272" i="4"/>
  <c r="AA273" i="4"/>
  <c r="AA274" i="4"/>
  <c r="AA275" i="4"/>
  <c r="AA276" i="4"/>
  <c r="AA277" i="4"/>
  <c r="AA278" i="4"/>
  <c r="AA279" i="4"/>
  <c r="AA280" i="4"/>
  <c r="AA281" i="4"/>
  <c r="AA282" i="4"/>
  <c r="AA283" i="4"/>
  <c r="AA284" i="4"/>
  <c r="AA285" i="4"/>
  <c r="AA286" i="4"/>
  <c r="AA287" i="4"/>
  <c r="AA288" i="4"/>
  <c r="AA289" i="4"/>
  <c r="AA290" i="4"/>
  <c r="AA291" i="4"/>
  <c r="AA292" i="4"/>
  <c r="AA293" i="4"/>
  <c r="AA294" i="4"/>
  <c r="AA295" i="4"/>
  <c r="AA296" i="4"/>
  <c r="AA297" i="4"/>
  <c r="AA298" i="4"/>
  <c r="AA299" i="4"/>
  <c r="AA300" i="4"/>
  <c r="AA301" i="4"/>
  <c r="AA302" i="4"/>
  <c r="AA303" i="4"/>
  <c r="AA304" i="4"/>
  <c r="AA305" i="4"/>
  <c r="AA306" i="4"/>
  <c r="AA307" i="4"/>
  <c r="AA308" i="4"/>
  <c r="AA309" i="4"/>
  <c r="AA310" i="4"/>
  <c r="AA311" i="4"/>
  <c r="AA312" i="4"/>
  <c r="AA313" i="4"/>
  <c r="AA314" i="4"/>
  <c r="AA315" i="4"/>
  <c r="AA316" i="4"/>
  <c r="AA317" i="4"/>
  <c r="AA318" i="4"/>
  <c r="AA319" i="4"/>
  <c r="AA320" i="4"/>
  <c r="AA321" i="4"/>
  <c r="AA322" i="4"/>
  <c r="AA323" i="4"/>
  <c r="AA324" i="4"/>
  <c r="AA325" i="4"/>
  <c r="AA326" i="4"/>
  <c r="AA327" i="4"/>
  <c r="AA328" i="4"/>
  <c r="AA329" i="4"/>
  <c r="AA330" i="4"/>
  <c r="AA331" i="4"/>
  <c r="AA332" i="4"/>
  <c r="AA333" i="4"/>
  <c r="AA334" i="4"/>
  <c r="AA335" i="4"/>
  <c r="AA336" i="4"/>
  <c r="AA337" i="4"/>
  <c r="AA338" i="4"/>
  <c r="AA339" i="4"/>
  <c r="AA340" i="4"/>
  <c r="AA341" i="4"/>
  <c r="AA342" i="4"/>
  <c r="AA343" i="4"/>
  <c r="AA344" i="4"/>
  <c r="AA345" i="4"/>
  <c r="AA346" i="4"/>
  <c r="AA347" i="4"/>
  <c r="AA348" i="4"/>
  <c r="AA349" i="4"/>
  <c r="AA350" i="4"/>
  <c r="AA351" i="4"/>
  <c r="AA352" i="4"/>
  <c r="AA353" i="4"/>
  <c r="AA354" i="4"/>
  <c r="AA355" i="4"/>
  <c r="AA356" i="4"/>
  <c r="AA357" i="4"/>
  <c r="AA358" i="4"/>
  <c r="AA359" i="4"/>
  <c r="AA360" i="4"/>
  <c r="AA361" i="4"/>
  <c r="AA362" i="4"/>
  <c r="AA363" i="4"/>
  <c r="AA364" i="4"/>
  <c r="AA365" i="4"/>
  <c r="AA366" i="4"/>
  <c r="AA367" i="4"/>
  <c r="AA368" i="4"/>
  <c r="AA369" i="4"/>
  <c r="AA370" i="4"/>
  <c r="AA371" i="4"/>
  <c r="AA372" i="4"/>
  <c r="AA373" i="4"/>
  <c r="AA374" i="4"/>
  <c r="AA375" i="4"/>
  <c r="AA376" i="4"/>
  <c r="AA377" i="4"/>
  <c r="AA378" i="4"/>
  <c r="AA379" i="4"/>
  <c r="AA380" i="4"/>
  <c r="AA381" i="4"/>
  <c r="AA382" i="4"/>
  <c r="AA383" i="4"/>
  <c r="AA384" i="4"/>
  <c r="AA385" i="4"/>
  <c r="AA386" i="4"/>
  <c r="AA387" i="4"/>
  <c r="AA388" i="4"/>
  <c r="AA389" i="4"/>
  <c r="AA390" i="4"/>
  <c r="AA391" i="4"/>
  <c r="AA392" i="4"/>
  <c r="AA393" i="4"/>
  <c r="AA394" i="4"/>
  <c r="AA395" i="4"/>
  <c r="AA396" i="4"/>
  <c r="AA397" i="4"/>
  <c r="AA398" i="4"/>
  <c r="AA399" i="4"/>
  <c r="AA400" i="4"/>
  <c r="AA401" i="4"/>
  <c r="AA402" i="4"/>
  <c r="AA403" i="4"/>
  <c r="AA404" i="4"/>
  <c r="AA405" i="4"/>
  <c r="AA406" i="4"/>
  <c r="AA407" i="4"/>
  <c r="AA408" i="4"/>
  <c r="AA409" i="4"/>
  <c r="AA410" i="4"/>
  <c r="AA411" i="4"/>
  <c r="AA412" i="4"/>
  <c r="AA413" i="4"/>
  <c r="AA414" i="4"/>
  <c r="AA415" i="4"/>
  <c r="AA416" i="4"/>
  <c r="AA417" i="4"/>
  <c r="AA418" i="4"/>
  <c r="AA419" i="4"/>
  <c r="AA420" i="4"/>
  <c r="AA421" i="4"/>
  <c r="AA422" i="4"/>
  <c r="AA423" i="4"/>
  <c r="AA424" i="4"/>
  <c r="AA425" i="4"/>
  <c r="AA426" i="4"/>
  <c r="AA427" i="4"/>
  <c r="AA428" i="4"/>
  <c r="AA429" i="4"/>
  <c r="AA430" i="4"/>
  <c r="AA431" i="4"/>
  <c r="AA432" i="4"/>
  <c r="AA433" i="4"/>
  <c r="AA434" i="4"/>
  <c r="AA435" i="4"/>
  <c r="AA436" i="4"/>
  <c r="AA437" i="4"/>
  <c r="AA438" i="4"/>
  <c r="AA439" i="4"/>
  <c r="AA440" i="4"/>
  <c r="AA441" i="4"/>
  <c r="AA442" i="4"/>
  <c r="AA443" i="4"/>
  <c r="AA444" i="4"/>
  <c r="AA445" i="4"/>
  <c r="AA446" i="4"/>
  <c r="AA447" i="4"/>
  <c r="AA448" i="4"/>
  <c r="AA449" i="4"/>
  <c r="AA450" i="4"/>
  <c r="AA451" i="4"/>
  <c r="AA452" i="4"/>
  <c r="AA453" i="4"/>
  <c r="AA454" i="4"/>
  <c r="AA455" i="4"/>
  <c r="AA456" i="4"/>
  <c r="AA457" i="4"/>
  <c r="AA458" i="4"/>
  <c r="AA459" i="4"/>
  <c r="AA460" i="4"/>
  <c r="AA461" i="4"/>
  <c r="AA462" i="4"/>
  <c r="AA463" i="4"/>
  <c r="AA464" i="4"/>
  <c r="AA465" i="4"/>
  <c r="AA466" i="4"/>
  <c r="AA467" i="4"/>
  <c r="AA468" i="4"/>
  <c r="AA469" i="4"/>
  <c r="AA470" i="4"/>
  <c r="AA471" i="4"/>
  <c r="AA472" i="4"/>
  <c r="AA473" i="4"/>
  <c r="AA474" i="4"/>
  <c r="AA475" i="4"/>
  <c r="AA476" i="4"/>
  <c r="AA477" i="4"/>
  <c r="AA478" i="4"/>
  <c r="AA479" i="4"/>
  <c r="AA480" i="4"/>
  <c r="AA481" i="4"/>
  <c r="AA482" i="4"/>
  <c r="AA483" i="4"/>
  <c r="AA484" i="4"/>
  <c r="AA485" i="4"/>
  <c r="AA486" i="4"/>
  <c r="AA487" i="4"/>
  <c r="AA488" i="4"/>
  <c r="AA489" i="4"/>
  <c r="AA490" i="4"/>
  <c r="AA491" i="4"/>
  <c r="AA492" i="4"/>
  <c r="AA493" i="4"/>
  <c r="AA494" i="4"/>
  <c r="AA495" i="4"/>
  <c r="AA496" i="4"/>
  <c r="AA497" i="4"/>
  <c r="AA498" i="4"/>
  <c r="AA499" i="4"/>
  <c r="AA500" i="4"/>
  <c r="AA501" i="4"/>
  <c r="AA502" i="4"/>
  <c r="AA503" i="4"/>
  <c r="AA504" i="4"/>
  <c r="AA505" i="4"/>
  <c r="AA506" i="4"/>
  <c r="AA507" i="4"/>
  <c r="AA508" i="4"/>
  <c r="AA509" i="4"/>
  <c r="AA510" i="4"/>
  <c r="AA511" i="4"/>
  <c r="AA512" i="4"/>
  <c r="AA513" i="4"/>
  <c r="AA514" i="4"/>
  <c r="AA515" i="4"/>
  <c r="AA516" i="4"/>
  <c r="AA517" i="4"/>
  <c r="AA518" i="4"/>
  <c r="AA519" i="4"/>
  <c r="AA520" i="4"/>
  <c r="AA521" i="4"/>
  <c r="AA522" i="4"/>
  <c r="AA523" i="4"/>
  <c r="AA524" i="4"/>
  <c r="AA525" i="4"/>
  <c r="AA526" i="4"/>
  <c r="AA527" i="4"/>
  <c r="AA528" i="4"/>
  <c r="AA529" i="4"/>
  <c r="AA530" i="4"/>
  <c r="AA531" i="4"/>
  <c r="AA532" i="4"/>
  <c r="AA25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0" i="4"/>
  <c r="AA191" i="4"/>
  <c r="AA192" i="4"/>
  <c r="AA193" i="4"/>
  <c r="AA194" i="4"/>
  <c r="AA195" i="4"/>
  <c r="AA196" i="4"/>
  <c r="AA197" i="4"/>
  <c r="AA198" i="4"/>
  <c r="AA199" i="4"/>
  <c r="AA200" i="4"/>
  <c r="AA201" i="4"/>
  <c r="AA202" i="4"/>
  <c r="AA203" i="4"/>
  <c r="AA204" i="4"/>
  <c r="AA205" i="4"/>
  <c r="AA206" i="4"/>
  <c r="AA207" i="4"/>
  <c r="AA208" i="4"/>
  <c r="AA209" i="4"/>
  <c r="AA210" i="4"/>
  <c r="AA211" i="4"/>
  <c r="AA212" i="4"/>
  <c r="AA213" i="4"/>
  <c r="AA214" i="4"/>
  <c r="AA215" i="4"/>
  <c r="AA216" i="4"/>
  <c r="AA217" i="4"/>
  <c r="AA218" i="4"/>
  <c r="AA219" i="4"/>
  <c r="AA220" i="4"/>
  <c r="AA221" i="4"/>
  <c r="AA222" i="4"/>
  <c r="AA223" i="4"/>
  <c r="AA224" i="4"/>
  <c r="AA225" i="4"/>
  <c r="AA226" i="4"/>
  <c r="AA227" i="4"/>
  <c r="AA228" i="4"/>
  <c r="AA229" i="4"/>
  <c r="AA230" i="4"/>
  <c r="AA231" i="4"/>
  <c r="AA232" i="4"/>
  <c r="AA233" i="4"/>
  <c r="AA234" i="4"/>
  <c r="AA235" i="4"/>
  <c r="AA236" i="4"/>
  <c r="AA237" i="4"/>
  <c r="AA238" i="4"/>
  <c r="AA239" i="4"/>
  <c r="AA240" i="4"/>
  <c r="AA241" i="4"/>
  <c r="AA242" i="4"/>
  <c r="AA243" i="4"/>
  <c r="AA244" i="4"/>
  <c r="AA245" i="4"/>
  <c r="AA246" i="4"/>
  <c r="AA247" i="4"/>
  <c r="AA248" i="4"/>
  <c r="AA249" i="4"/>
  <c r="AA250" i="4"/>
  <c r="AA251" i="4"/>
  <c r="AA252" i="4"/>
  <c r="AA253" i="4"/>
  <c r="AA254" i="4"/>
  <c r="AA255" i="4"/>
  <c r="AA256" i="4"/>
  <c r="AA7" i="4"/>
  <c r="AD184" i="26" l="1"/>
  <c r="AD207" i="26"/>
  <c r="AE197" i="26"/>
  <c r="AD208" i="26" l="1"/>
  <c r="AE199" i="26" s="1"/>
  <c r="AE198" i="26"/>
  <c r="AD185" i="26"/>
  <c r="AD186" i="26" l="1"/>
  <c r="AE200" i="26"/>
  <c r="AD209" i="26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AC400" i="4" s="1"/>
  <c r="D401" i="4"/>
  <c r="D402" i="4"/>
  <c r="D403" i="4"/>
  <c r="D404" i="4"/>
  <c r="D405" i="4"/>
  <c r="D406" i="4"/>
  <c r="D407" i="4"/>
  <c r="D408" i="4"/>
  <c r="D409" i="4"/>
  <c r="D410" i="4"/>
  <c r="D411" i="4"/>
  <c r="D412" i="4"/>
  <c r="AC412" i="4" s="1"/>
  <c r="D413" i="4"/>
  <c r="D414" i="4"/>
  <c r="D415" i="4"/>
  <c r="D416" i="4"/>
  <c r="D417" i="4"/>
  <c r="D418" i="4"/>
  <c r="D419" i="4"/>
  <c r="D420" i="4"/>
  <c r="D421" i="4"/>
  <c r="D422" i="4"/>
  <c r="D423" i="4"/>
  <c r="D424" i="4"/>
  <c r="AC424" i="4" s="1"/>
  <c r="D425" i="4"/>
  <c r="D426" i="4"/>
  <c r="D427" i="4"/>
  <c r="D428" i="4"/>
  <c r="D429" i="4"/>
  <c r="D430" i="4"/>
  <c r="D431" i="4"/>
  <c r="D432" i="4"/>
  <c r="D433" i="4"/>
  <c r="D434" i="4"/>
  <c r="D435" i="4"/>
  <c r="D436" i="4"/>
  <c r="AC436" i="4" s="1"/>
  <c r="D437" i="4"/>
  <c r="D438" i="4"/>
  <c r="D439" i="4"/>
  <c r="D440" i="4"/>
  <c r="D441" i="4"/>
  <c r="D442" i="4"/>
  <c r="D443" i="4"/>
  <c r="D444" i="4"/>
  <c r="D445" i="4"/>
  <c r="D446" i="4"/>
  <c r="D447" i="4"/>
  <c r="D448" i="4"/>
  <c r="AC448" i="4" s="1"/>
  <c r="D449" i="4"/>
  <c r="D450" i="4"/>
  <c r="D451" i="4"/>
  <c r="D452" i="4"/>
  <c r="D453" i="4"/>
  <c r="D454" i="4"/>
  <c r="D455" i="4"/>
  <c r="D456" i="4"/>
  <c r="D457" i="4"/>
  <c r="D458" i="4"/>
  <c r="D459" i="4"/>
  <c r="D460" i="4"/>
  <c r="AC460" i="4" s="1"/>
  <c r="D461" i="4"/>
  <c r="D462" i="4"/>
  <c r="D463" i="4"/>
  <c r="D464" i="4"/>
  <c r="D465" i="4"/>
  <c r="D466" i="4"/>
  <c r="D467" i="4"/>
  <c r="D468" i="4"/>
  <c r="D469" i="4"/>
  <c r="D470" i="4"/>
  <c r="D471" i="4"/>
  <c r="D472" i="4"/>
  <c r="AC472" i="4" s="1"/>
  <c r="D473" i="4"/>
  <c r="D474" i="4"/>
  <c r="D475" i="4"/>
  <c r="D476" i="4"/>
  <c r="D477" i="4"/>
  <c r="D478" i="4"/>
  <c r="D479" i="4"/>
  <c r="D480" i="4"/>
  <c r="D481" i="4"/>
  <c r="D482" i="4"/>
  <c r="D483" i="4"/>
  <c r="D484" i="4"/>
  <c r="AC484" i="4" s="1"/>
  <c r="D485" i="4"/>
  <c r="D486" i="4"/>
  <c r="D487" i="4"/>
  <c r="D488" i="4"/>
  <c r="D489" i="4"/>
  <c r="D490" i="4"/>
  <c r="D491" i="4"/>
  <c r="D492" i="4"/>
  <c r="D493" i="4"/>
  <c r="D494" i="4"/>
  <c r="D495" i="4"/>
  <c r="D496" i="4"/>
  <c r="AC496" i="4" s="1"/>
  <c r="D497" i="4"/>
  <c r="D498" i="4"/>
  <c r="D499" i="4"/>
  <c r="D500" i="4"/>
  <c r="D501" i="4"/>
  <c r="D502" i="4"/>
  <c r="D503" i="4"/>
  <c r="D504" i="4"/>
  <c r="D505" i="4"/>
  <c r="D506" i="4"/>
  <c r="D507" i="4"/>
  <c r="D508" i="4"/>
  <c r="AC508" i="4" s="1"/>
  <c r="D509" i="4"/>
  <c r="D510" i="4"/>
  <c r="D511" i="4"/>
  <c r="D512" i="4"/>
  <c r="D513" i="4"/>
  <c r="D514" i="4"/>
  <c r="D515" i="4"/>
  <c r="D516" i="4"/>
  <c r="D517" i="4"/>
  <c r="D518" i="4"/>
  <c r="D519" i="4"/>
  <c r="D520" i="4"/>
  <c r="AC520" i="4" s="1"/>
  <c r="D521" i="4"/>
  <c r="D522" i="4"/>
  <c r="D523" i="4"/>
  <c r="D524" i="4"/>
  <c r="D525" i="4"/>
  <c r="D526" i="4"/>
  <c r="D527" i="4"/>
  <c r="D528" i="4"/>
  <c r="D529" i="4"/>
  <c r="D530" i="4"/>
  <c r="D531" i="4"/>
  <c r="D532" i="4"/>
  <c r="AC532" i="4" s="1"/>
  <c r="D533" i="4"/>
  <c r="D534" i="4"/>
  <c r="D535" i="4"/>
  <c r="D536" i="4"/>
  <c r="D537" i="4"/>
  <c r="D538" i="4"/>
  <c r="D539" i="4"/>
  <c r="D540" i="4"/>
  <c r="D541" i="4"/>
  <c r="D542" i="4"/>
  <c r="D543" i="4"/>
  <c r="D544" i="4"/>
  <c r="AC544" i="4" s="1"/>
  <c r="D545" i="4"/>
  <c r="D546" i="4"/>
  <c r="D547" i="4"/>
  <c r="D548" i="4"/>
  <c r="D549" i="4"/>
  <c r="D550" i="4"/>
  <c r="D551" i="4"/>
  <c r="D552" i="4"/>
  <c r="D553" i="4"/>
  <c r="D554" i="4"/>
  <c r="D555" i="4"/>
  <c r="D556" i="4"/>
  <c r="AC556" i="4" s="1"/>
  <c r="D557" i="4"/>
  <c r="D558" i="4"/>
  <c r="D559" i="4"/>
  <c r="D560" i="4"/>
  <c r="D561" i="4"/>
  <c r="D562" i="4"/>
  <c r="D563" i="4"/>
  <c r="D564" i="4"/>
  <c r="D565" i="4"/>
  <c r="D566" i="4"/>
  <c r="D567" i="4"/>
  <c r="D568" i="4"/>
  <c r="AC568" i="4" s="1"/>
  <c r="D569" i="4"/>
  <c r="D570" i="4"/>
  <c r="D571" i="4"/>
  <c r="D572" i="4"/>
  <c r="D573" i="4"/>
  <c r="D574" i="4"/>
  <c r="D575" i="4"/>
  <c r="D576" i="4"/>
  <c r="D577" i="4"/>
  <c r="D578" i="4"/>
  <c r="D579" i="4"/>
  <c r="D580" i="4"/>
  <c r="AC580" i="4" s="1"/>
  <c r="D581" i="4"/>
  <c r="D582" i="4"/>
  <c r="D583" i="4"/>
  <c r="D584" i="4"/>
  <c r="D585" i="4"/>
  <c r="D586" i="4"/>
  <c r="D587" i="4"/>
  <c r="D588" i="4"/>
  <c r="D589" i="4"/>
  <c r="D590" i="4"/>
  <c r="D591" i="4"/>
  <c r="D592" i="4"/>
  <c r="AC592" i="4" s="1"/>
  <c r="D593" i="4"/>
  <c r="D594" i="4"/>
  <c r="D595" i="4"/>
  <c r="D596" i="4"/>
  <c r="D597" i="4"/>
  <c r="D598" i="4"/>
  <c r="D599" i="4"/>
  <c r="D600" i="4"/>
  <c r="D601" i="4"/>
  <c r="D602" i="4"/>
  <c r="D603" i="4"/>
  <c r="D604" i="4"/>
  <c r="AC604" i="4" s="1"/>
  <c r="D605" i="4"/>
  <c r="D606" i="4"/>
  <c r="D607" i="4"/>
  <c r="D608" i="4"/>
  <c r="D609" i="4"/>
  <c r="D610" i="4"/>
  <c r="D611" i="4"/>
  <c r="D612" i="4"/>
  <c r="D613" i="4"/>
  <c r="D614" i="4"/>
  <c r="D615" i="4"/>
  <c r="D616" i="4"/>
  <c r="AC616" i="4" s="1"/>
  <c r="D617" i="4"/>
  <c r="D618" i="4"/>
  <c r="D619" i="4"/>
  <c r="D620" i="4"/>
  <c r="D621" i="4"/>
  <c r="D622" i="4"/>
  <c r="D623" i="4"/>
  <c r="D624" i="4"/>
  <c r="D625" i="4"/>
  <c r="D626" i="4"/>
  <c r="D627" i="4"/>
  <c r="D628" i="4"/>
  <c r="AC628" i="4" s="1"/>
  <c r="D629" i="4"/>
  <c r="D630" i="4"/>
  <c r="D631" i="4"/>
  <c r="D632" i="4"/>
  <c r="D633" i="4"/>
  <c r="D634" i="4"/>
  <c r="D635" i="4"/>
  <c r="D636" i="4"/>
  <c r="D637" i="4"/>
  <c r="D638" i="4"/>
  <c r="D639" i="4"/>
  <c r="D640" i="4"/>
  <c r="AC640" i="4" s="1"/>
  <c r="D641" i="4"/>
  <c r="D642" i="4"/>
  <c r="D643" i="4"/>
  <c r="D644" i="4"/>
  <c r="D645" i="4"/>
  <c r="D646" i="4"/>
  <c r="D647" i="4"/>
  <c r="D648" i="4"/>
  <c r="D649" i="4"/>
  <c r="D650" i="4"/>
  <c r="D651" i="4"/>
  <c r="D652" i="4"/>
  <c r="AC652" i="4" s="1"/>
  <c r="D653" i="4"/>
  <c r="D654" i="4"/>
  <c r="D655" i="4"/>
  <c r="D656" i="4"/>
  <c r="D657" i="4"/>
  <c r="D658" i="4"/>
  <c r="D659" i="4"/>
  <c r="D660" i="4"/>
  <c r="D661" i="4"/>
  <c r="D662" i="4"/>
  <c r="D663" i="4"/>
  <c r="D664" i="4"/>
  <c r="AC664" i="4" s="1"/>
  <c r="D665" i="4"/>
  <c r="D666" i="4"/>
  <c r="D667" i="4"/>
  <c r="D668" i="4"/>
  <c r="D669" i="4"/>
  <c r="D670" i="4"/>
  <c r="D671" i="4"/>
  <c r="D672" i="4"/>
  <c r="D673" i="4"/>
  <c r="D674" i="4"/>
  <c r="D675" i="4"/>
  <c r="D676" i="4"/>
  <c r="AC676" i="4" s="1"/>
  <c r="D677" i="4"/>
  <c r="D678" i="4"/>
  <c r="D679" i="4"/>
  <c r="D680" i="4"/>
  <c r="D681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8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AC61" i="4" s="1"/>
  <c r="D62" i="4"/>
  <c r="D63" i="4"/>
  <c r="D64" i="4"/>
  <c r="D65" i="4"/>
  <c r="D66" i="4"/>
  <c r="D67" i="4"/>
  <c r="D68" i="4"/>
  <c r="D69" i="4"/>
  <c r="D70" i="4"/>
  <c r="D71" i="4"/>
  <c r="D72" i="4"/>
  <c r="D73" i="4"/>
  <c r="AC73" i="4" s="1"/>
  <c r="D74" i="4"/>
  <c r="D75" i="4"/>
  <c r="D76" i="4"/>
  <c r="D77" i="4"/>
  <c r="D78" i="4"/>
  <c r="D79" i="4"/>
  <c r="D80" i="4"/>
  <c r="D81" i="4"/>
  <c r="D82" i="4"/>
  <c r="D83" i="4"/>
  <c r="D84" i="4"/>
  <c r="D85" i="4"/>
  <c r="AC85" i="4" s="1"/>
  <c r="D86" i="4"/>
  <c r="D87" i="4"/>
  <c r="D88" i="4"/>
  <c r="D89" i="4"/>
  <c r="D90" i="4"/>
  <c r="D91" i="4"/>
  <c r="D92" i="4"/>
  <c r="D93" i="4"/>
  <c r="D94" i="4"/>
  <c r="D95" i="4"/>
  <c r="D96" i="4"/>
  <c r="D97" i="4"/>
  <c r="AC97" i="4" s="1"/>
  <c r="D98" i="4"/>
  <c r="D99" i="4"/>
  <c r="D100" i="4"/>
  <c r="D101" i="4"/>
  <c r="D102" i="4"/>
  <c r="D103" i="4"/>
  <c r="D104" i="4"/>
  <c r="D105" i="4"/>
  <c r="D106" i="4"/>
  <c r="D107" i="4"/>
  <c r="D108" i="4"/>
  <c r="D109" i="4"/>
  <c r="AC109" i="4" s="1"/>
  <c r="D110" i="4"/>
  <c r="D111" i="4"/>
  <c r="D112" i="4"/>
  <c r="D113" i="4"/>
  <c r="D114" i="4"/>
  <c r="D115" i="4"/>
  <c r="D116" i="4"/>
  <c r="D117" i="4"/>
  <c r="D118" i="4"/>
  <c r="D119" i="4"/>
  <c r="D120" i="4"/>
  <c r="D121" i="4"/>
  <c r="AC121" i="4" s="1"/>
  <c r="D122" i="4"/>
  <c r="D123" i="4"/>
  <c r="D124" i="4"/>
  <c r="D125" i="4"/>
  <c r="D126" i="4"/>
  <c r="D127" i="4"/>
  <c r="D128" i="4"/>
  <c r="D129" i="4"/>
  <c r="D130" i="4"/>
  <c r="D131" i="4"/>
  <c r="D132" i="4"/>
  <c r="D133" i="4"/>
  <c r="AC133" i="4" s="1"/>
  <c r="D134" i="4"/>
  <c r="D135" i="4"/>
  <c r="D136" i="4"/>
  <c r="D137" i="4"/>
  <c r="D138" i="4"/>
  <c r="D139" i="4"/>
  <c r="D140" i="4"/>
  <c r="D141" i="4"/>
  <c r="D142" i="4"/>
  <c r="D143" i="4"/>
  <c r="D144" i="4"/>
  <c r="D145" i="4"/>
  <c r="AC145" i="4" s="1"/>
  <c r="D146" i="4"/>
  <c r="D147" i="4"/>
  <c r="D148" i="4"/>
  <c r="D149" i="4"/>
  <c r="D150" i="4"/>
  <c r="D151" i="4"/>
  <c r="D152" i="4"/>
  <c r="D153" i="4"/>
  <c r="D154" i="4"/>
  <c r="D155" i="4"/>
  <c r="D156" i="4"/>
  <c r="D157" i="4"/>
  <c r="AC157" i="4" s="1"/>
  <c r="D158" i="4"/>
  <c r="D159" i="4"/>
  <c r="D160" i="4"/>
  <c r="D161" i="4"/>
  <c r="D162" i="4"/>
  <c r="D163" i="4"/>
  <c r="D164" i="4"/>
  <c r="D165" i="4"/>
  <c r="D166" i="4"/>
  <c r="D167" i="4"/>
  <c r="D168" i="4"/>
  <c r="D169" i="4"/>
  <c r="AC169" i="4" s="1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AC193" i="4" s="1"/>
  <c r="D194" i="4"/>
  <c r="D195" i="4"/>
  <c r="D196" i="4"/>
  <c r="D197" i="4"/>
  <c r="D198" i="4"/>
  <c r="D199" i="4"/>
  <c r="D200" i="4"/>
  <c r="D201" i="4"/>
  <c r="D202" i="4"/>
  <c r="D203" i="4"/>
  <c r="D204" i="4"/>
  <c r="D205" i="4"/>
  <c r="AC205" i="4" s="1"/>
  <c r="D206" i="4"/>
  <c r="D207" i="4"/>
  <c r="D208" i="4"/>
  <c r="D209" i="4"/>
  <c r="D210" i="4"/>
  <c r="D211" i="4"/>
  <c r="D212" i="4"/>
  <c r="D213" i="4"/>
  <c r="D214" i="4"/>
  <c r="D215" i="4"/>
  <c r="D216" i="4"/>
  <c r="D217" i="4"/>
  <c r="AC217" i="4" s="1"/>
  <c r="D218" i="4"/>
  <c r="D219" i="4"/>
  <c r="D220" i="4"/>
  <c r="D221" i="4"/>
  <c r="D222" i="4"/>
  <c r="D223" i="4"/>
  <c r="D224" i="4"/>
  <c r="D225" i="4"/>
  <c r="D226" i="4"/>
  <c r="D227" i="4"/>
  <c r="D228" i="4"/>
  <c r="D229" i="4"/>
  <c r="AC229" i="4" s="1"/>
  <c r="D230" i="4"/>
  <c r="D231" i="4"/>
  <c r="D232" i="4"/>
  <c r="D233" i="4"/>
  <c r="D234" i="4"/>
  <c r="D235" i="4"/>
  <c r="D236" i="4"/>
  <c r="D237" i="4"/>
  <c r="D238" i="4"/>
  <c r="D239" i="4"/>
  <c r="D240" i="4"/>
  <c r="D241" i="4"/>
  <c r="AC241" i="4" s="1"/>
  <c r="D242" i="4"/>
  <c r="D243" i="4"/>
  <c r="D244" i="4"/>
  <c r="D245" i="4"/>
  <c r="D246" i="4"/>
  <c r="D247" i="4"/>
  <c r="D248" i="4"/>
  <c r="D249" i="4"/>
  <c r="D250" i="4"/>
  <c r="D251" i="4"/>
  <c r="D252" i="4"/>
  <c r="D253" i="4"/>
  <c r="AC253" i="4" s="1"/>
  <c r="D254" i="4"/>
  <c r="D255" i="4"/>
  <c r="D256" i="4"/>
  <c r="D257" i="4"/>
  <c r="D258" i="4"/>
  <c r="D259" i="4"/>
  <c r="D260" i="4"/>
  <c r="D261" i="4"/>
  <c r="D262" i="4"/>
  <c r="D263" i="4"/>
  <c r="D264" i="4"/>
  <c r="D265" i="4"/>
  <c r="AC265" i="4" s="1"/>
  <c r="D266" i="4"/>
  <c r="D267" i="4"/>
  <c r="D268" i="4"/>
  <c r="D269" i="4"/>
  <c r="D270" i="4"/>
  <c r="D271" i="4"/>
  <c r="D272" i="4"/>
  <c r="D273" i="4"/>
  <c r="D274" i="4"/>
  <c r="D275" i="4"/>
  <c r="D276" i="4"/>
  <c r="D277" i="4"/>
  <c r="AC277" i="4" s="1"/>
  <c r="D7" i="4"/>
  <c r="AD210" i="26" l="1"/>
  <c r="AE209" i="26" s="1"/>
  <c r="AD187" i="26"/>
  <c r="AC388" i="4"/>
  <c r="AC271" i="4"/>
  <c r="AC259" i="4"/>
  <c r="AC235" i="4"/>
  <c r="AC223" i="4"/>
  <c r="AC211" i="4"/>
  <c r="AC199" i="4"/>
  <c r="AC200" i="4" s="1"/>
  <c r="AC201" i="4" s="1"/>
  <c r="AC187" i="4"/>
  <c r="AC175" i="4"/>
  <c r="AC163" i="4"/>
  <c r="AC274" i="4"/>
  <c r="AC262" i="4"/>
  <c r="AC151" i="4"/>
  <c r="AC268" i="4"/>
  <c r="AC256" i="4"/>
  <c r="AC244" i="4"/>
  <c r="AC232" i="4"/>
  <c r="AC220" i="4"/>
  <c r="AC208" i="4"/>
  <c r="AC196" i="4"/>
  <c r="AC184" i="4"/>
  <c r="AC172" i="4"/>
  <c r="AC160" i="4"/>
  <c r="AC148" i="4"/>
  <c r="AC136" i="4"/>
  <c r="AC124" i="4"/>
  <c r="AC112" i="4"/>
  <c r="AC100" i="4"/>
  <c r="AC88" i="4"/>
  <c r="AC76" i="4"/>
  <c r="AC64" i="4"/>
  <c r="AC52" i="4"/>
  <c r="AC28" i="4"/>
  <c r="AC16" i="4"/>
  <c r="AC672" i="4"/>
  <c r="AC660" i="4"/>
  <c r="AC648" i="4"/>
  <c r="AC636" i="4"/>
  <c r="AC624" i="4"/>
  <c r="AC612" i="4"/>
  <c r="AC600" i="4"/>
  <c r="AC588" i="4"/>
  <c r="AC576" i="4"/>
  <c r="AC564" i="4"/>
  <c r="AC552" i="4"/>
  <c r="AC540" i="4"/>
  <c r="AC528" i="4"/>
  <c r="AC516" i="4"/>
  <c r="AC504" i="4"/>
  <c r="AC492" i="4"/>
  <c r="AC480" i="4"/>
  <c r="AC468" i="4"/>
  <c r="AC456" i="4"/>
  <c r="AC444" i="4"/>
  <c r="AC432" i="4"/>
  <c r="AC420" i="4"/>
  <c r="AC408" i="4"/>
  <c r="AC396" i="4"/>
  <c r="AC384" i="4"/>
  <c r="AC372" i="4"/>
  <c r="AC360" i="4"/>
  <c r="AC348" i="4"/>
  <c r="AC336" i="4"/>
  <c r="AC324" i="4"/>
  <c r="AC312" i="4"/>
  <c r="AC300" i="4"/>
  <c r="AC288" i="4"/>
  <c r="AC49" i="4"/>
  <c r="AC37" i="4"/>
  <c r="AC25" i="4"/>
  <c r="AC13" i="4"/>
  <c r="AC681" i="4"/>
  <c r="AC669" i="4"/>
  <c r="AC657" i="4"/>
  <c r="AC645" i="4"/>
  <c r="AC633" i="4"/>
  <c r="AC621" i="4"/>
  <c r="AC609" i="4"/>
  <c r="AC597" i="4"/>
  <c r="AC585" i="4"/>
  <c r="AC573" i="4"/>
  <c r="AC561" i="4"/>
  <c r="AC549" i="4"/>
  <c r="AC537" i="4"/>
  <c r="AB8" i="4"/>
  <c r="AB9" i="4" s="1"/>
  <c r="AB10" i="4" s="1"/>
  <c r="AB11" i="4" s="1"/>
  <c r="AB12" i="4" s="1"/>
  <c r="AB13" i="4" s="1"/>
  <c r="AB14" i="4" s="1"/>
  <c r="AB15" i="4" s="1"/>
  <c r="AB16" i="4" s="1"/>
  <c r="AB17" i="4" s="1"/>
  <c r="AB18" i="4" s="1"/>
  <c r="AB19" i="4" s="1"/>
  <c r="AB20" i="4" s="1"/>
  <c r="AB21" i="4" s="1"/>
  <c r="AB22" i="4" s="1"/>
  <c r="AB23" i="4" s="1"/>
  <c r="AB24" i="4" s="1"/>
  <c r="AB25" i="4" s="1"/>
  <c r="AB26" i="4" s="1"/>
  <c r="AB27" i="4" s="1"/>
  <c r="AB28" i="4" s="1"/>
  <c r="AB29" i="4" s="1"/>
  <c r="AB30" i="4" s="1"/>
  <c r="AB31" i="4" s="1"/>
  <c r="AB32" i="4" s="1"/>
  <c r="AB33" i="4" s="1"/>
  <c r="AB34" i="4" s="1"/>
  <c r="AB35" i="4" s="1"/>
  <c r="AB36" i="4" s="1"/>
  <c r="AB37" i="4" s="1"/>
  <c r="AB38" i="4" s="1"/>
  <c r="AB39" i="4" s="1"/>
  <c r="AB40" i="4" s="1"/>
  <c r="AB41" i="4" s="1"/>
  <c r="AB42" i="4" s="1"/>
  <c r="AB43" i="4" s="1"/>
  <c r="AB44" i="4" s="1"/>
  <c r="AB45" i="4" s="1"/>
  <c r="AB46" i="4" s="1"/>
  <c r="AB47" i="4" s="1"/>
  <c r="AB48" i="4" s="1"/>
  <c r="AB49" i="4" s="1"/>
  <c r="AB50" i="4" s="1"/>
  <c r="AB51" i="4" s="1"/>
  <c r="AB52" i="4" s="1"/>
  <c r="AB53" i="4" s="1"/>
  <c r="AB54" i="4" s="1"/>
  <c r="AB55" i="4" s="1"/>
  <c r="AB56" i="4" s="1"/>
  <c r="AB57" i="4" s="1"/>
  <c r="AB58" i="4" s="1"/>
  <c r="AB59" i="4" s="1"/>
  <c r="AB60" i="4" s="1"/>
  <c r="AB61" i="4" s="1"/>
  <c r="AB62" i="4" s="1"/>
  <c r="AB63" i="4" s="1"/>
  <c r="AB64" i="4" s="1"/>
  <c r="AB65" i="4" s="1"/>
  <c r="AB66" i="4" s="1"/>
  <c r="AB67" i="4" s="1"/>
  <c r="AB68" i="4" s="1"/>
  <c r="AB69" i="4" s="1"/>
  <c r="AB70" i="4" s="1"/>
  <c r="AB71" i="4" s="1"/>
  <c r="AB72" i="4" s="1"/>
  <c r="AB73" i="4" s="1"/>
  <c r="AB74" i="4" s="1"/>
  <c r="AB75" i="4" s="1"/>
  <c r="AB76" i="4" s="1"/>
  <c r="AB77" i="4" s="1"/>
  <c r="AB78" i="4" s="1"/>
  <c r="AB79" i="4" s="1"/>
  <c r="AB80" i="4" s="1"/>
  <c r="AB81" i="4" s="1"/>
  <c r="AB82" i="4" s="1"/>
  <c r="AB83" i="4" s="1"/>
  <c r="AB84" i="4" s="1"/>
  <c r="AB85" i="4" s="1"/>
  <c r="AB86" i="4" s="1"/>
  <c r="AB87" i="4" s="1"/>
  <c r="AB88" i="4" s="1"/>
  <c r="AB89" i="4" s="1"/>
  <c r="AB90" i="4" s="1"/>
  <c r="AB91" i="4" s="1"/>
  <c r="AB92" i="4" s="1"/>
  <c r="AB93" i="4" s="1"/>
  <c r="AB94" i="4" s="1"/>
  <c r="AB95" i="4" s="1"/>
  <c r="AB96" i="4" s="1"/>
  <c r="AB97" i="4" s="1"/>
  <c r="AB98" i="4" s="1"/>
  <c r="AB99" i="4" s="1"/>
  <c r="AB100" i="4" s="1"/>
  <c r="AB101" i="4" s="1"/>
  <c r="AB102" i="4" s="1"/>
  <c r="AB103" i="4" s="1"/>
  <c r="AB104" i="4" s="1"/>
  <c r="AB105" i="4" s="1"/>
  <c r="AB106" i="4" s="1"/>
  <c r="AB107" i="4" s="1"/>
  <c r="AB108" i="4" s="1"/>
  <c r="AB109" i="4" s="1"/>
  <c r="AB110" i="4" s="1"/>
  <c r="AB111" i="4" s="1"/>
  <c r="AB112" i="4" s="1"/>
  <c r="AB113" i="4" s="1"/>
  <c r="AB114" i="4" s="1"/>
  <c r="AB115" i="4" s="1"/>
  <c r="AB116" i="4" s="1"/>
  <c r="AB117" i="4" s="1"/>
  <c r="AB118" i="4" s="1"/>
  <c r="AB119" i="4" s="1"/>
  <c r="AB120" i="4" s="1"/>
  <c r="AB121" i="4" s="1"/>
  <c r="AB122" i="4" s="1"/>
  <c r="AB123" i="4" s="1"/>
  <c r="AB124" i="4" s="1"/>
  <c r="AB125" i="4" s="1"/>
  <c r="AB126" i="4" s="1"/>
  <c r="AB127" i="4" s="1"/>
  <c r="AB128" i="4" s="1"/>
  <c r="AB129" i="4" s="1"/>
  <c r="AB130" i="4" s="1"/>
  <c r="AB131" i="4" s="1"/>
  <c r="AB132" i="4" s="1"/>
  <c r="AB133" i="4" s="1"/>
  <c r="AB134" i="4" s="1"/>
  <c r="AB135" i="4" s="1"/>
  <c r="AB136" i="4" s="1"/>
  <c r="AB137" i="4" s="1"/>
  <c r="AB138" i="4" s="1"/>
  <c r="AB139" i="4" s="1"/>
  <c r="AB140" i="4" s="1"/>
  <c r="AB141" i="4" s="1"/>
  <c r="AB142" i="4" s="1"/>
  <c r="AB143" i="4" s="1"/>
  <c r="AB144" i="4" s="1"/>
  <c r="AB145" i="4" s="1"/>
  <c r="AB146" i="4" s="1"/>
  <c r="AB147" i="4" s="1"/>
  <c r="AB148" i="4" s="1"/>
  <c r="AB149" i="4" s="1"/>
  <c r="AB150" i="4" s="1"/>
  <c r="AB151" i="4" s="1"/>
  <c r="AB152" i="4" s="1"/>
  <c r="AB153" i="4" s="1"/>
  <c r="AB154" i="4" s="1"/>
  <c r="AB155" i="4" s="1"/>
  <c r="AB156" i="4" s="1"/>
  <c r="AB157" i="4" s="1"/>
  <c r="AB158" i="4" s="1"/>
  <c r="AB159" i="4" s="1"/>
  <c r="AB160" i="4" s="1"/>
  <c r="AB161" i="4" s="1"/>
  <c r="AB162" i="4" s="1"/>
  <c r="AB163" i="4" s="1"/>
  <c r="AB164" i="4" s="1"/>
  <c r="AB165" i="4" s="1"/>
  <c r="AB166" i="4" s="1"/>
  <c r="AB167" i="4" s="1"/>
  <c r="AB168" i="4" s="1"/>
  <c r="AB169" i="4" s="1"/>
  <c r="AB170" i="4" s="1"/>
  <c r="AB171" i="4" s="1"/>
  <c r="AB172" i="4" s="1"/>
  <c r="AB173" i="4" s="1"/>
  <c r="AB174" i="4" s="1"/>
  <c r="AB175" i="4" s="1"/>
  <c r="AB176" i="4" s="1"/>
  <c r="AB177" i="4" s="1"/>
  <c r="AB178" i="4" s="1"/>
  <c r="AB179" i="4" s="1"/>
  <c r="AB180" i="4" s="1"/>
  <c r="AB181" i="4" s="1"/>
  <c r="AB182" i="4" s="1"/>
  <c r="AB183" i="4" s="1"/>
  <c r="AB184" i="4" s="1"/>
  <c r="AB185" i="4" s="1"/>
  <c r="AB186" i="4" s="1"/>
  <c r="AB187" i="4" s="1"/>
  <c r="AB188" i="4" s="1"/>
  <c r="AB189" i="4" s="1"/>
  <c r="AB190" i="4" s="1"/>
  <c r="AB191" i="4" s="1"/>
  <c r="AB192" i="4" s="1"/>
  <c r="AB193" i="4" s="1"/>
  <c r="AB194" i="4" s="1"/>
  <c r="AB195" i="4" s="1"/>
  <c r="AB196" i="4" s="1"/>
  <c r="AB197" i="4" s="1"/>
  <c r="AB198" i="4" s="1"/>
  <c r="AB199" i="4" s="1"/>
  <c r="AB200" i="4" s="1"/>
  <c r="AB201" i="4" s="1"/>
  <c r="AB202" i="4" s="1"/>
  <c r="AB203" i="4" s="1"/>
  <c r="AB204" i="4" s="1"/>
  <c r="AB205" i="4" s="1"/>
  <c r="AB206" i="4" s="1"/>
  <c r="AB207" i="4" s="1"/>
  <c r="AB208" i="4" s="1"/>
  <c r="AB209" i="4" s="1"/>
  <c r="AB210" i="4" s="1"/>
  <c r="AB211" i="4" s="1"/>
  <c r="AB212" i="4" s="1"/>
  <c r="AB213" i="4" s="1"/>
  <c r="AB214" i="4" s="1"/>
  <c r="AB215" i="4" s="1"/>
  <c r="AB216" i="4" s="1"/>
  <c r="AB217" i="4" s="1"/>
  <c r="AB218" i="4" s="1"/>
  <c r="AB219" i="4" s="1"/>
  <c r="AB220" i="4" s="1"/>
  <c r="AB221" i="4" s="1"/>
  <c r="AB222" i="4" s="1"/>
  <c r="AB223" i="4" s="1"/>
  <c r="AB224" i="4" s="1"/>
  <c r="AB225" i="4" s="1"/>
  <c r="AB226" i="4" s="1"/>
  <c r="AB227" i="4" s="1"/>
  <c r="AB228" i="4" s="1"/>
  <c r="AB229" i="4" s="1"/>
  <c r="AB230" i="4" s="1"/>
  <c r="AB231" i="4" s="1"/>
  <c r="AB232" i="4" s="1"/>
  <c r="AB233" i="4" s="1"/>
  <c r="AB234" i="4" s="1"/>
  <c r="AB235" i="4" s="1"/>
  <c r="AB236" i="4" s="1"/>
  <c r="AB237" i="4" s="1"/>
  <c r="AB238" i="4" s="1"/>
  <c r="AB239" i="4" s="1"/>
  <c r="AB240" i="4" s="1"/>
  <c r="AB241" i="4" s="1"/>
  <c r="AB242" i="4" s="1"/>
  <c r="AB243" i="4" s="1"/>
  <c r="AB244" i="4" s="1"/>
  <c r="AB245" i="4" s="1"/>
  <c r="AB246" i="4" s="1"/>
  <c r="AB247" i="4" s="1"/>
  <c r="AB248" i="4" s="1"/>
  <c r="AB249" i="4" s="1"/>
  <c r="AB250" i="4" s="1"/>
  <c r="AB251" i="4" s="1"/>
  <c r="AB252" i="4" s="1"/>
  <c r="AB253" i="4" s="1"/>
  <c r="AB254" i="4" s="1"/>
  <c r="AB255" i="4" s="1"/>
  <c r="AB256" i="4" s="1"/>
  <c r="AB257" i="4" s="1"/>
  <c r="AB258" i="4" s="1"/>
  <c r="AB259" i="4" s="1"/>
  <c r="AB260" i="4" s="1"/>
  <c r="AB261" i="4" s="1"/>
  <c r="AB262" i="4" s="1"/>
  <c r="AB263" i="4" s="1"/>
  <c r="AB264" i="4" s="1"/>
  <c r="AB265" i="4" s="1"/>
  <c r="AB266" i="4" s="1"/>
  <c r="AB267" i="4" s="1"/>
  <c r="AB268" i="4" s="1"/>
  <c r="AB269" i="4" s="1"/>
  <c r="AB270" i="4" s="1"/>
  <c r="AB271" i="4" s="1"/>
  <c r="AB272" i="4" s="1"/>
  <c r="AB273" i="4" s="1"/>
  <c r="AB274" i="4" s="1"/>
  <c r="AB275" i="4" s="1"/>
  <c r="AB276" i="4" s="1"/>
  <c r="AB277" i="4" s="1"/>
  <c r="AB278" i="4" s="1"/>
  <c r="AB279" i="4" s="1"/>
  <c r="AB280" i="4" s="1"/>
  <c r="AB281" i="4" s="1"/>
  <c r="AB282" i="4" s="1"/>
  <c r="AB283" i="4" s="1"/>
  <c r="AB284" i="4" s="1"/>
  <c r="AB285" i="4" s="1"/>
  <c r="AB286" i="4" s="1"/>
  <c r="AB287" i="4" s="1"/>
  <c r="AB288" i="4" s="1"/>
  <c r="AB289" i="4" s="1"/>
  <c r="AB290" i="4" s="1"/>
  <c r="AB291" i="4" s="1"/>
  <c r="AB292" i="4" s="1"/>
  <c r="AB293" i="4" s="1"/>
  <c r="AB294" i="4" s="1"/>
  <c r="AB295" i="4" s="1"/>
  <c r="AB296" i="4" s="1"/>
  <c r="AB297" i="4" s="1"/>
  <c r="AB298" i="4" s="1"/>
  <c r="AB299" i="4" s="1"/>
  <c r="AB300" i="4" s="1"/>
  <c r="AB301" i="4" s="1"/>
  <c r="AB302" i="4" s="1"/>
  <c r="AB303" i="4" s="1"/>
  <c r="AB304" i="4" s="1"/>
  <c r="AB305" i="4" s="1"/>
  <c r="AB306" i="4" s="1"/>
  <c r="AB307" i="4" s="1"/>
  <c r="AB308" i="4" s="1"/>
  <c r="AB309" i="4" s="1"/>
  <c r="AB310" i="4" s="1"/>
  <c r="AB311" i="4" s="1"/>
  <c r="AB312" i="4" s="1"/>
  <c r="AB313" i="4" s="1"/>
  <c r="AB314" i="4" s="1"/>
  <c r="AB315" i="4" s="1"/>
  <c r="AB316" i="4" s="1"/>
  <c r="AB317" i="4" s="1"/>
  <c r="AB318" i="4" s="1"/>
  <c r="AB319" i="4" s="1"/>
  <c r="AB320" i="4" s="1"/>
  <c r="AB321" i="4" s="1"/>
  <c r="AB322" i="4" s="1"/>
  <c r="AB323" i="4" s="1"/>
  <c r="AB324" i="4" s="1"/>
  <c r="AB325" i="4" s="1"/>
  <c r="AB326" i="4" s="1"/>
  <c r="AB327" i="4" s="1"/>
  <c r="AB328" i="4" s="1"/>
  <c r="AB329" i="4" s="1"/>
  <c r="AB330" i="4" s="1"/>
  <c r="AB331" i="4" s="1"/>
  <c r="AB332" i="4" s="1"/>
  <c r="AB333" i="4" s="1"/>
  <c r="AB334" i="4" s="1"/>
  <c r="AB335" i="4" s="1"/>
  <c r="AB336" i="4" s="1"/>
  <c r="AB337" i="4" s="1"/>
  <c r="AB338" i="4" s="1"/>
  <c r="AB339" i="4" s="1"/>
  <c r="AB340" i="4" s="1"/>
  <c r="AB341" i="4" s="1"/>
  <c r="AB342" i="4" s="1"/>
  <c r="AB343" i="4" s="1"/>
  <c r="AB344" i="4" s="1"/>
  <c r="AB345" i="4" s="1"/>
  <c r="AB346" i="4" s="1"/>
  <c r="AB347" i="4" s="1"/>
  <c r="AB348" i="4" s="1"/>
  <c r="AB349" i="4" s="1"/>
  <c r="AB350" i="4" s="1"/>
  <c r="AB351" i="4" s="1"/>
  <c r="AB352" i="4" s="1"/>
  <c r="AB353" i="4" s="1"/>
  <c r="AB354" i="4" s="1"/>
  <c r="AB355" i="4" s="1"/>
  <c r="AB356" i="4" s="1"/>
  <c r="AB357" i="4" s="1"/>
  <c r="AB358" i="4" s="1"/>
  <c r="AB359" i="4" s="1"/>
  <c r="AB360" i="4" s="1"/>
  <c r="AB361" i="4" s="1"/>
  <c r="AB362" i="4" s="1"/>
  <c r="AB363" i="4" s="1"/>
  <c r="AB364" i="4" s="1"/>
  <c r="AB365" i="4" s="1"/>
  <c r="AB366" i="4" s="1"/>
  <c r="AB367" i="4" s="1"/>
  <c r="AB368" i="4" s="1"/>
  <c r="AB369" i="4" s="1"/>
  <c r="AB370" i="4" s="1"/>
  <c r="AB371" i="4" s="1"/>
  <c r="AB372" i="4" s="1"/>
  <c r="AB373" i="4" s="1"/>
  <c r="AB374" i="4" s="1"/>
  <c r="AB375" i="4" s="1"/>
  <c r="AB376" i="4" s="1"/>
  <c r="AB377" i="4" s="1"/>
  <c r="AB378" i="4" s="1"/>
  <c r="AB379" i="4" s="1"/>
  <c r="AB380" i="4" s="1"/>
  <c r="AB381" i="4" s="1"/>
  <c r="AB382" i="4" s="1"/>
  <c r="AB383" i="4" s="1"/>
  <c r="AB384" i="4" s="1"/>
  <c r="AB385" i="4" s="1"/>
  <c r="AB386" i="4" s="1"/>
  <c r="AB387" i="4" s="1"/>
  <c r="AB388" i="4" s="1"/>
  <c r="AB389" i="4" s="1"/>
  <c r="AB390" i="4" s="1"/>
  <c r="AB391" i="4" s="1"/>
  <c r="AB392" i="4" s="1"/>
  <c r="AB393" i="4" s="1"/>
  <c r="AB394" i="4" s="1"/>
  <c r="AB395" i="4" s="1"/>
  <c r="AB396" i="4" s="1"/>
  <c r="AB397" i="4" s="1"/>
  <c r="AB398" i="4" s="1"/>
  <c r="AB399" i="4" s="1"/>
  <c r="AB400" i="4" s="1"/>
  <c r="AB401" i="4" s="1"/>
  <c r="AB402" i="4" s="1"/>
  <c r="AB403" i="4" s="1"/>
  <c r="AB404" i="4" s="1"/>
  <c r="AB405" i="4" s="1"/>
  <c r="AB406" i="4" s="1"/>
  <c r="AB407" i="4" s="1"/>
  <c r="AB408" i="4" s="1"/>
  <c r="AB409" i="4" s="1"/>
  <c r="AB410" i="4" s="1"/>
  <c r="AB411" i="4" s="1"/>
  <c r="AB412" i="4" s="1"/>
  <c r="AB413" i="4" s="1"/>
  <c r="AB414" i="4" s="1"/>
  <c r="AB415" i="4" s="1"/>
  <c r="AB416" i="4" s="1"/>
  <c r="AB417" i="4" s="1"/>
  <c r="AB418" i="4" s="1"/>
  <c r="AB419" i="4" s="1"/>
  <c r="AB420" i="4" s="1"/>
  <c r="AB421" i="4" s="1"/>
  <c r="AB422" i="4" s="1"/>
  <c r="AB423" i="4" s="1"/>
  <c r="AB424" i="4" s="1"/>
  <c r="AB425" i="4" s="1"/>
  <c r="AB426" i="4" s="1"/>
  <c r="AB427" i="4" s="1"/>
  <c r="AB428" i="4" s="1"/>
  <c r="AB429" i="4" s="1"/>
  <c r="AB430" i="4" s="1"/>
  <c r="AB431" i="4" s="1"/>
  <c r="AB432" i="4" s="1"/>
  <c r="AB433" i="4" s="1"/>
  <c r="AB434" i="4" s="1"/>
  <c r="AB435" i="4" s="1"/>
  <c r="AB436" i="4" s="1"/>
  <c r="AB437" i="4" s="1"/>
  <c r="AB438" i="4" s="1"/>
  <c r="AB439" i="4" s="1"/>
  <c r="AB440" i="4" s="1"/>
  <c r="AB441" i="4" s="1"/>
  <c r="AB442" i="4" s="1"/>
  <c r="AB443" i="4" s="1"/>
  <c r="AB444" i="4" s="1"/>
  <c r="AB445" i="4" s="1"/>
  <c r="AB446" i="4" s="1"/>
  <c r="AB447" i="4" s="1"/>
  <c r="AB448" i="4" s="1"/>
  <c r="AB449" i="4" s="1"/>
  <c r="AB450" i="4" s="1"/>
  <c r="AB451" i="4" s="1"/>
  <c r="AB452" i="4" s="1"/>
  <c r="AB453" i="4" s="1"/>
  <c r="AB454" i="4" s="1"/>
  <c r="AB455" i="4" s="1"/>
  <c r="AB456" i="4" s="1"/>
  <c r="AB457" i="4" s="1"/>
  <c r="AB458" i="4" s="1"/>
  <c r="AB459" i="4" s="1"/>
  <c r="AB460" i="4" s="1"/>
  <c r="AB461" i="4" s="1"/>
  <c r="AB462" i="4" s="1"/>
  <c r="AB463" i="4" s="1"/>
  <c r="AB464" i="4" s="1"/>
  <c r="AB465" i="4" s="1"/>
  <c r="AB466" i="4" s="1"/>
  <c r="AB467" i="4" s="1"/>
  <c r="AB468" i="4" s="1"/>
  <c r="AB469" i="4" s="1"/>
  <c r="AB470" i="4" s="1"/>
  <c r="AB471" i="4" s="1"/>
  <c r="AB472" i="4" s="1"/>
  <c r="AB473" i="4" s="1"/>
  <c r="AB474" i="4" s="1"/>
  <c r="AB475" i="4" s="1"/>
  <c r="AB476" i="4" s="1"/>
  <c r="AB477" i="4" s="1"/>
  <c r="AB478" i="4" s="1"/>
  <c r="AB479" i="4" s="1"/>
  <c r="AB480" i="4" s="1"/>
  <c r="AB481" i="4" s="1"/>
  <c r="AB482" i="4" s="1"/>
  <c r="AB483" i="4" s="1"/>
  <c r="AB484" i="4" s="1"/>
  <c r="AB485" i="4" s="1"/>
  <c r="AB486" i="4" s="1"/>
  <c r="AB487" i="4" s="1"/>
  <c r="AB488" i="4" s="1"/>
  <c r="AB489" i="4" s="1"/>
  <c r="AB490" i="4" s="1"/>
  <c r="AB491" i="4" s="1"/>
  <c r="AB492" i="4" s="1"/>
  <c r="AB493" i="4" s="1"/>
  <c r="AB494" i="4" s="1"/>
  <c r="AB495" i="4" s="1"/>
  <c r="AB496" i="4" s="1"/>
  <c r="AB497" i="4" s="1"/>
  <c r="AB498" i="4" s="1"/>
  <c r="AB499" i="4" s="1"/>
  <c r="AB500" i="4" s="1"/>
  <c r="AB501" i="4" s="1"/>
  <c r="AB502" i="4" s="1"/>
  <c r="AB503" i="4" s="1"/>
  <c r="AB504" i="4" s="1"/>
  <c r="AB505" i="4" s="1"/>
  <c r="AB506" i="4" s="1"/>
  <c r="AB507" i="4" s="1"/>
  <c r="AB508" i="4" s="1"/>
  <c r="AB509" i="4" s="1"/>
  <c r="AB510" i="4" s="1"/>
  <c r="AB511" i="4" s="1"/>
  <c r="AB512" i="4" s="1"/>
  <c r="AB513" i="4" s="1"/>
  <c r="AB514" i="4" s="1"/>
  <c r="AB515" i="4" s="1"/>
  <c r="AB516" i="4" s="1"/>
  <c r="AB517" i="4" s="1"/>
  <c r="AB518" i="4" s="1"/>
  <c r="AB519" i="4" s="1"/>
  <c r="AB520" i="4" s="1"/>
  <c r="AB521" i="4" s="1"/>
  <c r="AB522" i="4" s="1"/>
  <c r="AB523" i="4" s="1"/>
  <c r="AB524" i="4" s="1"/>
  <c r="AB525" i="4" s="1"/>
  <c r="AB526" i="4" s="1"/>
  <c r="AB527" i="4" s="1"/>
  <c r="AB528" i="4" s="1"/>
  <c r="AB529" i="4" s="1"/>
  <c r="AB530" i="4" s="1"/>
  <c r="AB531" i="4" s="1"/>
  <c r="AB532" i="4" s="1"/>
  <c r="AB533" i="4" s="1"/>
  <c r="AB534" i="4" s="1"/>
  <c r="AB535" i="4" s="1"/>
  <c r="AB536" i="4" s="1"/>
  <c r="AB537" i="4" s="1"/>
  <c r="AB538" i="4" s="1"/>
  <c r="AB539" i="4" s="1"/>
  <c r="AB540" i="4" s="1"/>
  <c r="AB541" i="4" s="1"/>
  <c r="AB542" i="4" s="1"/>
  <c r="AB543" i="4" s="1"/>
  <c r="AB544" i="4" s="1"/>
  <c r="AB545" i="4" s="1"/>
  <c r="AB546" i="4" s="1"/>
  <c r="AB547" i="4" s="1"/>
  <c r="AB548" i="4" s="1"/>
  <c r="AB549" i="4" s="1"/>
  <c r="AB550" i="4" s="1"/>
  <c r="AB551" i="4" s="1"/>
  <c r="AB552" i="4" s="1"/>
  <c r="AB553" i="4" s="1"/>
  <c r="AB554" i="4" s="1"/>
  <c r="AB555" i="4" s="1"/>
  <c r="AB556" i="4" s="1"/>
  <c r="AB557" i="4" s="1"/>
  <c r="AB558" i="4" s="1"/>
  <c r="AB559" i="4" s="1"/>
  <c r="AB560" i="4" s="1"/>
  <c r="AB561" i="4" s="1"/>
  <c r="AB562" i="4" s="1"/>
  <c r="AB563" i="4" s="1"/>
  <c r="AB564" i="4" s="1"/>
  <c r="AB565" i="4" s="1"/>
  <c r="AB566" i="4" s="1"/>
  <c r="AB567" i="4" s="1"/>
  <c r="AB568" i="4" s="1"/>
  <c r="AB569" i="4" s="1"/>
  <c r="AB570" i="4" s="1"/>
  <c r="AB571" i="4" s="1"/>
  <c r="AB572" i="4" s="1"/>
  <c r="AB573" i="4" s="1"/>
  <c r="AB574" i="4" s="1"/>
  <c r="AB575" i="4" s="1"/>
  <c r="AB576" i="4" s="1"/>
  <c r="AB577" i="4" s="1"/>
  <c r="AB578" i="4" s="1"/>
  <c r="AB579" i="4" s="1"/>
  <c r="AB580" i="4" s="1"/>
  <c r="AB581" i="4" s="1"/>
  <c r="AB582" i="4" s="1"/>
  <c r="AB583" i="4" s="1"/>
  <c r="AB584" i="4" s="1"/>
  <c r="AB585" i="4" s="1"/>
  <c r="AB586" i="4" s="1"/>
  <c r="AB587" i="4" s="1"/>
  <c r="AB588" i="4" s="1"/>
  <c r="AB589" i="4" s="1"/>
  <c r="AB590" i="4" s="1"/>
  <c r="AB591" i="4" s="1"/>
  <c r="AB592" i="4" s="1"/>
  <c r="AB593" i="4" s="1"/>
  <c r="AB594" i="4" s="1"/>
  <c r="AB595" i="4" s="1"/>
  <c r="AB596" i="4" s="1"/>
  <c r="AB597" i="4" s="1"/>
  <c r="AB598" i="4" s="1"/>
  <c r="AB599" i="4" s="1"/>
  <c r="AB600" i="4" s="1"/>
  <c r="AB601" i="4" s="1"/>
  <c r="AB602" i="4" s="1"/>
  <c r="AB603" i="4" s="1"/>
  <c r="AB604" i="4" s="1"/>
  <c r="AB605" i="4" s="1"/>
  <c r="AB606" i="4" s="1"/>
  <c r="AB607" i="4" s="1"/>
  <c r="AB608" i="4" s="1"/>
  <c r="AB609" i="4" s="1"/>
  <c r="AB610" i="4" s="1"/>
  <c r="AB611" i="4" s="1"/>
  <c r="AB612" i="4" s="1"/>
  <c r="AB613" i="4" s="1"/>
  <c r="AB614" i="4" s="1"/>
  <c r="AB615" i="4" s="1"/>
  <c r="AB616" i="4" s="1"/>
  <c r="AB617" i="4" s="1"/>
  <c r="AB618" i="4" s="1"/>
  <c r="AB619" i="4" s="1"/>
  <c r="AB620" i="4" s="1"/>
  <c r="AB621" i="4" s="1"/>
  <c r="AB622" i="4" s="1"/>
  <c r="AB623" i="4" s="1"/>
  <c r="AB624" i="4" s="1"/>
  <c r="AB625" i="4" s="1"/>
  <c r="AB626" i="4" s="1"/>
  <c r="AB627" i="4" s="1"/>
  <c r="AB628" i="4" s="1"/>
  <c r="AB629" i="4" s="1"/>
  <c r="AB630" i="4" s="1"/>
  <c r="AB631" i="4" s="1"/>
  <c r="AB632" i="4" s="1"/>
  <c r="AB633" i="4" s="1"/>
  <c r="AB634" i="4" s="1"/>
  <c r="AB635" i="4" s="1"/>
  <c r="AB636" i="4" s="1"/>
  <c r="AB637" i="4" s="1"/>
  <c r="AB638" i="4" s="1"/>
  <c r="AB639" i="4" s="1"/>
  <c r="AB640" i="4" s="1"/>
  <c r="AB641" i="4" s="1"/>
  <c r="AB642" i="4" s="1"/>
  <c r="AB643" i="4" s="1"/>
  <c r="AB644" i="4" s="1"/>
  <c r="AB645" i="4" s="1"/>
  <c r="AB646" i="4" s="1"/>
  <c r="AB647" i="4" s="1"/>
  <c r="AB648" i="4" s="1"/>
  <c r="AB649" i="4" s="1"/>
  <c r="AB650" i="4" s="1"/>
  <c r="AB651" i="4" s="1"/>
  <c r="AB652" i="4" s="1"/>
  <c r="AB653" i="4" s="1"/>
  <c r="AB654" i="4" s="1"/>
  <c r="AB655" i="4" s="1"/>
  <c r="AB656" i="4" s="1"/>
  <c r="AB657" i="4" s="1"/>
  <c r="AB658" i="4" s="1"/>
  <c r="AB659" i="4" s="1"/>
  <c r="AB660" i="4" s="1"/>
  <c r="AB661" i="4" s="1"/>
  <c r="AB662" i="4" s="1"/>
  <c r="AB663" i="4" s="1"/>
  <c r="AB664" i="4" s="1"/>
  <c r="AB665" i="4" s="1"/>
  <c r="AB666" i="4" s="1"/>
  <c r="AB667" i="4" s="1"/>
  <c r="AB668" i="4" s="1"/>
  <c r="AB669" i="4" s="1"/>
  <c r="AB670" i="4" s="1"/>
  <c r="AB671" i="4" s="1"/>
  <c r="AB672" i="4" s="1"/>
  <c r="AB673" i="4" s="1"/>
  <c r="AB674" i="4" s="1"/>
  <c r="AB675" i="4" s="1"/>
  <c r="AB676" i="4" s="1"/>
  <c r="AB677" i="4" s="1"/>
  <c r="AB678" i="4" s="1"/>
  <c r="AB679" i="4" s="1"/>
  <c r="AB680" i="4" s="1"/>
  <c r="AB681" i="4" s="1"/>
  <c r="AC376" i="4"/>
  <c r="AC139" i="4"/>
  <c r="AC301" i="4"/>
  <c r="AC289" i="4"/>
  <c r="AC127" i="4"/>
  <c r="AC115" i="4"/>
  <c r="AC103" i="4"/>
  <c r="AC91" i="4"/>
  <c r="AC79" i="4"/>
  <c r="AC67" i="4"/>
  <c r="AC55" i="4"/>
  <c r="AC43" i="4"/>
  <c r="AC31" i="4"/>
  <c r="AC19" i="4"/>
  <c r="AC272" i="4"/>
  <c r="AC260" i="4"/>
  <c r="AC261" i="4" s="1"/>
  <c r="AC248" i="4"/>
  <c r="AC236" i="4"/>
  <c r="AC224" i="4"/>
  <c r="AC212" i="4"/>
  <c r="AC188" i="4"/>
  <c r="AC176" i="4"/>
  <c r="AC164" i="4"/>
  <c r="AC152" i="4"/>
  <c r="AC140" i="4"/>
  <c r="AC128" i="4"/>
  <c r="AC116" i="4"/>
  <c r="AC104" i="4"/>
  <c r="AC92" i="4"/>
  <c r="AC80" i="4"/>
  <c r="AC68" i="4"/>
  <c r="AC56" i="4"/>
  <c r="AC44" i="4"/>
  <c r="AC32" i="4"/>
  <c r="AC20" i="4"/>
  <c r="AC364" i="4"/>
  <c r="AC352" i="4"/>
  <c r="AC340" i="4"/>
  <c r="AC328" i="4"/>
  <c r="AC316" i="4"/>
  <c r="AC304" i="4"/>
  <c r="AC292" i="4"/>
  <c r="AC280" i="4"/>
  <c r="AC267" i="4"/>
  <c r="AC255" i="4"/>
  <c r="AC243" i="4"/>
  <c r="AC231" i="4"/>
  <c r="AC219" i="4"/>
  <c r="AC207" i="4"/>
  <c r="AC195" i="4"/>
  <c r="AC183" i="4"/>
  <c r="AC171" i="4"/>
  <c r="AC159" i="4"/>
  <c r="AC147" i="4"/>
  <c r="AC135" i="4"/>
  <c r="AC123" i="4"/>
  <c r="AC111" i="4"/>
  <c r="AC99" i="4"/>
  <c r="AC87" i="4"/>
  <c r="AC75" i="4"/>
  <c r="AC63" i="4"/>
  <c r="AC51" i="4"/>
  <c r="AC39" i="4"/>
  <c r="AC27" i="4"/>
  <c r="AC15" i="4"/>
  <c r="AC671" i="4"/>
  <c r="AC659" i="4"/>
  <c r="AC647" i="4"/>
  <c r="AC635" i="4"/>
  <c r="AC623" i="4"/>
  <c r="AC611" i="4"/>
  <c r="AC599" i="4"/>
  <c r="AC587" i="4"/>
  <c r="AC575" i="4"/>
  <c r="AC563" i="4"/>
  <c r="AC551" i="4"/>
  <c r="AC539" i="4"/>
  <c r="AC527" i="4"/>
  <c r="AC515" i="4"/>
  <c r="AC503" i="4"/>
  <c r="AC491" i="4"/>
  <c r="AC479" i="4"/>
  <c r="AC467" i="4"/>
  <c r="AC455" i="4"/>
  <c r="AC443" i="4"/>
  <c r="AC431" i="4"/>
  <c r="AC419" i="4"/>
  <c r="AC407" i="4"/>
  <c r="AC395" i="4"/>
  <c r="AC383" i="4"/>
  <c r="AC371" i="4"/>
  <c r="AC359" i="4"/>
  <c r="AC347" i="4"/>
  <c r="AC335" i="4"/>
  <c r="AC323" i="4"/>
  <c r="AC311" i="4"/>
  <c r="AC299" i="4"/>
  <c r="AC287" i="4"/>
  <c r="AC525" i="4"/>
  <c r="AC513" i="4"/>
  <c r="AC501" i="4"/>
  <c r="AC489" i="4"/>
  <c r="AC477" i="4"/>
  <c r="AC465" i="4"/>
  <c r="AC453" i="4"/>
  <c r="AC441" i="4"/>
  <c r="AC429" i="4"/>
  <c r="AC417" i="4"/>
  <c r="AC405" i="4"/>
  <c r="AC393" i="4"/>
  <c r="AC381" i="4"/>
  <c r="AC369" i="4"/>
  <c r="AC357" i="4"/>
  <c r="AC345" i="4"/>
  <c r="AC333" i="4"/>
  <c r="AC321" i="4"/>
  <c r="AC309" i="4"/>
  <c r="AC297" i="4"/>
  <c r="AC285" i="4"/>
  <c r="AC276" i="4"/>
  <c r="AC252" i="4"/>
  <c r="AC240" i="4"/>
  <c r="AC228" i="4"/>
  <c r="AC216" i="4"/>
  <c r="AC204" i="4"/>
  <c r="AC192" i="4"/>
  <c r="AC168" i="4"/>
  <c r="AC156" i="4"/>
  <c r="AC144" i="4"/>
  <c r="AC132" i="4"/>
  <c r="AC120" i="4"/>
  <c r="AC108" i="4"/>
  <c r="AC96" i="4"/>
  <c r="AC84" i="4"/>
  <c r="AC72" i="4"/>
  <c r="AC60" i="4"/>
  <c r="AC48" i="4"/>
  <c r="AC36" i="4"/>
  <c r="AC24" i="4"/>
  <c r="AC250" i="4"/>
  <c r="AC238" i="4"/>
  <c r="AC226" i="4"/>
  <c r="AC214" i="4"/>
  <c r="AC202" i="4"/>
  <c r="AC203" i="4" s="1"/>
  <c r="AC190" i="4"/>
  <c r="AC178" i="4"/>
  <c r="AC166" i="4"/>
  <c r="AC154" i="4"/>
  <c r="AC142" i="4"/>
  <c r="AC130" i="4"/>
  <c r="AC118" i="4"/>
  <c r="AC106" i="4"/>
  <c r="AC94" i="4"/>
  <c r="AC82" i="4"/>
  <c r="AC70" i="4"/>
  <c r="AC58" i="4"/>
  <c r="AC46" i="4"/>
  <c r="AC34" i="4"/>
  <c r="AC22" i="4"/>
  <c r="AC10" i="4"/>
  <c r="AC678" i="4"/>
  <c r="AC666" i="4"/>
  <c r="AC654" i="4"/>
  <c r="AC642" i="4"/>
  <c r="AC630" i="4"/>
  <c r="AC618" i="4"/>
  <c r="AC606" i="4"/>
  <c r="AC594" i="4"/>
  <c r="AC582" i="4"/>
  <c r="AC570" i="4"/>
  <c r="AC558" i="4"/>
  <c r="AC546" i="4"/>
  <c r="AC534" i="4"/>
  <c r="AC522" i="4"/>
  <c r="AC510" i="4"/>
  <c r="AC498" i="4"/>
  <c r="AC486" i="4"/>
  <c r="AC474" i="4"/>
  <c r="AC462" i="4"/>
  <c r="AC450" i="4"/>
  <c r="AC438" i="4"/>
  <c r="AC426" i="4"/>
  <c r="AC414" i="4"/>
  <c r="AC402" i="4"/>
  <c r="AC390" i="4"/>
  <c r="AC378" i="4"/>
  <c r="AC366" i="4"/>
  <c r="AC354" i="4"/>
  <c r="AC342" i="4"/>
  <c r="AC330" i="4"/>
  <c r="AC318" i="4"/>
  <c r="AC306" i="4"/>
  <c r="AC294" i="4"/>
  <c r="AC282" i="4"/>
  <c r="AC675" i="4"/>
  <c r="AC663" i="4"/>
  <c r="AC651" i="4"/>
  <c r="AC639" i="4"/>
  <c r="AC627" i="4"/>
  <c r="AC615" i="4"/>
  <c r="AC603" i="4"/>
  <c r="AC591" i="4"/>
  <c r="AC579" i="4"/>
  <c r="AC567" i="4"/>
  <c r="AC555" i="4"/>
  <c r="AC543" i="4"/>
  <c r="AC531" i="4"/>
  <c r="AC519" i="4"/>
  <c r="AC507" i="4"/>
  <c r="AC495" i="4"/>
  <c r="AC483" i="4"/>
  <c r="AC471" i="4"/>
  <c r="AC459" i="4"/>
  <c r="AC447" i="4"/>
  <c r="AC435" i="4"/>
  <c r="AC423" i="4"/>
  <c r="AC411" i="4"/>
  <c r="AC399" i="4"/>
  <c r="AC387" i="4"/>
  <c r="AC375" i="4"/>
  <c r="AC363" i="4"/>
  <c r="AC397" i="4"/>
  <c r="AC385" i="4"/>
  <c r="AC373" i="4"/>
  <c r="AC361" i="4"/>
  <c r="AC349" i="4"/>
  <c r="AC337" i="4"/>
  <c r="AC325" i="4"/>
  <c r="AC266" i="4"/>
  <c r="AC254" i="4"/>
  <c r="AC242" i="4"/>
  <c r="AC230" i="4"/>
  <c r="AC218" i="4"/>
  <c r="AC206" i="4"/>
  <c r="AC194" i="4"/>
  <c r="AC170" i="4"/>
  <c r="AC158" i="4"/>
  <c r="AC146" i="4"/>
  <c r="AC134" i="4"/>
  <c r="AC122" i="4"/>
  <c r="AC110" i="4"/>
  <c r="AC98" i="4"/>
  <c r="AC86" i="4"/>
  <c r="AC74" i="4"/>
  <c r="AC62" i="4"/>
  <c r="AC50" i="4"/>
  <c r="AC38" i="4"/>
  <c r="AC26" i="4"/>
  <c r="AC14" i="4"/>
  <c r="AC670" i="4"/>
  <c r="AC658" i="4"/>
  <c r="AC646" i="4"/>
  <c r="AC634" i="4"/>
  <c r="AC622" i="4"/>
  <c r="AC610" i="4"/>
  <c r="AC598" i="4"/>
  <c r="AC586" i="4"/>
  <c r="AC574" i="4"/>
  <c r="AC562" i="4"/>
  <c r="AC550" i="4"/>
  <c r="AC538" i="4"/>
  <c r="AC526" i="4"/>
  <c r="AC514" i="4"/>
  <c r="AC502" i="4"/>
  <c r="AC490" i="4"/>
  <c r="AC478" i="4"/>
  <c r="AC466" i="4"/>
  <c r="AC454" i="4"/>
  <c r="AC442" i="4"/>
  <c r="AC430" i="4"/>
  <c r="AC418" i="4"/>
  <c r="AC406" i="4"/>
  <c r="AC394" i="4"/>
  <c r="AC382" i="4"/>
  <c r="AC370" i="4"/>
  <c r="AC358" i="4"/>
  <c r="AC346" i="4"/>
  <c r="AC334" i="4"/>
  <c r="AC322" i="4"/>
  <c r="AC310" i="4"/>
  <c r="AC298" i="4"/>
  <c r="AC286" i="4"/>
  <c r="AC12" i="4"/>
  <c r="AC275" i="4"/>
  <c r="AC263" i="4"/>
  <c r="AC264" i="4" s="1"/>
  <c r="AC251" i="4"/>
  <c r="AC239" i="4"/>
  <c r="AC227" i="4"/>
  <c r="AC215" i="4"/>
  <c r="AC191" i="4"/>
  <c r="AC179" i="4"/>
  <c r="AC180" i="4" s="1"/>
  <c r="AC181" i="4" s="1"/>
  <c r="AC182" i="4" s="1"/>
  <c r="AC167" i="4"/>
  <c r="AC155" i="4"/>
  <c r="AC143" i="4"/>
  <c r="AC131" i="4"/>
  <c r="AC119" i="4"/>
  <c r="AC107" i="4"/>
  <c r="AC95" i="4"/>
  <c r="AC83" i="4"/>
  <c r="AC71" i="4"/>
  <c r="AC59" i="4"/>
  <c r="AC47" i="4"/>
  <c r="AC35" i="4"/>
  <c r="AC23" i="4"/>
  <c r="AC11" i="4"/>
  <c r="AC679" i="4"/>
  <c r="AC667" i="4"/>
  <c r="AC655" i="4"/>
  <c r="AC643" i="4"/>
  <c r="AC631" i="4"/>
  <c r="AC619" i="4"/>
  <c r="AC607" i="4"/>
  <c r="AC595" i="4"/>
  <c r="AC583" i="4"/>
  <c r="AC571" i="4"/>
  <c r="AC559" i="4"/>
  <c r="AC547" i="4"/>
  <c r="AC535" i="4"/>
  <c r="AC523" i="4"/>
  <c r="AC511" i="4"/>
  <c r="AC499" i="4"/>
  <c r="AC487" i="4"/>
  <c r="AC475" i="4"/>
  <c r="AC463" i="4"/>
  <c r="AC451" i="4"/>
  <c r="AC439" i="4"/>
  <c r="AC427" i="4"/>
  <c r="AC415" i="4"/>
  <c r="AC403" i="4"/>
  <c r="AC391" i="4"/>
  <c r="AC379" i="4"/>
  <c r="AC367" i="4"/>
  <c r="AC355" i="4"/>
  <c r="AC343" i="4"/>
  <c r="AC331" i="4"/>
  <c r="AC319" i="4"/>
  <c r="AC307" i="4"/>
  <c r="AC295" i="4"/>
  <c r="AC283" i="4"/>
  <c r="AC273" i="4"/>
  <c r="AC249" i="4"/>
  <c r="AC237" i="4"/>
  <c r="AC225" i="4"/>
  <c r="AC213" i="4"/>
  <c r="AC189" i="4"/>
  <c r="AC177" i="4"/>
  <c r="AC165" i="4"/>
  <c r="AC153" i="4"/>
  <c r="AC141" i="4"/>
  <c r="AC129" i="4"/>
  <c r="AC117" i="4"/>
  <c r="AC105" i="4"/>
  <c r="AC93" i="4"/>
  <c r="AC81" i="4"/>
  <c r="AC69" i="4"/>
  <c r="AC57" i="4"/>
  <c r="AC45" i="4"/>
  <c r="AC33" i="4"/>
  <c r="AC21" i="4"/>
  <c r="AC9" i="4"/>
  <c r="AC677" i="4"/>
  <c r="AC665" i="4"/>
  <c r="AC653" i="4"/>
  <c r="AC641" i="4"/>
  <c r="AC629" i="4"/>
  <c r="AC617" i="4"/>
  <c r="AC605" i="4"/>
  <c r="AC593" i="4"/>
  <c r="AC581" i="4"/>
  <c r="AC569" i="4"/>
  <c r="AC557" i="4"/>
  <c r="AC545" i="4"/>
  <c r="AC533" i="4"/>
  <c r="AC521" i="4"/>
  <c r="AC509" i="4"/>
  <c r="AC497" i="4"/>
  <c r="AC485" i="4"/>
  <c r="AC473" i="4"/>
  <c r="AC461" i="4"/>
  <c r="AC449" i="4"/>
  <c r="AC437" i="4"/>
  <c r="AC425" i="4"/>
  <c r="AC413" i="4"/>
  <c r="AC401" i="4"/>
  <c r="AC389" i="4"/>
  <c r="AC377" i="4"/>
  <c r="AC365" i="4"/>
  <c r="AC353" i="4"/>
  <c r="AC341" i="4"/>
  <c r="AC329" i="4"/>
  <c r="AC317" i="4"/>
  <c r="AC305" i="4"/>
  <c r="AC293" i="4"/>
  <c r="AC281" i="4"/>
  <c r="AC8" i="4"/>
  <c r="AC351" i="4"/>
  <c r="AC339" i="4"/>
  <c r="AC327" i="4"/>
  <c r="AC315" i="4"/>
  <c r="AC303" i="4"/>
  <c r="AC291" i="4"/>
  <c r="AC279" i="4"/>
  <c r="AC270" i="4"/>
  <c r="AC258" i="4"/>
  <c r="AC246" i="4"/>
  <c r="AC247" i="4" s="1"/>
  <c r="AC234" i="4"/>
  <c r="AC222" i="4"/>
  <c r="AC210" i="4"/>
  <c r="AC198" i="4"/>
  <c r="AC186" i="4"/>
  <c r="AC174" i="4"/>
  <c r="AC162" i="4"/>
  <c r="AC150" i="4"/>
  <c r="AC138" i="4"/>
  <c r="AC126" i="4"/>
  <c r="AC114" i="4"/>
  <c r="AC102" i="4"/>
  <c r="AC90" i="4"/>
  <c r="AC78" i="4"/>
  <c r="AC66" i="4"/>
  <c r="AC54" i="4"/>
  <c r="AC42" i="4"/>
  <c r="AC30" i="4"/>
  <c r="AC18" i="4"/>
  <c r="AC674" i="4"/>
  <c r="AC662" i="4"/>
  <c r="AC650" i="4"/>
  <c r="AC638" i="4"/>
  <c r="AC626" i="4"/>
  <c r="AC614" i="4"/>
  <c r="AC602" i="4"/>
  <c r="AC590" i="4"/>
  <c r="AC578" i="4"/>
  <c r="AC554" i="4"/>
  <c r="AC542" i="4"/>
  <c r="AC530" i="4"/>
  <c r="AC518" i="4"/>
  <c r="AC506" i="4"/>
  <c r="AC494" i="4"/>
  <c r="AC482" i="4"/>
  <c r="AC470" i="4"/>
  <c r="AC458" i="4"/>
  <c r="AC446" i="4"/>
  <c r="AC434" i="4"/>
  <c r="AC422" i="4"/>
  <c r="AC410" i="4"/>
  <c r="AC398" i="4"/>
  <c r="AC386" i="4"/>
  <c r="AC374" i="4"/>
  <c r="AC362" i="4"/>
  <c r="AC350" i="4"/>
  <c r="AC338" i="4"/>
  <c r="AC326" i="4"/>
  <c r="AC314" i="4"/>
  <c r="AC302" i="4"/>
  <c r="AC290" i="4"/>
  <c r="AC278" i="4"/>
  <c r="AC269" i="4"/>
  <c r="AC257" i="4"/>
  <c r="AC245" i="4"/>
  <c r="AC233" i="4"/>
  <c r="AC221" i="4"/>
  <c r="AC209" i="4"/>
  <c r="AC197" i="4"/>
  <c r="AC185" i="4"/>
  <c r="AC173" i="4"/>
  <c r="AC161" i="4"/>
  <c r="AC149" i="4"/>
  <c r="AC137" i="4"/>
  <c r="AC125" i="4"/>
  <c r="AC113" i="4"/>
  <c r="AC101" i="4"/>
  <c r="AC89" i="4"/>
  <c r="AC77" i="4"/>
  <c r="AC65" i="4"/>
  <c r="AC53" i="4"/>
  <c r="AC41" i="4"/>
  <c r="AC29" i="4"/>
  <c r="AC17" i="4"/>
  <c r="AC673" i="4"/>
  <c r="AC661" i="4"/>
  <c r="AC649" i="4"/>
  <c r="AC637" i="4"/>
  <c r="AC625" i="4"/>
  <c r="AC613" i="4"/>
  <c r="AC601" i="4"/>
  <c r="AC589" i="4"/>
  <c r="AC577" i="4"/>
  <c r="AC565" i="4"/>
  <c r="AC566" i="4" s="1"/>
  <c r="AC553" i="4"/>
  <c r="AC541" i="4"/>
  <c r="AC529" i="4"/>
  <c r="AC517" i="4"/>
  <c r="AC505" i="4"/>
  <c r="AC493" i="4"/>
  <c r="AC481" i="4"/>
  <c r="AC469" i="4"/>
  <c r="AC457" i="4"/>
  <c r="AC445" i="4"/>
  <c r="AC433" i="4"/>
  <c r="AC421" i="4"/>
  <c r="AC409" i="4"/>
  <c r="AC313" i="4"/>
  <c r="AC40" i="4"/>
  <c r="AC680" i="4"/>
  <c r="AC668" i="4"/>
  <c r="AC656" i="4"/>
  <c r="AC644" i="4"/>
  <c r="AC632" i="4"/>
  <c r="AC620" i="4"/>
  <c r="AC608" i="4"/>
  <c r="AC596" i="4"/>
  <c r="AC584" i="4"/>
  <c r="AC572" i="4"/>
  <c r="AC560" i="4"/>
  <c r="AC548" i="4"/>
  <c r="AC536" i="4"/>
  <c r="AC524" i="4"/>
  <c r="AC512" i="4"/>
  <c r="AC500" i="4"/>
  <c r="AC488" i="4"/>
  <c r="AC476" i="4"/>
  <c r="AC464" i="4"/>
  <c r="AC452" i="4"/>
  <c r="AC440" i="4"/>
  <c r="AC428" i="4"/>
  <c r="AC416" i="4"/>
  <c r="AC404" i="4"/>
  <c r="AC392" i="4"/>
  <c r="AC380" i="4"/>
  <c r="AC368" i="4"/>
  <c r="AC356" i="4"/>
  <c r="AC344" i="4"/>
  <c r="AC332" i="4"/>
  <c r="AC320" i="4"/>
  <c r="AC308" i="4"/>
  <c r="AC296" i="4"/>
  <c r="AC284" i="4"/>
  <c r="AB3" i="21"/>
  <c r="AB4" i="21"/>
  <c r="AB5" i="21"/>
  <c r="AB6" i="21"/>
  <c r="AB7" i="21"/>
  <c r="AB8" i="21"/>
  <c r="AB9" i="21"/>
  <c r="AB10" i="21"/>
  <c r="AB11" i="21"/>
  <c r="AB12" i="21"/>
  <c r="AB13" i="21"/>
  <c r="AB14" i="21"/>
  <c r="AB15" i="21"/>
  <c r="AB16" i="21"/>
  <c r="AB17" i="21"/>
  <c r="AB18" i="21"/>
  <c r="AB19" i="21"/>
  <c r="AB20" i="21"/>
  <c r="AB21" i="21"/>
  <c r="AB22" i="21"/>
  <c r="AB23" i="21"/>
  <c r="AB24" i="21"/>
  <c r="AB25" i="21"/>
  <c r="AB26" i="21"/>
  <c r="AB27" i="21"/>
  <c r="AB28" i="21"/>
  <c r="AB29" i="21"/>
  <c r="AB30" i="21"/>
  <c r="AB31" i="21"/>
  <c r="AB32" i="21"/>
  <c r="AB33" i="21"/>
  <c r="AB34" i="21"/>
  <c r="AB35" i="21"/>
  <c r="AB36" i="21"/>
  <c r="AB37" i="21"/>
  <c r="AB38" i="21"/>
  <c r="AB39" i="21"/>
  <c r="AB40" i="21"/>
  <c r="AB41" i="21"/>
  <c r="AB42" i="21"/>
  <c r="AB43" i="21"/>
  <c r="AB44" i="21"/>
  <c r="AB45" i="21"/>
  <c r="AB46" i="21"/>
  <c r="AB47" i="21"/>
  <c r="AB48" i="21"/>
  <c r="AB49" i="21"/>
  <c r="AB50" i="21"/>
  <c r="AB51" i="21"/>
  <c r="AB52" i="21"/>
  <c r="AB53" i="21"/>
  <c r="AB54" i="21"/>
  <c r="AB55" i="21"/>
  <c r="AB56" i="21"/>
  <c r="AB57" i="21"/>
  <c r="AB58" i="21"/>
  <c r="AB59" i="21"/>
  <c r="AB60" i="21"/>
  <c r="AB61" i="21"/>
  <c r="AB62" i="21"/>
  <c r="AB63" i="21"/>
  <c r="AB64" i="21"/>
  <c r="AB65" i="21"/>
  <c r="AB66" i="21"/>
  <c r="AB67" i="21"/>
  <c r="AB68" i="21"/>
  <c r="AB69" i="21"/>
  <c r="AB70" i="21"/>
  <c r="AB71" i="21"/>
  <c r="AB72" i="21"/>
  <c r="AB73" i="21"/>
  <c r="AB74" i="21"/>
  <c r="AB75" i="21"/>
  <c r="AB76" i="21"/>
  <c r="AB77" i="21"/>
  <c r="AB78" i="21"/>
  <c r="AB79" i="21"/>
  <c r="AB80" i="21"/>
  <c r="AB81" i="21"/>
  <c r="AB82" i="21"/>
  <c r="AB83" i="21"/>
  <c r="AB84" i="21"/>
  <c r="AB85" i="21"/>
  <c r="AB86" i="21"/>
  <c r="AB87" i="21"/>
  <c r="AB88" i="21"/>
  <c r="AB89" i="21"/>
  <c r="AB90" i="21"/>
  <c r="AB91" i="21"/>
  <c r="AB92" i="21"/>
  <c r="AB93" i="21"/>
  <c r="AB94" i="21"/>
  <c r="AB95" i="21"/>
  <c r="AB96" i="21"/>
  <c r="AB97" i="21"/>
  <c r="AB98" i="21"/>
  <c r="AB99" i="21"/>
  <c r="AB100" i="21"/>
  <c r="AB101" i="21"/>
  <c r="AB102" i="21"/>
  <c r="AB103" i="21"/>
  <c r="AB104" i="21"/>
  <c r="AB105" i="21"/>
  <c r="AB106" i="21"/>
  <c r="AB107" i="21"/>
  <c r="AB108" i="21"/>
  <c r="AB109" i="21"/>
  <c r="AB110" i="21"/>
  <c r="AB111" i="21"/>
  <c r="AB112" i="21"/>
  <c r="AB113" i="21"/>
  <c r="AB114" i="21"/>
  <c r="AB115" i="21"/>
  <c r="AB116" i="21"/>
  <c r="AB117" i="21"/>
  <c r="AB118" i="21"/>
  <c r="AB119" i="21"/>
  <c r="AB120" i="21"/>
  <c r="AB121" i="21"/>
  <c r="AB122" i="21"/>
  <c r="AB123" i="21"/>
  <c r="AB124" i="21"/>
  <c r="AB125" i="21"/>
  <c r="AB126" i="21"/>
  <c r="AB127" i="21"/>
  <c r="AB128" i="21"/>
  <c r="AB129" i="21"/>
  <c r="AB130" i="21"/>
  <c r="AB131" i="21"/>
  <c r="AB132" i="21"/>
  <c r="AB133" i="21"/>
  <c r="AB134" i="21"/>
  <c r="AB135" i="21"/>
  <c r="AB136" i="21"/>
  <c r="AB137" i="21"/>
  <c r="AB138" i="21"/>
  <c r="AB139" i="21"/>
  <c r="AB140" i="21"/>
  <c r="AB141" i="21"/>
  <c r="AB142" i="21"/>
  <c r="AB143" i="21"/>
  <c r="AB144" i="21"/>
  <c r="AB145" i="21"/>
  <c r="AB146" i="21"/>
  <c r="AB147" i="21"/>
  <c r="AB148" i="21"/>
  <c r="AB149" i="21"/>
  <c r="AB150" i="21"/>
  <c r="AB151" i="21"/>
  <c r="AB152" i="21"/>
  <c r="AB153" i="21"/>
  <c r="AB154" i="21"/>
  <c r="AB155" i="21"/>
  <c r="AB156" i="21"/>
  <c r="AB157" i="21"/>
  <c r="AB158" i="21"/>
  <c r="AB159" i="21"/>
  <c r="AB160" i="21"/>
  <c r="AB161" i="21"/>
  <c r="AB162" i="21"/>
  <c r="AB163" i="21"/>
  <c r="AB164" i="21"/>
  <c r="AB165" i="21"/>
  <c r="AB166" i="21"/>
  <c r="AB167" i="21"/>
  <c r="AB168" i="21"/>
  <c r="AB169" i="21"/>
  <c r="AB170" i="21"/>
  <c r="AB171" i="21"/>
  <c r="AB172" i="21"/>
  <c r="AB173" i="21"/>
  <c r="AB174" i="21"/>
  <c r="AB175" i="21"/>
  <c r="AB176" i="21"/>
  <c r="AB177" i="21"/>
  <c r="AB178" i="21"/>
  <c r="AB179" i="21"/>
  <c r="AB180" i="21"/>
  <c r="AB181" i="21"/>
  <c r="AB182" i="21"/>
  <c r="AB183" i="21"/>
  <c r="AB184" i="21"/>
  <c r="AB185" i="21"/>
  <c r="AB186" i="21"/>
  <c r="AB187" i="21"/>
  <c r="AB188" i="21"/>
  <c r="AB189" i="21"/>
  <c r="AB190" i="21"/>
  <c r="AB191" i="21"/>
  <c r="AB192" i="21"/>
  <c r="AB193" i="21"/>
  <c r="AB194" i="21"/>
  <c r="AB195" i="21"/>
  <c r="AB196" i="21"/>
  <c r="AB197" i="21"/>
  <c r="AB198" i="21"/>
  <c r="AB199" i="21"/>
  <c r="AB200" i="21"/>
  <c r="AB201" i="21"/>
  <c r="AB202" i="21"/>
  <c r="AB203" i="21"/>
  <c r="AB204" i="21"/>
  <c r="AB205" i="21"/>
  <c r="AB206" i="21"/>
  <c r="AB207" i="21"/>
  <c r="AB208" i="21"/>
  <c r="AB209" i="21"/>
  <c r="AB210" i="21"/>
  <c r="AB211" i="21"/>
  <c r="AB212" i="21"/>
  <c r="AB213" i="21"/>
  <c r="AB214" i="21"/>
  <c r="AB215" i="21"/>
  <c r="AB216" i="21"/>
  <c r="AB217" i="21"/>
  <c r="AB218" i="21"/>
  <c r="AB219" i="21"/>
  <c r="AB220" i="21"/>
  <c r="AB221" i="21"/>
  <c r="AB222" i="21"/>
  <c r="AB223" i="21"/>
  <c r="AB224" i="21"/>
  <c r="AB225" i="21"/>
  <c r="AB226" i="21"/>
  <c r="AB227" i="21"/>
  <c r="AB228" i="21"/>
  <c r="AB229" i="21"/>
  <c r="AB230" i="21"/>
  <c r="AB231" i="21"/>
  <c r="AB232" i="21"/>
  <c r="AB233" i="21"/>
  <c r="AB234" i="21"/>
  <c r="AB235" i="21"/>
  <c r="AB236" i="21"/>
  <c r="AB237" i="21"/>
  <c r="AB238" i="21"/>
  <c r="AB239" i="21"/>
  <c r="AB240" i="21"/>
  <c r="AB241" i="21"/>
  <c r="AB242" i="21"/>
  <c r="AB243" i="21"/>
  <c r="AB244" i="21"/>
  <c r="AB245" i="21"/>
  <c r="AB246" i="21"/>
  <c r="AB247" i="21"/>
  <c r="AB248" i="21"/>
  <c r="AB249" i="21"/>
  <c r="AB250" i="21"/>
  <c r="AB251" i="21"/>
  <c r="AB252" i="21"/>
  <c r="AB253" i="21"/>
  <c r="AB254" i="21"/>
  <c r="AB255" i="21"/>
  <c r="AB256" i="21"/>
  <c r="AB257" i="21"/>
  <c r="AB258" i="21"/>
  <c r="AB259" i="21"/>
  <c r="AB260" i="21"/>
  <c r="AB261" i="21"/>
  <c r="AB262" i="21"/>
  <c r="AB263" i="21"/>
  <c r="AB264" i="21"/>
  <c r="AB265" i="21"/>
  <c r="AB266" i="21"/>
  <c r="AB267" i="21"/>
  <c r="AB268" i="21"/>
  <c r="AB269" i="21"/>
  <c r="AB270" i="21"/>
  <c r="AB271" i="21"/>
  <c r="AB272" i="21"/>
  <c r="AB273" i="21"/>
  <c r="AB274" i="21"/>
  <c r="AB275" i="21"/>
  <c r="AB276" i="21"/>
  <c r="AB277" i="21"/>
  <c r="AB278" i="21"/>
  <c r="AB279" i="21"/>
  <c r="AB280" i="21"/>
  <c r="AB281" i="21"/>
  <c r="AB282" i="21"/>
  <c r="AB283" i="21"/>
  <c r="AB284" i="21"/>
  <c r="AB285" i="21"/>
  <c r="AB286" i="21"/>
  <c r="AB287" i="21"/>
  <c r="AB288" i="21"/>
  <c r="AB289" i="21"/>
  <c r="AB290" i="21"/>
  <c r="AB291" i="21"/>
  <c r="AB292" i="21"/>
  <c r="AB293" i="21"/>
  <c r="AB294" i="21"/>
  <c r="AB295" i="21"/>
  <c r="AB296" i="21"/>
  <c r="AB297" i="21"/>
  <c r="AB298" i="21"/>
  <c r="AB299" i="21"/>
  <c r="AB300" i="21"/>
  <c r="AB301" i="21"/>
  <c r="AB302" i="21"/>
  <c r="AB303" i="21"/>
  <c r="AB304" i="21"/>
  <c r="AB305" i="21"/>
  <c r="AB306" i="21"/>
  <c r="AB307" i="21"/>
  <c r="AB308" i="21"/>
  <c r="AB309" i="21"/>
  <c r="AB310" i="21"/>
  <c r="AB311" i="21"/>
  <c r="AB312" i="21"/>
  <c r="AB313" i="21"/>
  <c r="AB314" i="21"/>
  <c r="AB315" i="21"/>
  <c r="AB316" i="21"/>
  <c r="AB317" i="21"/>
  <c r="AB318" i="21"/>
  <c r="AB319" i="21"/>
  <c r="AB320" i="21"/>
  <c r="AB321" i="21"/>
  <c r="AB322" i="21"/>
  <c r="AB323" i="21"/>
  <c r="AB324" i="21"/>
  <c r="AB325" i="21"/>
  <c r="AB326" i="21"/>
  <c r="AB327" i="21"/>
  <c r="AB328" i="21"/>
  <c r="AB329" i="21"/>
  <c r="AB330" i="21"/>
  <c r="AB331" i="21"/>
  <c r="AB332" i="21"/>
  <c r="AB333" i="21"/>
  <c r="AB334" i="21"/>
  <c r="AB335" i="21"/>
  <c r="AB336" i="21"/>
  <c r="AB2" i="21"/>
  <c r="AA3" i="21"/>
  <c r="AA4" i="21"/>
  <c r="AA5" i="21"/>
  <c r="AA6" i="21"/>
  <c r="AA7" i="21"/>
  <c r="AA8" i="21"/>
  <c r="AA9" i="21"/>
  <c r="AA10" i="21"/>
  <c r="AA11" i="21"/>
  <c r="AA12" i="2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A33" i="21"/>
  <c r="AA34" i="21"/>
  <c r="AA35" i="21"/>
  <c r="AA36" i="21"/>
  <c r="AA37" i="21"/>
  <c r="AA38" i="21"/>
  <c r="AA39" i="21"/>
  <c r="AA40" i="21"/>
  <c r="AA41" i="21"/>
  <c r="AA42" i="21"/>
  <c r="AA43" i="21"/>
  <c r="AA44" i="21"/>
  <c r="AA45" i="21"/>
  <c r="AA46" i="21"/>
  <c r="AA47" i="21"/>
  <c r="AA48" i="21"/>
  <c r="AA49" i="21"/>
  <c r="AA50" i="21"/>
  <c r="AA51" i="21"/>
  <c r="AA52" i="21"/>
  <c r="AA53" i="21"/>
  <c r="AA54" i="21"/>
  <c r="AA55" i="21"/>
  <c r="AA56" i="21"/>
  <c r="AA57" i="21"/>
  <c r="AA58" i="21"/>
  <c r="AA59" i="21"/>
  <c r="AA60" i="21"/>
  <c r="AA61" i="21"/>
  <c r="AA62" i="21"/>
  <c r="AA63" i="21"/>
  <c r="AA64" i="21"/>
  <c r="AA65" i="21"/>
  <c r="AA66" i="21"/>
  <c r="AA67" i="21"/>
  <c r="AA68" i="21"/>
  <c r="AA69" i="21"/>
  <c r="AA70" i="21"/>
  <c r="AA71" i="21"/>
  <c r="AA72" i="21"/>
  <c r="AA73" i="21"/>
  <c r="AA74" i="21"/>
  <c r="AA75" i="21"/>
  <c r="AA76" i="21"/>
  <c r="AA77" i="21"/>
  <c r="AA78" i="21"/>
  <c r="AA79" i="21"/>
  <c r="AA80" i="21"/>
  <c r="AA81" i="21"/>
  <c r="AA82" i="21"/>
  <c r="AA83" i="21"/>
  <c r="AA84" i="21"/>
  <c r="AA85" i="21"/>
  <c r="AA86" i="21"/>
  <c r="AA87" i="21"/>
  <c r="AA88" i="21"/>
  <c r="AA89" i="21"/>
  <c r="AA90" i="21"/>
  <c r="AA91" i="21"/>
  <c r="AA92" i="21"/>
  <c r="AA93" i="21"/>
  <c r="AA94" i="21"/>
  <c r="AA95" i="21"/>
  <c r="AA96" i="21"/>
  <c r="AA97" i="21"/>
  <c r="AA98" i="21"/>
  <c r="AA99" i="21"/>
  <c r="AA100" i="21"/>
  <c r="AA101" i="21"/>
  <c r="AA102" i="21"/>
  <c r="AA103" i="21"/>
  <c r="AA104" i="21"/>
  <c r="AA105" i="21"/>
  <c r="AA106" i="21"/>
  <c r="AA107" i="21"/>
  <c r="AA108" i="21"/>
  <c r="AA109" i="21"/>
  <c r="AA110" i="21"/>
  <c r="AA111" i="21"/>
  <c r="AA112" i="21"/>
  <c r="AA113" i="21"/>
  <c r="AA114" i="21"/>
  <c r="AA115" i="21"/>
  <c r="AA116" i="21"/>
  <c r="AA117" i="21"/>
  <c r="AA118" i="21"/>
  <c r="AA119" i="21"/>
  <c r="AA120" i="21"/>
  <c r="AA121" i="21"/>
  <c r="AA122" i="21"/>
  <c r="AA123" i="21"/>
  <c r="AA124" i="21"/>
  <c r="AA125" i="21"/>
  <c r="AA126" i="21"/>
  <c r="AA127" i="21"/>
  <c r="AA128" i="21"/>
  <c r="AA129" i="21"/>
  <c r="AA130" i="21"/>
  <c r="AA131" i="21"/>
  <c r="AA132" i="21"/>
  <c r="AA133" i="21"/>
  <c r="AA134" i="21"/>
  <c r="AA135" i="21"/>
  <c r="AA136" i="21"/>
  <c r="AA137" i="21"/>
  <c r="AA138" i="21"/>
  <c r="AA139" i="21"/>
  <c r="AA140" i="21"/>
  <c r="AA141" i="21"/>
  <c r="AA142" i="21"/>
  <c r="AA143" i="21"/>
  <c r="AA144" i="21"/>
  <c r="AA145" i="21"/>
  <c r="AA146" i="21"/>
  <c r="AA147" i="21"/>
  <c r="AA148" i="21"/>
  <c r="AA149" i="21"/>
  <c r="AA150" i="21"/>
  <c r="AA151" i="21"/>
  <c r="AA152" i="21"/>
  <c r="AA153" i="21"/>
  <c r="AA154" i="21"/>
  <c r="AA155" i="21"/>
  <c r="AA156" i="21"/>
  <c r="AA157" i="21"/>
  <c r="AA158" i="21"/>
  <c r="AA159" i="21"/>
  <c r="AA160" i="21"/>
  <c r="AA161" i="21"/>
  <c r="AA162" i="21"/>
  <c r="AA163" i="21"/>
  <c r="AA164" i="21"/>
  <c r="AA165" i="21"/>
  <c r="AA166" i="21"/>
  <c r="AA167" i="21"/>
  <c r="AA168" i="21"/>
  <c r="AA169" i="21"/>
  <c r="AA170" i="21"/>
  <c r="AA171" i="21"/>
  <c r="AA172" i="21"/>
  <c r="AA173" i="21"/>
  <c r="AA174" i="21"/>
  <c r="AA175" i="21"/>
  <c r="AA176" i="21"/>
  <c r="AA177" i="21"/>
  <c r="AA178" i="21"/>
  <c r="AA179" i="21"/>
  <c r="AA180" i="21"/>
  <c r="AA181" i="21"/>
  <c r="AA182" i="21"/>
  <c r="AA183" i="21"/>
  <c r="AA184" i="21"/>
  <c r="AA185" i="21"/>
  <c r="AA186" i="21"/>
  <c r="AA187" i="21"/>
  <c r="AA188" i="21"/>
  <c r="AA189" i="21"/>
  <c r="AA190" i="21"/>
  <c r="AA191" i="21"/>
  <c r="AA192" i="21"/>
  <c r="AA193" i="21"/>
  <c r="AA194" i="21"/>
  <c r="AA195" i="21"/>
  <c r="AA196" i="21"/>
  <c r="AA197" i="21"/>
  <c r="AA198" i="21"/>
  <c r="AA199" i="21"/>
  <c r="AA200" i="21"/>
  <c r="AA201" i="21"/>
  <c r="AA202" i="21"/>
  <c r="AA203" i="21"/>
  <c r="AA204" i="21"/>
  <c r="AA205" i="21"/>
  <c r="AA206" i="21"/>
  <c r="AA207" i="21"/>
  <c r="AA208" i="21"/>
  <c r="AA209" i="21"/>
  <c r="AA210" i="21"/>
  <c r="AA211" i="21"/>
  <c r="AA212" i="21"/>
  <c r="AA213" i="21"/>
  <c r="AA214" i="21"/>
  <c r="AA215" i="21"/>
  <c r="AA216" i="21"/>
  <c r="AA217" i="21"/>
  <c r="AA218" i="21"/>
  <c r="AA219" i="21"/>
  <c r="AA220" i="21"/>
  <c r="AA221" i="21"/>
  <c r="AA222" i="21"/>
  <c r="AA223" i="21"/>
  <c r="AA224" i="21"/>
  <c r="AA225" i="21"/>
  <c r="AA226" i="21"/>
  <c r="AA227" i="21"/>
  <c r="AA228" i="21"/>
  <c r="AA229" i="21"/>
  <c r="AA230" i="21"/>
  <c r="AA231" i="21"/>
  <c r="AA232" i="21"/>
  <c r="AA233" i="21"/>
  <c r="AA234" i="21"/>
  <c r="AA235" i="21"/>
  <c r="AA236" i="21"/>
  <c r="AA237" i="21"/>
  <c r="AA238" i="21"/>
  <c r="AA239" i="21"/>
  <c r="AA240" i="21"/>
  <c r="AA241" i="21"/>
  <c r="AA242" i="21"/>
  <c r="AA243" i="21"/>
  <c r="AA244" i="21"/>
  <c r="AA245" i="21"/>
  <c r="AA246" i="21"/>
  <c r="AA247" i="21"/>
  <c r="AA248" i="21"/>
  <c r="AA249" i="21"/>
  <c r="AA250" i="21"/>
  <c r="AA251" i="21"/>
  <c r="AA252" i="21"/>
  <c r="AA253" i="21"/>
  <c r="AA254" i="21"/>
  <c r="AA255" i="21"/>
  <c r="AA256" i="21"/>
  <c r="AA257" i="21"/>
  <c r="AA258" i="21"/>
  <c r="AA259" i="21"/>
  <c r="AA260" i="21"/>
  <c r="AA261" i="21"/>
  <c r="AA262" i="21"/>
  <c r="AA263" i="21"/>
  <c r="AA264" i="21"/>
  <c r="AA265" i="21"/>
  <c r="AA266" i="21"/>
  <c r="AA267" i="21"/>
  <c r="AA268" i="21"/>
  <c r="AA269" i="21"/>
  <c r="AA270" i="21"/>
  <c r="AA271" i="21"/>
  <c r="AA272" i="21"/>
  <c r="AA273" i="21"/>
  <c r="AA274" i="21"/>
  <c r="AA275" i="21"/>
  <c r="AA276" i="21"/>
  <c r="AA277" i="21"/>
  <c r="AA278" i="21"/>
  <c r="AA279" i="21"/>
  <c r="AA280" i="21"/>
  <c r="AA281" i="21"/>
  <c r="AA282" i="21"/>
  <c r="AA283" i="21"/>
  <c r="AA284" i="21"/>
  <c r="AA285" i="21"/>
  <c r="AA286" i="21"/>
  <c r="AA287" i="21"/>
  <c r="AA288" i="21"/>
  <c r="AA289" i="21"/>
  <c r="AA290" i="21"/>
  <c r="AA291" i="21"/>
  <c r="AA292" i="21"/>
  <c r="AA293" i="21"/>
  <c r="AA294" i="21"/>
  <c r="AA295" i="21"/>
  <c r="AA296" i="21"/>
  <c r="AA297" i="21"/>
  <c r="AA298" i="21"/>
  <c r="AA299" i="21"/>
  <c r="AA300" i="21"/>
  <c r="AA301" i="21"/>
  <c r="AA302" i="21"/>
  <c r="AA303" i="21"/>
  <c r="AA304" i="21"/>
  <c r="AA305" i="21"/>
  <c r="AA306" i="21"/>
  <c r="AA307" i="21"/>
  <c r="AA308" i="21"/>
  <c r="AA309" i="21"/>
  <c r="AA310" i="21"/>
  <c r="AA311" i="21"/>
  <c r="AA312" i="21"/>
  <c r="AA313" i="21"/>
  <c r="AA314" i="21"/>
  <c r="AA315" i="21"/>
  <c r="AA316" i="21"/>
  <c r="AA317" i="21"/>
  <c r="AA318" i="21"/>
  <c r="AA319" i="21"/>
  <c r="AA320" i="21"/>
  <c r="AA321" i="21"/>
  <c r="AA322" i="21"/>
  <c r="AA323" i="21"/>
  <c r="AA324" i="21"/>
  <c r="AA325" i="21"/>
  <c r="AA326" i="21"/>
  <c r="AA327" i="21"/>
  <c r="AA328" i="21"/>
  <c r="AA329" i="21"/>
  <c r="AA330" i="21"/>
  <c r="AA331" i="21"/>
  <c r="AA332" i="21"/>
  <c r="AA333" i="21"/>
  <c r="AA334" i="21"/>
  <c r="AA335" i="21"/>
  <c r="AA336" i="21"/>
  <c r="AA2" i="21"/>
  <c r="Z2" i="21"/>
  <c r="Z4" i="21"/>
  <c r="Z5" i="21"/>
  <c r="Z6" i="21"/>
  <c r="Z7" i="21"/>
  <c r="Z8" i="21"/>
  <c r="Z9" i="21"/>
  <c r="Z10" i="21"/>
  <c r="Z11" i="21"/>
  <c r="Z12" i="21"/>
  <c r="Z13" i="21"/>
  <c r="Z14" i="21"/>
  <c r="Z15" i="21"/>
  <c r="Z16" i="21"/>
  <c r="Z17" i="21"/>
  <c r="Z18" i="21"/>
  <c r="Z19" i="21"/>
  <c r="Z20" i="21"/>
  <c r="Z21" i="21"/>
  <c r="Z22" i="21"/>
  <c r="Z23" i="21"/>
  <c r="Z24" i="21"/>
  <c r="Z25" i="21"/>
  <c r="Z26" i="21"/>
  <c r="Z27" i="21"/>
  <c r="Z28" i="21"/>
  <c r="Z29" i="21"/>
  <c r="Z30" i="21"/>
  <c r="Z31" i="21"/>
  <c r="Z32" i="21"/>
  <c r="Z33" i="21"/>
  <c r="Z34" i="21"/>
  <c r="Z35" i="21"/>
  <c r="Z36" i="21"/>
  <c r="Z37" i="21"/>
  <c r="Z38" i="21"/>
  <c r="Z39" i="21"/>
  <c r="Z40" i="21"/>
  <c r="Z41" i="21"/>
  <c r="Z42" i="21"/>
  <c r="Z43" i="21"/>
  <c r="Z44" i="21"/>
  <c r="Z45" i="21"/>
  <c r="Z46" i="21"/>
  <c r="Z47" i="21"/>
  <c r="Z48" i="21"/>
  <c r="Z49" i="21"/>
  <c r="Z50" i="21"/>
  <c r="Z51" i="21"/>
  <c r="Z52" i="21"/>
  <c r="Z53" i="21"/>
  <c r="Z54" i="21"/>
  <c r="Z55" i="21"/>
  <c r="Z56" i="21"/>
  <c r="Z57" i="21"/>
  <c r="Z58" i="21"/>
  <c r="Z59" i="21"/>
  <c r="Z60" i="21"/>
  <c r="Z61" i="21"/>
  <c r="Z62" i="21"/>
  <c r="Z63" i="21"/>
  <c r="Z64" i="21"/>
  <c r="Z65" i="21"/>
  <c r="Z66" i="21"/>
  <c r="Z67" i="21"/>
  <c r="Z68" i="21"/>
  <c r="Z69" i="21"/>
  <c r="Z70" i="21"/>
  <c r="Z71" i="21"/>
  <c r="Z72" i="21"/>
  <c r="Z73" i="21"/>
  <c r="Z74" i="21"/>
  <c r="Z75" i="21"/>
  <c r="Z76" i="21"/>
  <c r="Z77" i="21"/>
  <c r="Z78" i="21"/>
  <c r="Z79" i="21"/>
  <c r="Z80" i="21"/>
  <c r="Z81" i="21"/>
  <c r="Z82" i="21"/>
  <c r="Z83" i="21"/>
  <c r="Z84" i="21"/>
  <c r="Z85" i="21"/>
  <c r="Z86" i="21"/>
  <c r="Z87" i="21"/>
  <c r="Z88" i="21"/>
  <c r="Z89" i="21"/>
  <c r="Z90" i="21"/>
  <c r="Z91" i="21"/>
  <c r="Z92" i="21"/>
  <c r="Z93" i="21"/>
  <c r="Z94" i="21"/>
  <c r="Z95" i="21"/>
  <c r="Z96" i="21"/>
  <c r="Z97" i="21"/>
  <c r="Z98" i="21"/>
  <c r="Z99" i="21"/>
  <c r="Z100" i="21"/>
  <c r="Z101" i="21"/>
  <c r="Z102" i="21"/>
  <c r="Z103" i="21"/>
  <c r="Z104" i="21"/>
  <c r="Z105" i="21"/>
  <c r="Z106" i="21"/>
  <c r="Z107" i="21"/>
  <c r="Z108" i="21"/>
  <c r="Z109" i="21"/>
  <c r="Z110" i="21"/>
  <c r="Z111" i="21"/>
  <c r="Z112" i="21"/>
  <c r="Z113" i="21"/>
  <c r="Z114" i="21"/>
  <c r="Z115" i="21"/>
  <c r="Z116" i="21"/>
  <c r="Z117" i="21"/>
  <c r="Z118" i="21"/>
  <c r="Z119" i="21"/>
  <c r="Z120" i="21"/>
  <c r="Z121" i="21"/>
  <c r="Z122" i="21"/>
  <c r="Z123" i="21"/>
  <c r="Z124" i="21"/>
  <c r="Z125" i="21"/>
  <c r="Z126" i="21"/>
  <c r="Z127" i="21"/>
  <c r="Z128" i="21"/>
  <c r="Z129" i="21"/>
  <c r="Z130" i="21"/>
  <c r="Z131" i="21"/>
  <c r="Z132" i="21"/>
  <c r="Z133" i="21"/>
  <c r="Z134" i="21"/>
  <c r="Z135" i="21"/>
  <c r="Z136" i="21"/>
  <c r="Z137" i="21"/>
  <c r="Z138" i="21"/>
  <c r="Z139" i="21"/>
  <c r="Z140" i="21"/>
  <c r="Z141" i="21"/>
  <c r="Z142" i="21"/>
  <c r="Z143" i="21"/>
  <c r="Z144" i="21"/>
  <c r="Z145" i="21"/>
  <c r="Z146" i="21"/>
  <c r="Z147" i="21"/>
  <c r="Z148" i="21"/>
  <c r="Z149" i="21"/>
  <c r="Z150" i="21"/>
  <c r="Z151" i="21"/>
  <c r="Z152" i="21"/>
  <c r="Z153" i="21"/>
  <c r="Z154" i="21"/>
  <c r="Z155" i="21"/>
  <c r="Z156" i="21"/>
  <c r="Z157" i="21"/>
  <c r="Z158" i="21"/>
  <c r="Z159" i="21"/>
  <c r="Z160" i="21"/>
  <c r="Z161" i="21"/>
  <c r="Z162" i="21"/>
  <c r="Z163" i="21"/>
  <c r="Z164" i="21"/>
  <c r="Z165" i="21"/>
  <c r="Z166" i="21"/>
  <c r="Z167" i="21"/>
  <c r="Z168" i="21"/>
  <c r="Z169" i="21"/>
  <c r="Z170" i="21"/>
  <c r="Z171" i="21"/>
  <c r="Z172" i="21"/>
  <c r="Z173" i="21"/>
  <c r="Z174" i="21"/>
  <c r="Z175" i="21"/>
  <c r="Z176" i="21"/>
  <c r="Z177" i="21"/>
  <c r="Z178" i="21"/>
  <c r="Z179" i="21"/>
  <c r="Z180" i="21"/>
  <c r="Z181" i="21"/>
  <c r="Z182" i="21"/>
  <c r="Z183" i="21"/>
  <c r="Z184" i="21"/>
  <c r="Z185" i="21"/>
  <c r="Z186" i="21"/>
  <c r="Z187" i="21"/>
  <c r="Z188" i="21"/>
  <c r="Z189" i="21"/>
  <c r="Z190" i="21"/>
  <c r="Z191" i="21"/>
  <c r="Z192" i="21"/>
  <c r="Z193" i="21"/>
  <c r="Z194" i="21"/>
  <c r="Z195" i="21"/>
  <c r="Z196" i="21"/>
  <c r="Z197" i="21"/>
  <c r="Z198" i="21"/>
  <c r="Z199" i="21"/>
  <c r="Z200" i="21"/>
  <c r="Z201" i="21"/>
  <c r="Z202" i="21"/>
  <c r="Z203" i="21"/>
  <c r="Z204" i="21"/>
  <c r="Z205" i="21"/>
  <c r="Z206" i="21"/>
  <c r="Z207" i="21"/>
  <c r="Z208" i="21"/>
  <c r="Z209" i="21"/>
  <c r="Z210" i="21"/>
  <c r="Z211" i="21"/>
  <c r="Z212" i="21"/>
  <c r="Z213" i="21"/>
  <c r="Z214" i="21"/>
  <c r="Z215" i="21"/>
  <c r="Z216" i="21"/>
  <c r="Z217" i="21"/>
  <c r="Z218" i="21"/>
  <c r="Z219" i="21"/>
  <c r="Z220" i="21"/>
  <c r="Z221" i="21"/>
  <c r="Z222" i="21"/>
  <c r="Z223" i="21"/>
  <c r="Z224" i="21"/>
  <c r="Z225" i="21"/>
  <c r="Z226" i="21"/>
  <c r="Z227" i="21"/>
  <c r="Z228" i="21"/>
  <c r="Z229" i="21"/>
  <c r="Z230" i="21"/>
  <c r="Z231" i="21"/>
  <c r="Z232" i="21"/>
  <c r="Z233" i="21"/>
  <c r="Z234" i="21"/>
  <c r="Z235" i="21"/>
  <c r="Z236" i="21"/>
  <c r="Z237" i="21"/>
  <c r="Z238" i="21"/>
  <c r="Z239" i="21"/>
  <c r="Z240" i="21"/>
  <c r="Z241" i="21"/>
  <c r="Z242" i="21"/>
  <c r="Z243" i="21"/>
  <c r="Z244" i="21"/>
  <c r="Z245" i="21"/>
  <c r="Z246" i="21"/>
  <c r="Z247" i="21"/>
  <c r="Z248" i="21"/>
  <c r="Z249" i="21"/>
  <c r="Z250" i="21"/>
  <c r="Z251" i="21"/>
  <c r="Z252" i="21"/>
  <c r="Z253" i="21"/>
  <c r="Z254" i="21"/>
  <c r="Z255" i="21"/>
  <c r="Z256" i="21"/>
  <c r="Z257" i="21"/>
  <c r="Z258" i="21"/>
  <c r="Z259" i="21"/>
  <c r="Z260" i="21"/>
  <c r="Z261" i="21"/>
  <c r="Z262" i="21"/>
  <c r="Z263" i="21"/>
  <c r="Z264" i="21"/>
  <c r="Z265" i="21"/>
  <c r="Z266" i="21"/>
  <c r="Z267" i="21"/>
  <c r="Z268" i="21"/>
  <c r="Z269" i="21"/>
  <c r="Z270" i="21"/>
  <c r="Z271" i="21"/>
  <c r="Z272" i="21"/>
  <c r="Z273" i="21"/>
  <c r="Z274" i="21"/>
  <c r="Z275" i="21"/>
  <c r="Z276" i="21"/>
  <c r="Z277" i="21"/>
  <c r="Z278" i="21"/>
  <c r="Z279" i="21"/>
  <c r="Z280" i="21"/>
  <c r="Z281" i="21"/>
  <c r="Z282" i="21"/>
  <c r="Z283" i="21"/>
  <c r="Z284" i="21"/>
  <c r="Z285" i="21"/>
  <c r="Z286" i="21"/>
  <c r="Z287" i="21"/>
  <c r="Z288" i="21"/>
  <c r="Z289" i="21"/>
  <c r="Z290" i="21"/>
  <c r="Z291" i="21"/>
  <c r="Z292" i="21"/>
  <c r="Z293" i="21"/>
  <c r="Z294" i="21"/>
  <c r="Z295" i="21"/>
  <c r="Z296" i="21"/>
  <c r="Z297" i="21"/>
  <c r="Z298" i="21"/>
  <c r="Z299" i="21"/>
  <c r="Z300" i="21"/>
  <c r="Z301" i="21"/>
  <c r="Z302" i="21"/>
  <c r="Z303" i="21"/>
  <c r="Z304" i="21"/>
  <c r="Z305" i="21"/>
  <c r="Z306" i="21"/>
  <c r="Z307" i="21"/>
  <c r="Z308" i="21"/>
  <c r="Z309" i="21"/>
  <c r="Z310" i="21"/>
  <c r="Z311" i="21"/>
  <c r="Z312" i="21"/>
  <c r="Z313" i="21"/>
  <c r="Z314" i="21"/>
  <c r="Z315" i="21"/>
  <c r="Z316" i="21"/>
  <c r="Z317" i="21"/>
  <c r="Z318" i="21"/>
  <c r="Z319" i="21"/>
  <c r="Z320" i="21"/>
  <c r="Z321" i="21"/>
  <c r="Z322" i="21"/>
  <c r="Z323" i="21"/>
  <c r="Z324" i="21"/>
  <c r="Z325" i="21"/>
  <c r="Z326" i="21"/>
  <c r="Z327" i="21"/>
  <c r="Z328" i="21"/>
  <c r="Z329" i="21"/>
  <c r="Z330" i="21"/>
  <c r="Z331" i="21"/>
  <c r="Z332" i="21"/>
  <c r="Z333" i="21"/>
  <c r="Z334" i="21"/>
  <c r="Z335" i="21"/>
  <c r="Z336" i="21"/>
  <c r="Z3" i="21"/>
  <c r="Y3" i="21"/>
  <c r="Y4" i="21"/>
  <c r="Y5" i="21"/>
  <c r="Y6" i="21"/>
  <c r="Y7" i="21"/>
  <c r="Y8" i="21"/>
  <c r="Y9" i="21"/>
  <c r="Y10" i="21"/>
  <c r="Y11" i="21"/>
  <c r="Y12" i="21"/>
  <c r="Y13" i="21"/>
  <c r="Y14" i="21"/>
  <c r="Y15" i="21"/>
  <c r="Y16" i="21"/>
  <c r="Y17" i="21"/>
  <c r="Y18" i="21"/>
  <c r="Y19" i="21"/>
  <c r="Y20" i="21"/>
  <c r="Y21" i="21"/>
  <c r="Y22" i="21"/>
  <c r="Y23" i="21"/>
  <c r="Y24" i="21"/>
  <c r="Y25" i="21"/>
  <c r="Y26" i="21"/>
  <c r="Y27" i="21"/>
  <c r="Y28" i="21"/>
  <c r="Y29" i="21"/>
  <c r="Y30" i="21"/>
  <c r="Y31" i="21"/>
  <c r="Y32" i="21"/>
  <c r="Y33" i="21"/>
  <c r="Y34" i="21"/>
  <c r="Y35" i="21"/>
  <c r="Y36" i="21"/>
  <c r="Y37" i="21"/>
  <c r="Y38" i="21"/>
  <c r="Y39" i="21"/>
  <c r="Y40" i="21"/>
  <c r="Y41" i="21"/>
  <c r="Y42" i="21"/>
  <c r="Y43" i="21"/>
  <c r="Y44" i="21"/>
  <c r="Y45" i="21"/>
  <c r="Y46" i="21"/>
  <c r="Y47" i="21"/>
  <c r="Y48" i="21"/>
  <c r="Y49" i="21"/>
  <c r="Y50" i="21"/>
  <c r="Y51" i="21"/>
  <c r="Y52" i="21"/>
  <c r="Y53" i="21"/>
  <c r="Y54" i="21"/>
  <c r="Y55" i="21"/>
  <c r="Y56" i="21"/>
  <c r="Y57" i="21"/>
  <c r="Y58" i="21"/>
  <c r="Y59" i="21"/>
  <c r="Y60" i="21"/>
  <c r="Y61" i="21"/>
  <c r="Y62" i="21"/>
  <c r="Y63" i="21"/>
  <c r="Y64" i="21"/>
  <c r="Y65" i="21"/>
  <c r="Y66" i="21"/>
  <c r="Y67" i="21"/>
  <c r="Y68" i="21"/>
  <c r="Y69" i="21"/>
  <c r="Y70" i="21"/>
  <c r="Y71" i="21"/>
  <c r="Y72" i="21"/>
  <c r="Y73" i="21"/>
  <c r="Y74" i="21"/>
  <c r="Y75" i="21"/>
  <c r="Y76" i="21"/>
  <c r="Y77" i="21"/>
  <c r="Y78" i="21"/>
  <c r="Y79" i="21"/>
  <c r="Y80" i="21"/>
  <c r="Y81" i="21"/>
  <c r="Y82" i="21"/>
  <c r="Y83" i="21"/>
  <c r="Y84" i="21"/>
  <c r="Y85" i="21"/>
  <c r="Y86" i="21"/>
  <c r="Y87" i="21"/>
  <c r="Y88" i="21"/>
  <c r="Y89" i="21"/>
  <c r="Y90" i="21"/>
  <c r="Y91" i="21"/>
  <c r="Y92" i="21"/>
  <c r="Y93" i="21"/>
  <c r="Y94" i="21"/>
  <c r="Y95" i="21"/>
  <c r="Y96" i="21"/>
  <c r="Y97" i="21"/>
  <c r="Y98" i="21"/>
  <c r="Y99" i="21"/>
  <c r="Y100" i="21"/>
  <c r="Y101" i="21"/>
  <c r="Y102" i="21"/>
  <c r="Y103" i="21"/>
  <c r="Y104" i="21"/>
  <c r="Y105" i="21"/>
  <c r="Y106" i="21"/>
  <c r="Y107" i="21"/>
  <c r="Y108" i="21"/>
  <c r="Y109" i="21"/>
  <c r="Y110" i="21"/>
  <c r="Y111" i="21"/>
  <c r="Y112" i="21"/>
  <c r="Y113" i="21"/>
  <c r="Y114" i="21"/>
  <c r="Y115" i="21"/>
  <c r="Y116" i="21"/>
  <c r="Y117" i="21"/>
  <c r="Y118" i="21"/>
  <c r="Y119" i="21"/>
  <c r="Y120" i="21"/>
  <c r="Y121" i="21"/>
  <c r="Y122" i="21"/>
  <c r="Y123" i="21"/>
  <c r="Y124" i="21"/>
  <c r="Y125" i="21"/>
  <c r="Y126" i="21"/>
  <c r="Y127" i="21"/>
  <c r="Y128" i="21"/>
  <c r="Y129" i="21"/>
  <c r="Y130" i="21"/>
  <c r="Y131" i="21"/>
  <c r="Y132" i="21"/>
  <c r="Y133" i="21"/>
  <c r="Y134" i="21"/>
  <c r="Y135" i="21"/>
  <c r="Y136" i="21"/>
  <c r="Y137" i="21"/>
  <c r="Y138" i="21"/>
  <c r="Y139" i="21"/>
  <c r="Y140" i="21"/>
  <c r="Y141" i="21"/>
  <c r="Y142" i="21"/>
  <c r="Y143" i="21"/>
  <c r="Y144" i="21"/>
  <c r="Y145" i="21"/>
  <c r="Y146" i="21"/>
  <c r="Y147" i="21"/>
  <c r="Y148" i="21"/>
  <c r="Y149" i="21"/>
  <c r="Y150" i="21"/>
  <c r="Y151" i="21"/>
  <c r="Y152" i="21"/>
  <c r="Y153" i="21"/>
  <c r="Y154" i="21"/>
  <c r="Y155" i="21"/>
  <c r="Y156" i="21"/>
  <c r="Y157" i="21"/>
  <c r="Y158" i="21"/>
  <c r="Y159" i="21"/>
  <c r="Y160" i="21"/>
  <c r="Y161" i="21"/>
  <c r="Y162" i="21"/>
  <c r="Y163" i="21"/>
  <c r="Y164" i="21"/>
  <c r="Y165" i="21"/>
  <c r="Y166" i="21"/>
  <c r="Y167" i="21"/>
  <c r="Y168" i="21"/>
  <c r="Y169" i="21"/>
  <c r="Y170" i="21"/>
  <c r="Y171" i="21"/>
  <c r="Y172" i="21"/>
  <c r="Y173" i="21"/>
  <c r="Y174" i="21"/>
  <c r="Y175" i="21"/>
  <c r="Y176" i="21"/>
  <c r="Y177" i="21"/>
  <c r="Y178" i="21"/>
  <c r="Y179" i="21"/>
  <c r="Y180" i="21"/>
  <c r="Y181" i="21"/>
  <c r="Y182" i="21"/>
  <c r="Y183" i="21"/>
  <c r="Y184" i="21"/>
  <c r="Y185" i="21"/>
  <c r="Y186" i="21"/>
  <c r="Y187" i="21"/>
  <c r="Y188" i="21"/>
  <c r="Y189" i="21"/>
  <c r="Y190" i="21"/>
  <c r="Y191" i="21"/>
  <c r="Y192" i="21"/>
  <c r="Y193" i="21"/>
  <c r="Y194" i="21"/>
  <c r="Y195" i="21"/>
  <c r="Y196" i="21"/>
  <c r="Y197" i="21"/>
  <c r="Y198" i="21"/>
  <c r="Y199" i="21"/>
  <c r="Y200" i="21"/>
  <c r="Y201" i="21"/>
  <c r="Y202" i="21"/>
  <c r="Y203" i="21"/>
  <c r="Y204" i="21"/>
  <c r="Y205" i="21"/>
  <c r="Y206" i="21"/>
  <c r="Y207" i="21"/>
  <c r="Y208" i="21"/>
  <c r="Y209" i="21"/>
  <c r="Y210" i="21"/>
  <c r="Y211" i="21"/>
  <c r="Y212" i="21"/>
  <c r="Y213" i="21"/>
  <c r="Y214" i="21"/>
  <c r="Y215" i="21"/>
  <c r="Y216" i="21"/>
  <c r="Y217" i="21"/>
  <c r="Y218" i="21"/>
  <c r="Y219" i="21"/>
  <c r="Y220" i="21"/>
  <c r="Y221" i="21"/>
  <c r="Y222" i="21"/>
  <c r="Y223" i="21"/>
  <c r="Y224" i="21"/>
  <c r="Y225" i="21"/>
  <c r="Y226" i="21"/>
  <c r="Y227" i="21"/>
  <c r="Y228" i="21"/>
  <c r="Y229" i="21"/>
  <c r="Y230" i="21"/>
  <c r="Y231" i="21"/>
  <c r="Y232" i="21"/>
  <c r="Y233" i="21"/>
  <c r="Y234" i="21"/>
  <c r="Y235" i="21"/>
  <c r="Y236" i="21"/>
  <c r="Y237" i="21"/>
  <c r="Y238" i="21"/>
  <c r="Y239" i="21"/>
  <c r="Y240" i="21"/>
  <c r="Y241" i="21"/>
  <c r="Y242" i="21"/>
  <c r="Y243" i="21"/>
  <c r="Y244" i="21"/>
  <c r="Y245" i="21"/>
  <c r="Y246" i="21"/>
  <c r="Y247" i="21"/>
  <c r="Y248" i="21"/>
  <c r="Y249" i="21"/>
  <c r="Y250" i="21"/>
  <c r="Y251" i="21"/>
  <c r="Y252" i="21"/>
  <c r="Y253" i="21"/>
  <c r="Y254" i="21"/>
  <c r="Y255" i="21"/>
  <c r="Y256" i="21"/>
  <c r="Y257" i="21"/>
  <c r="Y258" i="21"/>
  <c r="Y259" i="21"/>
  <c r="Y260" i="21"/>
  <c r="Y261" i="21"/>
  <c r="Y262" i="21"/>
  <c r="Y263" i="21"/>
  <c r="Y264" i="21"/>
  <c r="Y265" i="21"/>
  <c r="Y266" i="21"/>
  <c r="Y267" i="21"/>
  <c r="Y268" i="21"/>
  <c r="Y269" i="21"/>
  <c r="Y270" i="21"/>
  <c r="Y271" i="21"/>
  <c r="Y272" i="21"/>
  <c r="Y273" i="21"/>
  <c r="Y274" i="21"/>
  <c r="Y275" i="21"/>
  <c r="Y276" i="21"/>
  <c r="Y277" i="21"/>
  <c r="Y278" i="21"/>
  <c r="Y279" i="21"/>
  <c r="Y280" i="21"/>
  <c r="Y281" i="21"/>
  <c r="Y282" i="21"/>
  <c r="Y283" i="21"/>
  <c r="Y284" i="21"/>
  <c r="Y285" i="21"/>
  <c r="Y286" i="21"/>
  <c r="Y287" i="21"/>
  <c r="Y288" i="21"/>
  <c r="Y289" i="21"/>
  <c r="Y290" i="21"/>
  <c r="Y291" i="21"/>
  <c r="Y292" i="21"/>
  <c r="Y293" i="21"/>
  <c r="Y294" i="21"/>
  <c r="Y295" i="21"/>
  <c r="Y296" i="21"/>
  <c r="Y297" i="21"/>
  <c r="Y298" i="21"/>
  <c r="Y299" i="21"/>
  <c r="Y300" i="21"/>
  <c r="Y301" i="21"/>
  <c r="Y302" i="21"/>
  <c r="Y303" i="21"/>
  <c r="Y304" i="21"/>
  <c r="Y305" i="21"/>
  <c r="Y306" i="21"/>
  <c r="Y307" i="21"/>
  <c r="Y308" i="21"/>
  <c r="Y309" i="21"/>
  <c r="Y310" i="21"/>
  <c r="Y311" i="21"/>
  <c r="Y312" i="21"/>
  <c r="Y313" i="21"/>
  <c r="Y314" i="21"/>
  <c r="Y315" i="21"/>
  <c r="Y316" i="21"/>
  <c r="Y317" i="21"/>
  <c r="Y318" i="21"/>
  <c r="Y319" i="21"/>
  <c r="Y320" i="21"/>
  <c r="Y321" i="21"/>
  <c r="Y322" i="21"/>
  <c r="Y323" i="21"/>
  <c r="Y324" i="21"/>
  <c r="Y325" i="21"/>
  <c r="Y326" i="21"/>
  <c r="Y327" i="21"/>
  <c r="Y328" i="21"/>
  <c r="Y329" i="21"/>
  <c r="Y330" i="21"/>
  <c r="Y331" i="21"/>
  <c r="Y332" i="21"/>
  <c r="Y333" i="21"/>
  <c r="Y334" i="21"/>
  <c r="Y335" i="21"/>
  <c r="Y336" i="21"/>
  <c r="Y2" i="21"/>
  <c r="X311" i="21"/>
  <c r="X312" i="21"/>
  <c r="X313" i="21"/>
  <c r="X314" i="21"/>
  <c r="X315" i="21"/>
  <c r="X316" i="21"/>
  <c r="X317" i="21"/>
  <c r="X318" i="21"/>
  <c r="X319" i="21"/>
  <c r="X320" i="21"/>
  <c r="X321" i="21"/>
  <c r="X322" i="21"/>
  <c r="X323" i="21"/>
  <c r="X324" i="21"/>
  <c r="X325" i="21"/>
  <c r="X326" i="21"/>
  <c r="X327" i="21"/>
  <c r="X328" i="21"/>
  <c r="X329" i="21"/>
  <c r="X330" i="21"/>
  <c r="X331" i="21"/>
  <c r="X332" i="21"/>
  <c r="X333" i="21"/>
  <c r="X334" i="21"/>
  <c r="X335" i="21"/>
  <c r="X336" i="21"/>
  <c r="X188" i="21"/>
  <c r="X189" i="21"/>
  <c r="X190" i="21"/>
  <c r="X191" i="21"/>
  <c r="X192" i="21"/>
  <c r="X193" i="21"/>
  <c r="X194" i="21"/>
  <c r="X195" i="21"/>
  <c r="X196" i="21"/>
  <c r="X197" i="21"/>
  <c r="X198" i="21"/>
  <c r="X199" i="21"/>
  <c r="X200" i="21"/>
  <c r="X201" i="21"/>
  <c r="X202" i="21"/>
  <c r="X203" i="21"/>
  <c r="X204" i="21"/>
  <c r="X205" i="21"/>
  <c r="X206" i="21"/>
  <c r="X207" i="21"/>
  <c r="X208" i="21"/>
  <c r="X209" i="21"/>
  <c r="X210" i="21"/>
  <c r="X211" i="21"/>
  <c r="X212" i="21"/>
  <c r="X213" i="21"/>
  <c r="X214" i="21"/>
  <c r="X215" i="21"/>
  <c r="X216" i="21"/>
  <c r="X217" i="21"/>
  <c r="X218" i="21"/>
  <c r="X219" i="21"/>
  <c r="X220" i="21"/>
  <c r="X221" i="21"/>
  <c r="X222" i="21"/>
  <c r="X223" i="21"/>
  <c r="X224" i="21"/>
  <c r="X225" i="21"/>
  <c r="X226" i="21"/>
  <c r="X227" i="21"/>
  <c r="X228" i="21"/>
  <c r="X229" i="21"/>
  <c r="X230" i="21"/>
  <c r="X231" i="21"/>
  <c r="X232" i="21"/>
  <c r="X233" i="21"/>
  <c r="X234" i="21"/>
  <c r="X235" i="21"/>
  <c r="X236" i="21"/>
  <c r="X237" i="21"/>
  <c r="X238" i="21"/>
  <c r="X239" i="21"/>
  <c r="X240" i="21"/>
  <c r="X241" i="21"/>
  <c r="X242" i="21"/>
  <c r="X243" i="21"/>
  <c r="X244" i="21"/>
  <c r="X245" i="21"/>
  <c r="X246" i="21"/>
  <c r="X247" i="21"/>
  <c r="X248" i="21"/>
  <c r="X249" i="21"/>
  <c r="X250" i="21"/>
  <c r="X251" i="21"/>
  <c r="X252" i="21"/>
  <c r="X253" i="21"/>
  <c r="X254" i="21"/>
  <c r="X255" i="21"/>
  <c r="X256" i="21"/>
  <c r="X257" i="21"/>
  <c r="X258" i="21"/>
  <c r="X259" i="21"/>
  <c r="X260" i="21"/>
  <c r="X261" i="21"/>
  <c r="X262" i="21"/>
  <c r="X263" i="21"/>
  <c r="X264" i="21"/>
  <c r="X265" i="21"/>
  <c r="X266" i="21"/>
  <c r="X267" i="21"/>
  <c r="X268" i="21"/>
  <c r="X269" i="21"/>
  <c r="X270" i="21"/>
  <c r="X271" i="21"/>
  <c r="X272" i="21"/>
  <c r="X273" i="21"/>
  <c r="X274" i="21"/>
  <c r="X275" i="21"/>
  <c r="X276" i="21"/>
  <c r="X277" i="21"/>
  <c r="X278" i="21"/>
  <c r="X279" i="21"/>
  <c r="X280" i="21"/>
  <c r="X281" i="21"/>
  <c r="X282" i="21"/>
  <c r="X283" i="21"/>
  <c r="X284" i="21"/>
  <c r="X285" i="21"/>
  <c r="X286" i="21"/>
  <c r="X287" i="21"/>
  <c r="X288" i="21"/>
  <c r="X289" i="21"/>
  <c r="X290" i="21"/>
  <c r="X291" i="21"/>
  <c r="X292" i="21"/>
  <c r="X293" i="21"/>
  <c r="X294" i="21"/>
  <c r="X295" i="21"/>
  <c r="X296" i="21"/>
  <c r="X297" i="21"/>
  <c r="X298" i="21"/>
  <c r="X299" i="21"/>
  <c r="X300" i="21"/>
  <c r="X301" i="21"/>
  <c r="X302" i="21"/>
  <c r="X303" i="21"/>
  <c r="X304" i="21"/>
  <c r="X305" i="21"/>
  <c r="X306" i="21"/>
  <c r="X307" i="21"/>
  <c r="X308" i="21"/>
  <c r="X309" i="21"/>
  <c r="X310" i="21"/>
  <c r="X187" i="21"/>
  <c r="X186" i="21"/>
  <c r="X185" i="21"/>
  <c r="X184" i="21"/>
  <c r="X183" i="21"/>
  <c r="X182" i="21"/>
  <c r="X181" i="21"/>
  <c r="X180" i="21"/>
  <c r="X179" i="21"/>
  <c r="X178" i="21"/>
  <c r="X177" i="21"/>
  <c r="X176" i="21"/>
  <c r="X175" i="21"/>
  <c r="X174" i="21"/>
  <c r="X173" i="21"/>
  <c r="X172" i="21"/>
  <c r="X171" i="21"/>
  <c r="X170" i="21"/>
  <c r="X169" i="21"/>
  <c r="X168" i="21"/>
  <c r="X167" i="21"/>
  <c r="X166" i="21"/>
  <c r="X165" i="21"/>
  <c r="X164" i="21"/>
  <c r="X163" i="21"/>
  <c r="X162" i="21"/>
  <c r="X161" i="21"/>
  <c r="X160" i="21"/>
  <c r="X159" i="21"/>
  <c r="X158" i="21"/>
  <c r="X157" i="21"/>
  <c r="X156" i="21"/>
  <c r="X155" i="21"/>
  <c r="X154" i="21"/>
  <c r="X153" i="21"/>
  <c r="X152" i="21"/>
  <c r="X151" i="21"/>
  <c r="X150" i="21"/>
  <c r="X149" i="21"/>
  <c r="X148" i="21"/>
  <c r="X147" i="21"/>
  <c r="X146" i="21"/>
  <c r="X145" i="21"/>
  <c r="X144" i="21"/>
  <c r="X143" i="21"/>
  <c r="X142" i="21"/>
  <c r="X141" i="21"/>
  <c r="X140" i="21"/>
  <c r="X139" i="21"/>
  <c r="X138" i="21"/>
  <c r="X137" i="21"/>
  <c r="X136" i="21"/>
  <c r="X135" i="21"/>
  <c r="X134" i="21"/>
  <c r="X133" i="21"/>
  <c r="X132" i="21"/>
  <c r="X131" i="21"/>
  <c r="X130" i="21"/>
  <c r="X129" i="21"/>
  <c r="X128" i="21"/>
  <c r="X127" i="21"/>
  <c r="X126" i="21"/>
  <c r="X125" i="21"/>
  <c r="X124" i="21"/>
  <c r="X123" i="21"/>
  <c r="X122" i="21"/>
  <c r="X121" i="21"/>
  <c r="X120" i="21"/>
  <c r="X119" i="21"/>
  <c r="X118" i="21"/>
  <c r="X117" i="21"/>
  <c r="X116" i="21"/>
  <c r="X115" i="21"/>
  <c r="X114" i="21"/>
  <c r="X113" i="21"/>
  <c r="X112" i="21"/>
  <c r="X111" i="21"/>
  <c r="X110" i="21"/>
  <c r="X109" i="21"/>
  <c r="X108" i="21"/>
  <c r="X107" i="21"/>
  <c r="X106" i="21"/>
  <c r="X105" i="21"/>
  <c r="X104" i="21"/>
  <c r="X103" i="21"/>
  <c r="X102" i="21"/>
  <c r="X101" i="21"/>
  <c r="X100" i="21"/>
  <c r="X99" i="21"/>
  <c r="X98" i="21"/>
  <c r="X97" i="21"/>
  <c r="X96" i="21"/>
  <c r="X95" i="21"/>
  <c r="X94" i="21"/>
  <c r="X93" i="21"/>
  <c r="X92" i="21"/>
  <c r="X91" i="21"/>
  <c r="X90" i="21"/>
  <c r="X89" i="21"/>
  <c r="X88" i="21"/>
  <c r="X87" i="21"/>
  <c r="X86" i="21"/>
  <c r="X85" i="21"/>
  <c r="X84" i="21"/>
  <c r="X83" i="21"/>
  <c r="X82" i="21"/>
  <c r="X81" i="21"/>
  <c r="X80" i="21"/>
  <c r="X79" i="21"/>
  <c r="X78" i="21"/>
  <c r="X77" i="21"/>
  <c r="X76" i="21"/>
  <c r="X75" i="21"/>
  <c r="X74" i="21"/>
  <c r="X73" i="21"/>
  <c r="X72" i="21"/>
  <c r="X71" i="21"/>
  <c r="X70" i="21"/>
  <c r="X69" i="21"/>
  <c r="X68" i="21"/>
  <c r="X67" i="21"/>
  <c r="X66" i="21"/>
  <c r="X65" i="21"/>
  <c r="X64" i="21"/>
  <c r="X63" i="21"/>
  <c r="X62" i="21"/>
  <c r="X61" i="21"/>
  <c r="X60" i="21"/>
  <c r="X59" i="21"/>
  <c r="X58" i="21"/>
  <c r="X57" i="21"/>
  <c r="X56" i="21"/>
  <c r="X55" i="21"/>
  <c r="X54" i="21"/>
  <c r="X53" i="21"/>
  <c r="X52" i="21"/>
  <c r="X51" i="21"/>
  <c r="X50" i="21"/>
  <c r="X49" i="21"/>
  <c r="X48" i="21"/>
  <c r="X47" i="21"/>
  <c r="X46" i="21"/>
  <c r="X45" i="21"/>
  <c r="X44" i="21"/>
  <c r="X43" i="21"/>
  <c r="X42" i="21"/>
  <c r="X41" i="21"/>
  <c r="X40" i="21"/>
  <c r="X39" i="21"/>
  <c r="X38" i="21"/>
  <c r="X37" i="21"/>
  <c r="X36" i="21"/>
  <c r="X35" i="21"/>
  <c r="X34" i="21"/>
  <c r="X33" i="21"/>
  <c r="X32" i="21"/>
  <c r="X31" i="21"/>
  <c r="X30" i="21"/>
  <c r="X29" i="21"/>
  <c r="X28" i="21"/>
  <c r="X27" i="21"/>
  <c r="X26" i="21"/>
  <c r="X25" i="21"/>
  <c r="X24" i="21"/>
  <c r="X23" i="21"/>
  <c r="X22" i="21"/>
  <c r="X21" i="21"/>
  <c r="X20" i="21"/>
  <c r="X19" i="21"/>
  <c r="X18" i="21"/>
  <c r="X17" i="21"/>
  <c r="X16" i="21"/>
  <c r="X15" i="21"/>
  <c r="X14" i="21"/>
  <c r="X13" i="21"/>
  <c r="X12" i="21"/>
  <c r="X11" i="21"/>
  <c r="X10" i="21"/>
  <c r="X9" i="21"/>
  <c r="X8" i="21"/>
  <c r="X7" i="21"/>
  <c r="X6" i="21"/>
  <c r="X5" i="21"/>
  <c r="X4" i="21"/>
  <c r="X3" i="21"/>
  <c r="X2" i="21"/>
  <c r="C10" i="21"/>
  <c r="C9" i="21"/>
  <c r="G6" i="21" s="1"/>
  <c r="C8" i="21"/>
  <c r="C7" i="21"/>
  <c r="C6" i="21"/>
  <c r="G5" i="21" s="1"/>
  <c r="C5" i="21"/>
  <c r="C4" i="21"/>
  <c r="C3" i="21"/>
  <c r="B10" i="21"/>
  <c r="B9" i="21"/>
  <c r="F6" i="21" s="1"/>
  <c r="B8" i="21"/>
  <c r="B7" i="21"/>
  <c r="B6" i="21"/>
  <c r="F5" i="21" s="1"/>
  <c r="B5" i="21"/>
  <c r="B4" i="21"/>
  <c r="B3" i="21"/>
  <c r="C2" i="21"/>
  <c r="B2" i="21"/>
  <c r="F3" i="21" s="1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AI4" i="4"/>
  <c r="AF89" i="4"/>
  <c r="AK89" i="4" s="1"/>
  <c r="AE89" i="4"/>
  <c r="AF88" i="4"/>
  <c r="AK88" i="4" s="1"/>
  <c r="AE88" i="4"/>
  <c r="AF87" i="4"/>
  <c r="AK87" i="4" s="1"/>
  <c r="AE87" i="4"/>
  <c r="AF86" i="4"/>
  <c r="AK86" i="4" s="1"/>
  <c r="AE86" i="4"/>
  <c r="AF85" i="4"/>
  <c r="AK85" i="4" s="1"/>
  <c r="AE85" i="4"/>
  <c r="AF84" i="4"/>
  <c r="AK84" i="4" s="1"/>
  <c r="AE84" i="4"/>
  <c r="AF83" i="4"/>
  <c r="AK83" i="4" s="1"/>
  <c r="AE83" i="4"/>
  <c r="AF82" i="4"/>
  <c r="AK82" i="4" s="1"/>
  <c r="AE82" i="4"/>
  <c r="AF81" i="4"/>
  <c r="AK81" i="4" s="1"/>
  <c r="AE81" i="4"/>
  <c r="AF80" i="4"/>
  <c r="AK80" i="4" s="1"/>
  <c r="AE80" i="4"/>
  <c r="AF79" i="4"/>
  <c r="AK79" i="4" s="1"/>
  <c r="AE79" i="4"/>
  <c r="AF78" i="4"/>
  <c r="AK78" i="4" s="1"/>
  <c r="AE78" i="4"/>
  <c r="AF77" i="4"/>
  <c r="AK77" i="4" s="1"/>
  <c r="AE77" i="4"/>
  <c r="AF76" i="4"/>
  <c r="AK76" i="4" s="1"/>
  <c r="AE76" i="4"/>
  <c r="AF75" i="4"/>
  <c r="AK75" i="4" s="1"/>
  <c r="AE75" i="4"/>
  <c r="AF74" i="4"/>
  <c r="AK74" i="4" s="1"/>
  <c r="AE74" i="4"/>
  <c r="AF73" i="4"/>
  <c r="AK73" i="4" s="1"/>
  <c r="AE73" i="4"/>
  <c r="AF72" i="4"/>
  <c r="AK72" i="4" s="1"/>
  <c r="AE72" i="4"/>
  <c r="AF71" i="4"/>
  <c r="AK71" i="4" s="1"/>
  <c r="AE71" i="4"/>
  <c r="AF70" i="4"/>
  <c r="AK70" i="4" s="1"/>
  <c r="AE70" i="4"/>
  <c r="AF69" i="4"/>
  <c r="AK69" i="4" s="1"/>
  <c r="AE69" i="4"/>
  <c r="AF68" i="4"/>
  <c r="AK68" i="4" s="1"/>
  <c r="AE68" i="4"/>
  <c r="AF67" i="4"/>
  <c r="AK67" i="4" s="1"/>
  <c r="AE67" i="4"/>
  <c r="AF66" i="4"/>
  <c r="AK66" i="4" s="1"/>
  <c r="AE66" i="4"/>
  <c r="AF65" i="4"/>
  <c r="AK65" i="4" s="1"/>
  <c r="AE65" i="4"/>
  <c r="AF64" i="4"/>
  <c r="AK64" i="4" s="1"/>
  <c r="AE64" i="4"/>
  <c r="AF63" i="4"/>
  <c r="AK63" i="4" s="1"/>
  <c r="AE63" i="4"/>
  <c r="AF62" i="4"/>
  <c r="AK62" i="4" s="1"/>
  <c r="AE62" i="4"/>
  <c r="AF61" i="4"/>
  <c r="AK61" i="4" s="1"/>
  <c r="AE61" i="4"/>
  <c r="AF60" i="4"/>
  <c r="AK60" i="4" s="1"/>
  <c r="AE60" i="4"/>
  <c r="AF59" i="4"/>
  <c r="AK59" i="4" s="1"/>
  <c r="AE59" i="4"/>
  <c r="AF58" i="4"/>
  <c r="AK58" i="4" s="1"/>
  <c r="AE58" i="4"/>
  <c r="AF57" i="4"/>
  <c r="AK57" i="4" s="1"/>
  <c r="AE57" i="4"/>
  <c r="AF56" i="4"/>
  <c r="AK56" i="4" s="1"/>
  <c r="AE56" i="4"/>
  <c r="AF55" i="4"/>
  <c r="AK55" i="4" s="1"/>
  <c r="AE55" i="4"/>
  <c r="AF54" i="4"/>
  <c r="AK54" i="4" s="1"/>
  <c r="AE54" i="4"/>
  <c r="AF53" i="4"/>
  <c r="AK53" i="4" s="1"/>
  <c r="AE53" i="4"/>
  <c r="AF52" i="4"/>
  <c r="AK52" i="4" s="1"/>
  <c r="AE52" i="4"/>
  <c r="AF51" i="4"/>
  <c r="AK51" i="4" s="1"/>
  <c r="AE51" i="4"/>
  <c r="AF50" i="4"/>
  <c r="AK50" i="4" s="1"/>
  <c r="AE50" i="4"/>
  <c r="AF49" i="4"/>
  <c r="AK49" i="4" s="1"/>
  <c r="AE49" i="4"/>
  <c r="AF48" i="4"/>
  <c r="AK48" i="4" s="1"/>
  <c r="AE48" i="4"/>
  <c r="AF47" i="4"/>
  <c r="AK47" i="4" s="1"/>
  <c r="AE47" i="4"/>
  <c r="AF46" i="4"/>
  <c r="AK46" i="4" s="1"/>
  <c r="AE46" i="4"/>
  <c r="AF45" i="4"/>
  <c r="AK45" i="4" s="1"/>
  <c r="AE45" i="4"/>
  <c r="AF44" i="4"/>
  <c r="AK44" i="4" s="1"/>
  <c r="AE44" i="4"/>
  <c r="AF43" i="4"/>
  <c r="AK43" i="4" s="1"/>
  <c r="AE43" i="4"/>
  <c r="AF42" i="4"/>
  <c r="AK42" i="4" s="1"/>
  <c r="AE42" i="4"/>
  <c r="AF41" i="4"/>
  <c r="AK41" i="4" s="1"/>
  <c r="AE41" i="4"/>
  <c r="AF40" i="4"/>
  <c r="AK40" i="4" s="1"/>
  <c r="AE40" i="4"/>
  <c r="AF39" i="4"/>
  <c r="AK39" i="4" s="1"/>
  <c r="AE39" i="4"/>
  <c r="AF38" i="4"/>
  <c r="AK38" i="4" s="1"/>
  <c r="AE38" i="4"/>
  <c r="AF37" i="4"/>
  <c r="AK37" i="4" s="1"/>
  <c r="AE37" i="4"/>
  <c r="AF36" i="4"/>
  <c r="AK36" i="4" s="1"/>
  <c r="AE36" i="4"/>
  <c r="AF35" i="4"/>
  <c r="AK35" i="4" s="1"/>
  <c r="AE35" i="4"/>
  <c r="AF34" i="4"/>
  <c r="AK34" i="4" s="1"/>
  <c r="AE34" i="4"/>
  <c r="AF33" i="4"/>
  <c r="AK33" i="4" s="1"/>
  <c r="AE33" i="4"/>
  <c r="AF32" i="4"/>
  <c r="AK32" i="4" s="1"/>
  <c r="AE32" i="4"/>
  <c r="AF31" i="4"/>
  <c r="AK31" i="4" s="1"/>
  <c r="AE31" i="4"/>
  <c r="AF30" i="4"/>
  <c r="AK30" i="4" s="1"/>
  <c r="AE30" i="4"/>
  <c r="AF29" i="4"/>
  <c r="AK29" i="4" s="1"/>
  <c r="AE29" i="4"/>
  <c r="AF28" i="4"/>
  <c r="AK28" i="4" s="1"/>
  <c r="AE28" i="4"/>
  <c r="AF27" i="4"/>
  <c r="AK27" i="4" s="1"/>
  <c r="AE27" i="4"/>
  <c r="AF26" i="4"/>
  <c r="AK26" i="4" s="1"/>
  <c r="AE26" i="4"/>
  <c r="AF25" i="4"/>
  <c r="AK25" i="4" s="1"/>
  <c r="AE25" i="4"/>
  <c r="AF24" i="4"/>
  <c r="AK24" i="4" s="1"/>
  <c r="AE24" i="4"/>
  <c r="AF23" i="4"/>
  <c r="AK23" i="4" s="1"/>
  <c r="AE23" i="4"/>
  <c r="AF22" i="4"/>
  <c r="AK22" i="4" s="1"/>
  <c r="AE22" i="4"/>
  <c r="AF21" i="4"/>
  <c r="AK21" i="4" s="1"/>
  <c r="AE21" i="4"/>
  <c r="AF20" i="4"/>
  <c r="AK20" i="4" s="1"/>
  <c r="AE20" i="4"/>
  <c r="AF19" i="4"/>
  <c r="AK19" i="4" s="1"/>
  <c r="AE19" i="4"/>
  <c r="AF18" i="4"/>
  <c r="AK18" i="4" s="1"/>
  <c r="AE18" i="4"/>
  <c r="AF17" i="4"/>
  <c r="AK17" i="4" s="1"/>
  <c r="AE17" i="4"/>
  <c r="AF16" i="4"/>
  <c r="AK16" i="4" s="1"/>
  <c r="AE16" i="4"/>
  <c r="AF15" i="4"/>
  <c r="AK15" i="4" s="1"/>
  <c r="AE15" i="4"/>
  <c r="AF14" i="4"/>
  <c r="AK14" i="4" s="1"/>
  <c r="AE14" i="4"/>
  <c r="AF13" i="4"/>
  <c r="AK13" i="4" s="1"/>
  <c r="AE13" i="4"/>
  <c r="AF12" i="4"/>
  <c r="AK12" i="4" s="1"/>
  <c r="AE12" i="4"/>
  <c r="AF11" i="4"/>
  <c r="AK11" i="4" s="1"/>
  <c r="AE11" i="4"/>
  <c r="AF10" i="4"/>
  <c r="AK10" i="4" s="1"/>
  <c r="AE10" i="4"/>
  <c r="AF9" i="4"/>
  <c r="AK9" i="4" s="1"/>
  <c r="AE9" i="4"/>
  <c r="AF8" i="4"/>
  <c r="AK8" i="4" s="1"/>
  <c r="AE8" i="4"/>
  <c r="AF7" i="4"/>
  <c r="AK7" i="4" s="1"/>
  <c r="AD188" i="26" l="1"/>
  <c r="AE203" i="26"/>
  <c r="AE205" i="26"/>
  <c r="AE210" i="26"/>
  <c r="AE207" i="26"/>
  <c r="AE206" i="26"/>
  <c r="AE204" i="26"/>
  <c r="AE201" i="26"/>
  <c r="AE202" i="26"/>
  <c r="AE208" i="26"/>
  <c r="AJ9" i="4"/>
  <c r="AJ21" i="4"/>
  <c r="AL21" i="4" s="1"/>
  <c r="AJ33" i="4"/>
  <c r="AL33" i="4" s="1"/>
  <c r="AJ45" i="4"/>
  <c r="AL45" i="4" s="1"/>
  <c r="AJ57" i="4"/>
  <c r="AL57" i="4" s="1"/>
  <c r="AJ69" i="4"/>
  <c r="AJ81" i="4"/>
  <c r="AJ93" i="4"/>
  <c r="AJ105" i="4"/>
  <c r="AL105" i="4" s="1"/>
  <c r="AJ117" i="4"/>
  <c r="AL117" i="4" s="1"/>
  <c r="AJ129" i="4"/>
  <c r="AL129" i="4" s="1"/>
  <c r="AJ141" i="4"/>
  <c r="AL141" i="4" s="1"/>
  <c r="AJ153" i="4"/>
  <c r="AJ165" i="4"/>
  <c r="AL165" i="4" s="1"/>
  <c r="AJ177" i="4"/>
  <c r="AL177" i="4" s="1"/>
  <c r="AJ189" i="4"/>
  <c r="AL189" i="4" s="1"/>
  <c r="AJ201" i="4"/>
  <c r="AJ116" i="4"/>
  <c r="AJ10" i="4"/>
  <c r="AJ22" i="4"/>
  <c r="AJ34" i="4"/>
  <c r="AL34" i="4" s="1"/>
  <c r="AJ46" i="4"/>
  <c r="AL46" i="4" s="1"/>
  <c r="AJ58" i="4"/>
  <c r="AL58" i="4" s="1"/>
  <c r="AJ70" i="4"/>
  <c r="AL70" i="4" s="1"/>
  <c r="AJ82" i="4"/>
  <c r="AL82" i="4" s="1"/>
  <c r="AJ94" i="4"/>
  <c r="AL94" i="4" s="1"/>
  <c r="AJ106" i="4"/>
  <c r="AL106" i="4" s="1"/>
  <c r="AJ118" i="4"/>
  <c r="AL118" i="4" s="1"/>
  <c r="AJ130" i="4"/>
  <c r="AL130" i="4" s="1"/>
  <c r="AJ142" i="4"/>
  <c r="AL142" i="4" s="1"/>
  <c r="AJ154" i="4"/>
  <c r="AL154" i="4" s="1"/>
  <c r="AJ166" i="4"/>
  <c r="AJ178" i="4"/>
  <c r="AL178" i="4" s="1"/>
  <c r="AJ190" i="4"/>
  <c r="AL190" i="4" s="1"/>
  <c r="AJ202" i="4"/>
  <c r="AL202" i="4" s="1"/>
  <c r="AJ92" i="4"/>
  <c r="AL92" i="4" s="1"/>
  <c r="AJ188" i="4"/>
  <c r="AJ11" i="4"/>
  <c r="AJ23" i="4"/>
  <c r="AL23" i="4" s="1"/>
  <c r="AJ35" i="4"/>
  <c r="AL35" i="4" s="1"/>
  <c r="AJ47" i="4"/>
  <c r="AL47" i="4" s="1"/>
  <c r="AJ59" i="4"/>
  <c r="AJ71" i="4"/>
  <c r="AJ83" i="4"/>
  <c r="AL83" i="4" s="1"/>
  <c r="AJ95" i="4"/>
  <c r="AL95" i="4" s="1"/>
  <c r="AJ107" i="4"/>
  <c r="AL107" i="4" s="1"/>
  <c r="AJ119" i="4"/>
  <c r="AL119" i="4" s="1"/>
  <c r="AJ131" i="4"/>
  <c r="AJ143" i="4"/>
  <c r="AJ155" i="4"/>
  <c r="AL155" i="4" s="1"/>
  <c r="AJ167" i="4"/>
  <c r="AJ179" i="4"/>
  <c r="AL179" i="4" s="1"/>
  <c r="AJ191" i="4"/>
  <c r="AL191" i="4" s="1"/>
  <c r="AJ203" i="4"/>
  <c r="AJ32" i="4"/>
  <c r="AJ164" i="4"/>
  <c r="AL164" i="4" s="1"/>
  <c r="AJ12" i="4"/>
  <c r="AJ24" i="4"/>
  <c r="AL24" i="4" s="1"/>
  <c r="AJ36" i="4"/>
  <c r="AL36" i="4" s="1"/>
  <c r="AJ48" i="4"/>
  <c r="AJ60" i="4"/>
  <c r="AJ72" i="4"/>
  <c r="AL72" i="4" s="1"/>
  <c r="AJ84" i="4"/>
  <c r="AJ96" i="4"/>
  <c r="AL96" i="4" s="1"/>
  <c r="AJ108" i="4"/>
  <c r="AL108" i="4" s="1"/>
  <c r="AJ120" i="4"/>
  <c r="AJ132" i="4"/>
  <c r="AJ144" i="4"/>
  <c r="AL144" i="4" s="1"/>
  <c r="AJ156" i="4"/>
  <c r="AJ168" i="4"/>
  <c r="AL168" i="4" s="1"/>
  <c r="AJ180" i="4"/>
  <c r="AL180" i="4" s="1"/>
  <c r="AJ192" i="4"/>
  <c r="AL192" i="4" s="1"/>
  <c r="AJ204" i="4"/>
  <c r="AL204" i="4" s="1"/>
  <c r="AJ128" i="4"/>
  <c r="AL128" i="4" s="1"/>
  <c r="AJ13" i="4"/>
  <c r="AL13" i="4" s="1"/>
  <c r="AJ25" i="4"/>
  <c r="AJ37" i="4"/>
  <c r="AL37" i="4" s="1"/>
  <c r="AJ49" i="4"/>
  <c r="AJ61" i="4"/>
  <c r="AJ73" i="4"/>
  <c r="AL73" i="4" s="1"/>
  <c r="AJ85" i="4"/>
  <c r="AL85" i="4" s="1"/>
  <c r="AJ97" i="4"/>
  <c r="AL97" i="4" s="1"/>
  <c r="AJ109" i="4"/>
  <c r="AL109" i="4" s="1"/>
  <c r="AJ121" i="4"/>
  <c r="AL121" i="4" s="1"/>
  <c r="AJ133" i="4"/>
  <c r="AL133" i="4" s="1"/>
  <c r="AJ145" i="4"/>
  <c r="AL145" i="4" s="1"/>
  <c r="AJ157" i="4"/>
  <c r="AL157" i="4" s="1"/>
  <c r="AJ169" i="4"/>
  <c r="AL169" i="4" s="1"/>
  <c r="AJ181" i="4"/>
  <c r="AL181" i="4" s="1"/>
  <c r="AJ193" i="4"/>
  <c r="AJ205" i="4"/>
  <c r="AJ80" i="4"/>
  <c r="AL80" i="4" s="1"/>
  <c r="AJ176" i="4"/>
  <c r="AL176" i="4" s="1"/>
  <c r="AJ14" i="4"/>
  <c r="AL14" i="4" s="1"/>
  <c r="AJ26" i="4"/>
  <c r="AL26" i="4" s="1"/>
  <c r="AJ38" i="4"/>
  <c r="AL38" i="4" s="1"/>
  <c r="AJ50" i="4"/>
  <c r="AL50" i="4" s="1"/>
  <c r="AJ62" i="4"/>
  <c r="AL62" i="4" s="1"/>
  <c r="AJ74" i="4"/>
  <c r="AL74" i="4" s="1"/>
  <c r="AJ86" i="4"/>
  <c r="AL86" i="4" s="1"/>
  <c r="AJ98" i="4"/>
  <c r="AL98" i="4" s="1"/>
  <c r="AJ110" i="4"/>
  <c r="AJ122" i="4"/>
  <c r="AJ134" i="4"/>
  <c r="AL134" i="4" s="1"/>
  <c r="AJ146" i="4"/>
  <c r="AL146" i="4" s="1"/>
  <c r="AJ158" i="4"/>
  <c r="AL158" i="4" s="1"/>
  <c r="AJ170" i="4"/>
  <c r="AL170" i="4" s="1"/>
  <c r="AJ182" i="4"/>
  <c r="AL182" i="4" s="1"/>
  <c r="AJ194" i="4"/>
  <c r="AL194" i="4" s="1"/>
  <c r="AJ206" i="4"/>
  <c r="AL206" i="4" s="1"/>
  <c r="AJ15" i="4"/>
  <c r="AL15" i="4" s="1"/>
  <c r="AJ27" i="4"/>
  <c r="AJ39" i="4"/>
  <c r="AL39" i="4" s="1"/>
  <c r="AJ51" i="4"/>
  <c r="AJ63" i="4"/>
  <c r="AJ75" i="4"/>
  <c r="AL75" i="4" s="1"/>
  <c r="AJ87" i="4"/>
  <c r="AL87" i="4" s="1"/>
  <c r="AJ99" i="4"/>
  <c r="AL99" i="4" s="1"/>
  <c r="AJ111" i="4"/>
  <c r="AL111" i="4" s="1"/>
  <c r="AJ123" i="4"/>
  <c r="AL123" i="4" s="1"/>
  <c r="AJ135" i="4"/>
  <c r="AJ147" i="4"/>
  <c r="AL147" i="4" s="1"/>
  <c r="AJ159" i="4"/>
  <c r="AL159" i="4" s="1"/>
  <c r="AJ171" i="4"/>
  <c r="AL171" i="4" s="1"/>
  <c r="AJ183" i="4"/>
  <c r="AL183" i="4" s="1"/>
  <c r="AJ195" i="4"/>
  <c r="AL195" i="4" s="1"/>
  <c r="AJ207" i="4"/>
  <c r="AJ20" i="4"/>
  <c r="AL20" i="4" s="1"/>
  <c r="AJ152" i="4"/>
  <c r="AL152" i="4" s="1"/>
  <c r="AJ16" i="4"/>
  <c r="AL16" i="4" s="1"/>
  <c r="AJ28" i="4"/>
  <c r="AL28" i="4" s="1"/>
  <c r="AJ40" i="4"/>
  <c r="AL40" i="4" s="1"/>
  <c r="AJ52" i="4"/>
  <c r="AL52" i="4" s="1"/>
  <c r="AJ64" i="4"/>
  <c r="AJ76" i="4"/>
  <c r="AL76" i="4" s="1"/>
  <c r="AJ88" i="4"/>
  <c r="AL88" i="4" s="1"/>
  <c r="AJ100" i="4"/>
  <c r="AL100" i="4" s="1"/>
  <c r="AJ112" i="4"/>
  <c r="AJ124" i="4"/>
  <c r="AL124" i="4" s="1"/>
  <c r="AJ136" i="4"/>
  <c r="AJ148" i="4"/>
  <c r="AL148" i="4" s="1"/>
  <c r="AJ160" i="4"/>
  <c r="AL160" i="4" s="1"/>
  <c r="AJ172" i="4"/>
  <c r="AL172" i="4" s="1"/>
  <c r="AJ184" i="4"/>
  <c r="AJ196" i="4"/>
  <c r="AJ208" i="4"/>
  <c r="AL208" i="4" s="1"/>
  <c r="AJ44" i="4"/>
  <c r="AL44" i="4" s="1"/>
  <c r="AJ17" i="4"/>
  <c r="AL17" i="4" s="1"/>
  <c r="AJ29" i="4"/>
  <c r="AL29" i="4" s="1"/>
  <c r="AJ41" i="4"/>
  <c r="AJ53" i="4"/>
  <c r="AL53" i="4" s="1"/>
  <c r="AJ65" i="4"/>
  <c r="AL65" i="4" s="1"/>
  <c r="AJ77" i="4"/>
  <c r="AL77" i="4" s="1"/>
  <c r="AJ89" i="4"/>
  <c r="AL89" i="4" s="1"/>
  <c r="AJ101" i="4"/>
  <c r="AL101" i="4" s="1"/>
  <c r="AJ113" i="4"/>
  <c r="AL113" i="4" s="1"/>
  <c r="AJ125" i="4"/>
  <c r="AL125" i="4" s="1"/>
  <c r="AJ137" i="4"/>
  <c r="AL137" i="4" s="1"/>
  <c r="AJ149" i="4"/>
  <c r="AL149" i="4" s="1"/>
  <c r="AJ161" i="4"/>
  <c r="AL161" i="4" s="1"/>
  <c r="AJ173" i="4"/>
  <c r="AL173" i="4" s="1"/>
  <c r="AJ185" i="4"/>
  <c r="AJ197" i="4"/>
  <c r="AL197" i="4" s="1"/>
  <c r="AJ8" i="4"/>
  <c r="AJ104" i="4"/>
  <c r="AL104" i="4" s="1"/>
  <c r="AJ200" i="4"/>
  <c r="AL200" i="4" s="1"/>
  <c r="AJ18" i="4"/>
  <c r="AL18" i="4" s="1"/>
  <c r="AJ30" i="4"/>
  <c r="AL30" i="4" s="1"/>
  <c r="AJ42" i="4"/>
  <c r="AL42" i="4" s="1"/>
  <c r="AJ54" i="4"/>
  <c r="AL54" i="4" s="1"/>
  <c r="AJ66" i="4"/>
  <c r="AL66" i="4" s="1"/>
  <c r="AJ78" i="4"/>
  <c r="AL78" i="4" s="1"/>
  <c r="AJ90" i="4"/>
  <c r="AL90" i="4" s="1"/>
  <c r="AJ102" i="4"/>
  <c r="AL102" i="4" s="1"/>
  <c r="AJ114" i="4"/>
  <c r="AL114" i="4" s="1"/>
  <c r="AJ126" i="4"/>
  <c r="AL126" i="4" s="1"/>
  <c r="AJ138" i="4"/>
  <c r="AL138" i="4" s="1"/>
  <c r="AJ150" i="4"/>
  <c r="AL150" i="4" s="1"/>
  <c r="AJ162" i="4"/>
  <c r="AL162" i="4" s="1"/>
  <c r="AJ174" i="4"/>
  <c r="AL174" i="4" s="1"/>
  <c r="AJ186" i="4"/>
  <c r="AL186" i="4" s="1"/>
  <c r="AJ198" i="4"/>
  <c r="AL198" i="4" s="1"/>
  <c r="AJ7" i="4"/>
  <c r="AL7" i="4" s="1"/>
  <c r="AJ56" i="4"/>
  <c r="AL56" i="4" s="1"/>
  <c r="AJ19" i="4"/>
  <c r="AL19" i="4" s="1"/>
  <c r="AJ31" i="4"/>
  <c r="AL31" i="4" s="1"/>
  <c r="AJ43" i="4"/>
  <c r="AJ55" i="4"/>
  <c r="AL55" i="4" s="1"/>
  <c r="AJ67" i="4"/>
  <c r="AL67" i="4" s="1"/>
  <c r="AJ79" i="4"/>
  <c r="AL79" i="4" s="1"/>
  <c r="AJ91" i="4"/>
  <c r="AL91" i="4" s="1"/>
  <c r="AJ103" i="4"/>
  <c r="AL103" i="4" s="1"/>
  <c r="AJ115" i="4"/>
  <c r="AJ127" i="4"/>
  <c r="AL127" i="4" s="1"/>
  <c r="AJ139" i="4"/>
  <c r="AL139" i="4" s="1"/>
  <c r="AJ151" i="4"/>
  <c r="AL151" i="4" s="1"/>
  <c r="AJ163" i="4"/>
  <c r="AL163" i="4" s="1"/>
  <c r="AJ175" i="4"/>
  <c r="AL175" i="4" s="1"/>
  <c r="AJ187" i="4"/>
  <c r="AJ199" i="4"/>
  <c r="AL199" i="4" s="1"/>
  <c r="AJ68" i="4"/>
  <c r="AL68" i="4" s="1"/>
  <c r="AJ140" i="4"/>
  <c r="AL140" i="4" s="1"/>
  <c r="AL122" i="4"/>
  <c r="AL112" i="4"/>
  <c r="AL143" i="4"/>
  <c r="AL187" i="4"/>
  <c r="AL203" i="4"/>
  <c r="AL166" i="4"/>
  <c r="AL193" i="4"/>
  <c r="AL156" i="4"/>
  <c r="AL188" i="4"/>
  <c r="AL135" i="4"/>
  <c r="AL167" i="4"/>
  <c r="AL207" i="4"/>
  <c r="AL93" i="4"/>
  <c r="AL205" i="4"/>
  <c r="AL120" i="4"/>
  <c r="AL136" i="4"/>
  <c r="AL184" i="4"/>
  <c r="AL115" i="4"/>
  <c r="AL131" i="4"/>
  <c r="AL110" i="4"/>
  <c r="AL153" i="4"/>
  <c r="AL185" i="4"/>
  <c r="AL201" i="4"/>
  <c r="AL116" i="4"/>
  <c r="AL132" i="4"/>
  <c r="AL196" i="4"/>
  <c r="F4" i="21"/>
  <c r="G4" i="21"/>
  <c r="C12" i="21"/>
  <c r="G3" i="21"/>
  <c r="G7" i="21" s="1"/>
  <c r="AL10" i="4"/>
  <c r="AL8" i="4"/>
  <c r="AL32" i="4"/>
  <c r="AL81" i="4"/>
  <c r="AL69" i="4"/>
  <c r="AL9" i="4"/>
  <c r="AL43" i="4"/>
  <c r="AL41" i="4"/>
  <c r="AL64" i="4"/>
  <c r="AL63" i="4"/>
  <c r="AL51" i="4"/>
  <c r="AL27" i="4"/>
  <c r="AL61" i="4"/>
  <c r="AL49" i="4"/>
  <c r="AL25" i="4"/>
  <c r="AL84" i="4"/>
  <c r="AL60" i="4"/>
  <c r="AL48" i="4"/>
  <c r="AL12" i="4"/>
  <c r="AL71" i="4"/>
  <c r="AL59" i="4"/>
  <c r="AL11" i="4"/>
  <c r="AL22" i="4"/>
  <c r="AD189" i="26" l="1"/>
  <c r="AE179" i="26"/>
  <c r="AK4" i="4"/>
  <c r="G8" i="21"/>
  <c r="AD190" i="26" l="1"/>
  <c r="AE180" i="26"/>
  <c r="AD191" i="26" l="1"/>
  <c r="AE181" i="26"/>
  <c r="AD192" i="26" l="1"/>
  <c r="AE182" i="26"/>
  <c r="AD193" i="26" l="1"/>
  <c r="AE183" i="26"/>
  <c r="AD194" i="26" l="1"/>
  <c r="AE184" i="26"/>
  <c r="AD195" i="26" l="1"/>
  <c r="AE185" i="26"/>
  <c r="AD196" i="26" l="1"/>
  <c r="AE195" i="26"/>
  <c r="AE186" i="26"/>
  <c r="AE193" i="26"/>
  <c r="AE189" i="26"/>
  <c r="AE196" i="26" l="1"/>
  <c r="AE188" i="26"/>
  <c r="AE191" i="26"/>
  <c r="AE194" i="26"/>
  <c r="AE192" i="26"/>
  <c r="AE187" i="26"/>
  <c r="AE190" i="26"/>
</calcChain>
</file>

<file path=xl/sharedStrings.xml><?xml version="1.0" encoding="utf-8"?>
<sst xmlns="http://schemas.openxmlformats.org/spreadsheetml/2006/main" count="5208" uniqueCount="63">
  <si>
    <t>Data Mentah</t>
  </si>
  <si>
    <t>K</t>
  </si>
  <si>
    <t>Tau</t>
  </si>
  <si>
    <t>RMSE</t>
  </si>
  <si>
    <t>Waktu</t>
  </si>
  <si>
    <t>X_movAvg</t>
  </si>
  <si>
    <t>y_movAvg</t>
  </si>
  <si>
    <t>delta t</t>
  </si>
  <si>
    <t>t</t>
  </si>
  <si>
    <t>Model</t>
  </si>
  <si>
    <t>error</t>
  </si>
  <si>
    <t>Min</t>
  </si>
  <si>
    <t>-</t>
  </si>
  <si>
    <t>delta y</t>
  </si>
  <si>
    <t>K = 937,34*kec + 0,8953</t>
  </si>
  <si>
    <t>Tau = 1,2396</t>
  </si>
  <si>
    <t>'Waktu'</t>
  </si>
  <si>
    <t>'X_rerata'</t>
  </si>
  <si>
    <t>'Y_rerata'</t>
  </si>
  <si>
    <t>'X_tengah'</t>
  </si>
  <si>
    <t>'Y_tengah'</t>
  </si>
  <si>
    <t>'X_movAvg'</t>
  </si>
  <si>
    <t>'Y_movAvg'</t>
  </si>
  <si>
    <t>'estimator'</t>
  </si>
  <si>
    <t>'V_forward'</t>
  </si>
  <si>
    <t>'V_backward'</t>
  </si>
  <si>
    <t>'V_left'</t>
  </si>
  <si>
    <t>'V_right'</t>
  </si>
  <si>
    <t>'vx'</t>
  </si>
  <si>
    <t>'vy'</t>
  </si>
  <si>
    <t>'vz'</t>
  </si>
  <si>
    <t>'yaw'</t>
  </si>
  <si>
    <t>'pitch'</t>
  </si>
  <si>
    <t>'roll'</t>
  </si>
  <si>
    <t>'altitude'</t>
  </si>
  <si>
    <t>'flying_state'</t>
  </si>
  <si>
    <t>'battery']</t>
  </si>
  <si>
    <t>None</t>
  </si>
  <si>
    <t>None]</t>
  </si>
  <si>
    <t>'Drone</t>
  </si>
  <si>
    <t>Maju']</t>
  </si>
  <si>
    <t>Hover']</t>
  </si>
  <si>
    <t>Mendarat']</t>
  </si>
  <si>
    <t>battery'</t>
  </si>
  <si>
    <t>Maju'</t>
  </si>
  <si>
    <t>Hover'</t>
  </si>
  <si>
    <t>Mendarat'</t>
  </si>
  <si>
    <t>Int Vx</t>
  </si>
  <si>
    <t>74]</t>
  </si>
  <si>
    <t>73]</t>
  </si>
  <si>
    <t>72]</t>
  </si>
  <si>
    <t>71]</t>
  </si>
  <si>
    <t>70]</t>
  </si>
  <si>
    <t>Input</t>
  </si>
  <si>
    <t>VX m/s</t>
  </si>
  <si>
    <t>Ouput</t>
  </si>
  <si>
    <t>td</t>
  </si>
  <si>
    <t>Modeling</t>
  </si>
  <si>
    <t>dy/dt</t>
  </si>
  <si>
    <t>Xscale</t>
  </si>
  <si>
    <t>jangkauan x</t>
  </si>
  <si>
    <t>new jangk</t>
  </si>
  <si>
    <t>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</si>
</sst>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64" formatCode="0.000"/>
    <numFmt numFmtId="165" formatCode="_-* #,##0.000_-;\-* #,##0.000_-;_-* &quot;-&quot;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164" fontId="0" fillId="0" borderId="0" xfId="0" applyNumberFormat="1"/>
    <xf numFmtId="165" fontId="0" fillId="0" borderId="0" xfId="1" applyNumberFormat="1" applyFont="1"/>
    <xf numFmtId="164" fontId="0" fillId="2" borderId="0" xfId="0" applyNumberFormat="1" applyFill="1"/>
    <xf numFmtId="11" fontId="0" fillId="0" borderId="0" xfId="0" applyNumberFormat="1"/>
    <xf numFmtId="0" fontId="0" fillId="0" borderId="0" xfId="0" quotePrefix="1"/>
    <xf numFmtId="2" fontId="0" fillId="0" borderId="0" xfId="0" applyNumberFormat="1"/>
  </cellXfs>
  <cellStyles count="2">
    <cellStyle name="Comma [0]" xfId="1" builtinId="6"/>
    <cellStyle name="Normal" xfId="0" builtinId="0"/>
  </cellStyles>
  <dxfs count="0"/>
  <tableStyles count="1" defaultTableStyle="TableStyleMedium2" defaultPivotStyle="PivotStyleLight16">
    <tableStyle name="Invisible" pivot="0" table="0" count="0" xr9:uid="{B646CCAA-06B2-49FF-AB51-6514B8592D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Gain terhadap</a:t>
            </a:r>
            <a:r>
              <a:rPr lang="en-ID" baseline="0"/>
              <a:t> kec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Rekap!$E$2:$E$6</c:f>
              <c:numCache>
                <c:formatCode>General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</c:numCache>
            </c:numRef>
          </c:xVal>
          <c:yVal>
            <c:numRef>
              <c:f>Rekap!$F$2:$F$6</c:f>
              <c:numCache>
                <c:formatCode>0.000</c:formatCode>
                <c:ptCount val="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AB-4A4A-8D29-BB75D50D2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2689503"/>
        <c:axId val="932707391"/>
      </c:scatterChart>
      <c:valAx>
        <c:axId val="93268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707391"/>
        <c:crosses val="autoZero"/>
        <c:crossBetween val="midCat"/>
      </c:valAx>
      <c:valAx>
        <c:axId val="93270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68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Drone 023863 Maju 0,1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0.1(1)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0.05'!$AF$7:$AF$89</c:f>
              <c:numCache>
                <c:formatCode>0.000</c:formatCode>
                <c:ptCount val="83"/>
                <c:pt idx="0">
                  <c:v>0</c:v>
                </c:pt>
                <c:pt idx="1">
                  <c:v>4.6469800000068062E-2</c:v>
                </c:pt>
                <c:pt idx="2">
                  <c:v>7.7852299999904062E-2</c:v>
                </c:pt>
                <c:pt idx="3">
                  <c:v>9.4231900000067981E-2</c:v>
                </c:pt>
                <c:pt idx="4">
                  <c:v>0.14150169999993523</c:v>
                </c:pt>
                <c:pt idx="5">
                  <c:v>0.17293789999985165</c:v>
                </c:pt>
                <c:pt idx="6">
                  <c:v>0.18861689999994269</c:v>
                </c:pt>
                <c:pt idx="7">
                  <c:v>0.21978579999995418</c:v>
                </c:pt>
                <c:pt idx="8">
                  <c:v>0.25131430000010369</c:v>
                </c:pt>
                <c:pt idx="9">
                  <c:v>0.29707890000008774</c:v>
                </c:pt>
                <c:pt idx="10">
                  <c:v>0.32772759999988921</c:v>
                </c:pt>
                <c:pt idx="11">
                  <c:v>0.35926770000014585</c:v>
                </c:pt>
                <c:pt idx="12">
                  <c:v>0.39053250000006301</c:v>
                </c:pt>
                <c:pt idx="13">
                  <c:v>0.42212909999989279</c:v>
                </c:pt>
                <c:pt idx="14">
                  <c:v>0.45332139999982246</c:v>
                </c:pt>
                <c:pt idx="15">
                  <c:v>0.50003530000003593</c:v>
                </c:pt>
                <c:pt idx="16">
                  <c:v>0.52990460000000894</c:v>
                </c:pt>
                <c:pt idx="17">
                  <c:v>0.56111069999997198</c:v>
                </c:pt>
                <c:pt idx="18">
                  <c:v>0.59210650000022724</c:v>
                </c:pt>
                <c:pt idx="19">
                  <c:v>0.62388689999988856</c:v>
                </c:pt>
                <c:pt idx="20">
                  <c:v>0.65538250000008702</c:v>
                </c:pt>
                <c:pt idx="21">
                  <c:v>0.70138069999984509</c:v>
                </c:pt>
                <c:pt idx="22">
                  <c:v>0.73292600000013408</c:v>
                </c:pt>
                <c:pt idx="23">
                  <c:v>0.74824519999992845</c:v>
                </c:pt>
                <c:pt idx="24">
                  <c:v>0.79398609999998371</c:v>
                </c:pt>
                <c:pt idx="25">
                  <c:v>0.80959780000011961</c:v>
                </c:pt>
                <c:pt idx="26">
                  <c:v>0.84044600000015635</c:v>
                </c:pt>
                <c:pt idx="27">
                  <c:v>0.87168070000006992</c:v>
                </c:pt>
                <c:pt idx="28">
                  <c:v>0.9190481999999065</c:v>
                </c:pt>
                <c:pt idx="29">
                  <c:v>0.95023020000007818</c:v>
                </c:pt>
                <c:pt idx="30">
                  <c:v>0.98096369999984745</c:v>
                </c:pt>
                <c:pt idx="31">
                  <c:v>1.0274758000000475</c:v>
                </c:pt>
                <c:pt idx="32">
                  <c:v>1.0433778000001439</c:v>
                </c:pt>
                <c:pt idx="33">
                  <c:v>1.0741189000000304</c:v>
                </c:pt>
                <c:pt idx="34">
                  <c:v>1.1050556000000142</c:v>
                </c:pt>
                <c:pt idx="35">
                  <c:v>1.1504346000001533</c:v>
                </c:pt>
                <c:pt idx="36">
                  <c:v>1.1817449999998644</c:v>
                </c:pt>
                <c:pt idx="37">
                  <c:v>1.2133214999998927</c:v>
                </c:pt>
                <c:pt idx="38">
                  <c:v>1.2439577999998619</c:v>
                </c:pt>
                <c:pt idx="39">
                  <c:v>1.2752057000002424</c:v>
                </c:pt>
                <c:pt idx="40">
                  <c:v>1.307228799999848</c:v>
                </c:pt>
                <c:pt idx="41">
                  <c:v>1.3539307000000917</c:v>
                </c:pt>
                <c:pt idx="42">
                  <c:v>1.369579000000158</c:v>
                </c:pt>
                <c:pt idx="43">
                  <c:v>1.4005013999999392</c:v>
                </c:pt>
                <c:pt idx="44">
                  <c:v>1.4480591000001368</c:v>
                </c:pt>
                <c:pt idx="45">
                  <c:v>1.4633317000002535</c:v>
                </c:pt>
                <c:pt idx="46">
                  <c:v>1.5099764000001414</c:v>
                </c:pt>
                <c:pt idx="47">
                  <c:v>1.5410950000000412</c:v>
                </c:pt>
                <c:pt idx="48">
                  <c:v>1.5728069000001597</c:v>
                </c:pt>
                <c:pt idx="49">
                  <c:v>1.6049176999999872</c:v>
                </c:pt>
                <c:pt idx="50">
                  <c:v>1.6359381000002031</c:v>
                </c:pt>
                <c:pt idx="51">
                  <c:v>1.666913200000181</c:v>
                </c:pt>
                <c:pt idx="52">
                  <c:v>1.6978994999999486</c:v>
                </c:pt>
                <c:pt idx="53">
                  <c:v>1.7454100999998445</c:v>
                </c:pt>
                <c:pt idx="54">
                  <c:v>1.7615832000001319</c:v>
                </c:pt>
                <c:pt idx="55">
                  <c:v>1.7935683999999128</c:v>
                </c:pt>
                <c:pt idx="56">
                  <c:v>1.824997600000188</c:v>
                </c:pt>
                <c:pt idx="57">
                  <c:v>1.8568582000002607</c:v>
                </c:pt>
                <c:pt idx="58">
                  <c:v>1.888017199999922</c:v>
                </c:pt>
                <c:pt idx="59">
                  <c:v>1.9337639000000308</c:v>
                </c:pt>
                <c:pt idx="60">
                  <c:v>1.9651656000000912</c:v>
                </c:pt>
                <c:pt idx="61">
                  <c:v>1.9969618000000082</c:v>
                </c:pt>
                <c:pt idx="62">
                  <c:v>2.027914900000269</c:v>
                </c:pt>
                <c:pt idx="63">
                  <c:v>2.0590366000001268</c:v>
                </c:pt>
                <c:pt idx="64">
                  <c:v>2.0897423000001254</c:v>
                </c:pt>
                <c:pt idx="65">
                  <c:v>2.121407900000122</c:v>
                </c:pt>
                <c:pt idx="66">
                  <c:v>2.1681177999998908</c:v>
                </c:pt>
                <c:pt idx="67">
                  <c:v>2.1839257000001453</c:v>
                </c:pt>
                <c:pt idx="68">
                  <c:v>2.215086600000177</c:v>
                </c:pt>
                <c:pt idx="69">
                  <c:v>2.245915800000148</c:v>
                </c:pt>
                <c:pt idx="70">
                  <c:v>2.2767589000000044</c:v>
                </c:pt>
                <c:pt idx="71">
                  <c:v>2.3554048999999395</c:v>
                </c:pt>
                <c:pt idx="72">
                  <c:v>2.3712682000000314</c:v>
                </c:pt>
                <c:pt idx="73">
                  <c:v>2.3861381000001529</c:v>
                </c:pt>
                <c:pt idx="74">
                  <c:v>2.4169950999998946</c:v>
                </c:pt>
                <c:pt idx="75">
                  <c:v>2.4483733000001848</c:v>
                </c:pt>
                <c:pt idx="76">
                  <c:v>2.4946175000000039</c:v>
                </c:pt>
                <c:pt idx="77">
                  <c:v>2.5103517000002284</c:v>
                </c:pt>
                <c:pt idx="78">
                  <c:v>2.5412317999998777</c:v>
                </c:pt>
                <c:pt idx="79">
                  <c:v>2.5879121000002669</c:v>
                </c:pt>
                <c:pt idx="80">
                  <c:v>2.6191321999999673</c:v>
                </c:pt>
                <c:pt idx="81">
                  <c:v>2.6509202000002006</c:v>
                </c:pt>
                <c:pt idx="82">
                  <c:v>2.681750600000214</c:v>
                </c:pt>
              </c:numCache>
            </c:numRef>
          </c:xVal>
          <c:yVal>
            <c:numRef>
              <c:f>'Maju 0.05'!$AJ$7:$AJ$89</c:f>
              <c:numCache>
                <c:formatCode>0.000</c:formatCode>
                <c:ptCount val="83"/>
                <c:pt idx="0">
                  <c:v>5.9798057142856997</c:v>
                </c:pt>
                <c:pt idx="1">
                  <c:v>5.6297999999999995</c:v>
                </c:pt>
                <c:pt idx="2">
                  <c:v>5.1297599999999974</c:v>
                </c:pt>
                <c:pt idx="3">
                  <c:v>4.6087600000000002</c:v>
                </c:pt>
                <c:pt idx="4">
                  <c:v>4.0667999999999971</c:v>
                </c:pt>
                <c:pt idx="5">
                  <c:v>3.6604799999999997</c:v>
                </c:pt>
                <c:pt idx="6">
                  <c:v>3.2332000000000001</c:v>
                </c:pt>
                <c:pt idx="7">
                  <c:v>2.7849599999999981</c:v>
                </c:pt>
                <c:pt idx="8">
                  <c:v>2.3105199999999968</c:v>
                </c:pt>
                <c:pt idx="9">
                  <c:v>1.8203599999999973</c:v>
                </c:pt>
                <c:pt idx="10">
                  <c:v>1.3092399999999991</c:v>
                </c:pt>
                <c:pt idx="11">
                  <c:v>0.78763999999999967</c:v>
                </c:pt>
                <c:pt idx="12">
                  <c:v>0.24507999999999797</c:v>
                </c:pt>
                <c:pt idx="13">
                  <c:v>0</c:v>
                </c:pt>
                <c:pt idx="14">
                  <c:v>0.20375999999999905</c:v>
                </c:pt>
                <c:pt idx="15">
                  <c:v>0.37607999999999819</c:v>
                </c:pt>
                <c:pt idx="16">
                  <c:v>0.51695999999999742</c:v>
                </c:pt>
                <c:pt idx="17">
                  <c:v>0.63163999999999731</c:v>
                </c:pt>
                <c:pt idx="18">
                  <c:v>0.72535999999999845</c:v>
                </c:pt>
                <c:pt idx="19">
                  <c:v>0.79811999999999728</c:v>
                </c:pt>
                <c:pt idx="20">
                  <c:v>0.8603999999999985</c:v>
                </c:pt>
                <c:pt idx="21">
                  <c:v>0.92267999999999972</c:v>
                </c:pt>
                <c:pt idx="22">
                  <c:v>1.0998399999999968</c:v>
                </c:pt>
                <c:pt idx="23">
                  <c:v>1.2769999999999975</c:v>
                </c:pt>
                <c:pt idx="24">
                  <c:v>1.351285714285698</c:v>
                </c:pt>
                <c:pt idx="25">
                  <c:v>1.4412914285714002</c:v>
                </c:pt>
                <c:pt idx="26">
                  <c:v>1.4203314285713979</c:v>
                </c:pt>
                <c:pt idx="27">
                  <c:v>1.4308114285713991</c:v>
                </c:pt>
                <c:pt idx="28">
                  <c:v>1.4727314285714002</c:v>
                </c:pt>
                <c:pt idx="29">
                  <c:v>1.540851428571397</c:v>
                </c:pt>
                <c:pt idx="30">
                  <c:v>1.4733314285713988</c:v>
                </c:pt>
                <c:pt idx="31">
                  <c:v>1.4267714285713993</c:v>
                </c:pt>
                <c:pt idx="32">
                  <c:v>1.2930571428571973</c:v>
                </c:pt>
                <c:pt idx="33">
                  <c:v>1.169822857142897</c:v>
                </c:pt>
                <c:pt idx="34">
                  <c:v>1.1756628571428998</c:v>
                </c:pt>
                <c:pt idx="35">
                  <c:v>1.1762628571428984</c:v>
                </c:pt>
                <c:pt idx="36">
                  <c:v>1.1559028571428982</c:v>
                </c:pt>
                <c:pt idx="37">
                  <c:v>1.1198228571428999</c:v>
                </c:pt>
                <c:pt idx="38">
                  <c:v>1.0575428571428986</c:v>
                </c:pt>
                <c:pt idx="39">
                  <c:v>0.97954285714289924</c:v>
                </c:pt>
                <c:pt idx="40">
                  <c:v>0.89106285714289868</c:v>
                </c:pt>
                <c:pt idx="41">
                  <c:v>0.79734285714289754</c:v>
                </c:pt>
                <c:pt idx="42">
                  <c:v>0.69314285714289881</c:v>
                </c:pt>
                <c:pt idx="43">
                  <c:v>0.57322285714289833</c:v>
                </c:pt>
                <c:pt idx="44">
                  <c:v>0.44806285714289729</c:v>
                </c:pt>
                <c:pt idx="45">
                  <c:v>0.30718285714289806</c:v>
                </c:pt>
                <c:pt idx="46">
                  <c:v>0.1401028571428995</c:v>
                </c:pt>
                <c:pt idx="47">
                  <c:v>0.23654285714289713</c:v>
                </c:pt>
                <c:pt idx="48">
                  <c:v>0.31202285714289957</c:v>
                </c:pt>
                <c:pt idx="49">
                  <c:v>0.36130285714289911</c:v>
                </c:pt>
                <c:pt idx="50">
                  <c:v>0.78898285714289784</c:v>
                </c:pt>
                <c:pt idx="51">
                  <c:v>1.3381085714285987</c:v>
                </c:pt>
                <c:pt idx="52">
                  <c:v>1.9901085714285998</c:v>
                </c:pt>
                <c:pt idx="53">
                  <c:v>2.6263885714285991</c:v>
                </c:pt>
                <c:pt idx="54">
                  <c:v>3.2417085714285996</c:v>
                </c:pt>
                <c:pt idx="55">
                  <c:v>3.8360685714285978</c:v>
                </c:pt>
                <c:pt idx="56">
                  <c:v>4.4042285714286002</c:v>
                </c:pt>
                <c:pt idx="57">
                  <c:v>5.0385828571428988</c:v>
                </c:pt>
                <c:pt idx="58">
                  <c:v>5.6362571428571009</c:v>
                </c:pt>
                <c:pt idx="59">
                  <c:v>6.0681771428571984</c:v>
                </c:pt>
                <c:pt idx="60">
                  <c:v>6.4634171428571001</c:v>
                </c:pt>
                <c:pt idx="61">
                  <c:v>6.8219771428571967</c:v>
                </c:pt>
                <c:pt idx="62">
                  <c:v>7.5432171428570989</c:v>
                </c:pt>
                <c:pt idx="63">
                  <c:v>8.4757771428571012</c:v>
                </c:pt>
                <c:pt idx="64">
                  <c:v>9.5230171428571957</c:v>
                </c:pt>
                <c:pt idx="65">
                  <c:v>10.694091428571401</c:v>
                </c:pt>
                <c:pt idx="66">
                  <c:v>11.828485714285701</c:v>
                </c:pt>
                <c:pt idx="67">
                  <c:v>12.957640000000001</c:v>
                </c:pt>
                <c:pt idx="68">
                  <c:v>14.081554285714301</c:v>
                </c:pt>
                <c:pt idx="69">
                  <c:v>15.092114285714299</c:v>
                </c:pt>
                <c:pt idx="70">
                  <c:v>16.107914285714298</c:v>
                </c:pt>
                <c:pt idx="71">
                  <c:v>17.123714285714296</c:v>
                </c:pt>
                <c:pt idx="72">
                  <c:v>17.7349142857143</c:v>
                </c:pt>
                <c:pt idx="73">
                  <c:v>18.346114285714297</c:v>
                </c:pt>
                <c:pt idx="74">
                  <c:v>18.967794285714302</c:v>
                </c:pt>
                <c:pt idx="75">
                  <c:v>19.195354285714298</c:v>
                </c:pt>
                <c:pt idx="76">
                  <c:v>19.422914285714295</c:v>
                </c:pt>
                <c:pt idx="77">
                  <c:v>19.650474285714299</c:v>
                </c:pt>
                <c:pt idx="78">
                  <c:v>19.867554285714295</c:v>
                </c:pt>
                <c:pt idx="79">
                  <c:v>19.966039999999996</c:v>
                </c:pt>
                <c:pt idx="80">
                  <c:v>20.172639999999998</c:v>
                </c:pt>
                <c:pt idx="81">
                  <c:v>20.363519999999998</c:v>
                </c:pt>
                <c:pt idx="82">
                  <c:v>20.711000000000002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2C-4DB4-9647-FF6A30231243}"/>
            </c:ext>
          </c:extLst>
        </c:ser>
        <c:ser>
          <c:idx val="1"/>
          <c:order val="1"/>
          <c:tx>
            <c:v>0.1(2)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12C-4DB4-9647-FF6A30231243}"/>
            </c:ext>
          </c:extLst>
        </c:ser>
        <c:ser>
          <c:idx val="2"/>
          <c:order val="2"/>
          <c:tx>
            <c:v>0.1(3)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12C-4DB4-9647-FF6A30231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Drone 023863 Maju 0,15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0.15(1)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AD-49B1-88BD-0D7E965825FE}"/>
            </c:ext>
          </c:extLst>
        </c:ser>
        <c:ser>
          <c:idx val="1"/>
          <c:order val="1"/>
          <c:tx>
            <c:v>0.15(2)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AD-49B1-88BD-0D7E965825FE}"/>
            </c:ext>
          </c:extLst>
        </c:ser>
        <c:ser>
          <c:idx val="2"/>
          <c:order val="2"/>
          <c:tx>
            <c:v>0.15(3)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AD-49B1-88BD-0D7E96582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Drone 023863 Maju 0,2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0.2(1)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5E-463F-B4A4-83F0D82F3FD9}"/>
            </c:ext>
          </c:extLst>
        </c:ser>
        <c:ser>
          <c:idx val="1"/>
          <c:order val="1"/>
          <c:tx>
            <c:v>0.2(2)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5E-463F-B4A4-83F0D82F3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426623"/>
        <c:axId val="841411647"/>
      </c:scatterChart>
      <c:valAx>
        <c:axId val="841426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11647"/>
        <c:crosses val="autoZero"/>
        <c:crossBetween val="midCat"/>
      </c:valAx>
      <c:valAx>
        <c:axId val="84141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26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>
                <a:effectLst/>
              </a:rPr>
              <a:t>Drone 023863 </a:t>
            </a:r>
            <a:r>
              <a:rPr lang="en-ID"/>
              <a:t>Maju 0,05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#REF!</c:f>
              <c:extLst xmlns:c15="http://schemas.microsoft.com/office/drawing/2012/chart"/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35D9-41E3-8D34-C8B26710D7E2}"/>
            </c:ext>
          </c:extLst>
        </c:ser>
        <c:ser>
          <c:idx val="0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D9-41E3-8D34-C8B26710D7E2}"/>
            </c:ext>
          </c:extLst>
        </c:ser>
        <c:ser>
          <c:idx val="2"/>
          <c:order val="2"/>
          <c:tx>
            <c:v>Output Asli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#REF!</c:f>
              <c:extLst xmlns:c15="http://schemas.microsoft.com/office/drawing/2012/chart"/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35D9-41E3-8D34-C8B26710D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356760"/>
        <c:axId val="697358560"/>
        <c:extLst/>
      </c:scatterChart>
      <c:valAx>
        <c:axId val="697356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8560"/>
        <c:crosses val="autoZero"/>
        <c:crossBetween val="midCat"/>
      </c:valAx>
      <c:valAx>
        <c:axId val="69735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356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  <c:pt idx="156">
                  <c:v>5.1479999999999997</c:v>
                </c:pt>
                <c:pt idx="157">
                  <c:v>5.181</c:v>
                </c:pt>
                <c:pt idx="158">
                  <c:v>5.2140000000000004</c:v>
                </c:pt>
                <c:pt idx="159">
                  <c:v>5.2469999999999999</c:v>
                </c:pt>
                <c:pt idx="160">
                  <c:v>5.28</c:v>
                </c:pt>
                <c:pt idx="161">
                  <c:v>5.3129999999999997</c:v>
                </c:pt>
                <c:pt idx="162">
                  <c:v>5.3460000000000001</c:v>
                </c:pt>
                <c:pt idx="163">
                  <c:v>5.3789999999999996</c:v>
                </c:pt>
                <c:pt idx="164">
                  <c:v>5.4119999999999999</c:v>
                </c:pt>
                <c:pt idx="165">
                  <c:v>5.4450000000000003</c:v>
                </c:pt>
                <c:pt idx="166">
                  <c:v>5.4779999999999998</c:v>
                </c:pt>
                <c:pt idx="167">
                  <c:v>5.5110000000000001</c:v>
                </c:pt>
                <c:pt idx="168">
                  <c:v>5.5439999999999996</c:v>
                </c:pt>
                <c:pt idx="169">
                  <c:v>5.577</c:v>
                </c:pt>
                <c:pt idx="170">
                  <c:v>5.61</c:v>
                </c:pt>
                <c:pt idx="171">
                  <c:v>5.6429999999999998</c:v>
                </c:pt>
                <c:pt idx="172">
                  <c:v>5.6760000000000002</c:v>
                </c:pt>
                <c:pt idx="173">
                  <c:v>5.7089999999999996</c:v>
                </c:pt>
                <c:pt idx="174">
                  <c:v>5.742</c:v>
                </c:pt>
                <c:pt idx="175">
                  <c:v>5.7750000000000004</c:v>
                </c:pt>
                <c:pt idx="176">
                  <c:v>5.8079999999999998</c:v>
                </c:pt>
                <c:pt idx="177">
                  <c:v>5.8410000000000002</c:v>
                </c:pt>
                <c:pt idx="178">
                  <c:v>5.8739999999999997</c:v>
                </c:pt>
                <c:pt idx="179">
                  <c:v>5.907</c:v>
                </c:pt>
                <c:pt idx="180">
                  <c:v>5.94</c:v>
                </c:pt>
                <c:pt idx="181">
                  <c:v>5.9729999999999999</c:v>
                </c:pt>
                <c:pt idx="182">
                  <c:v>6.0060000000000002</c:v>
                </c:pt>
                <c:pt idx="183">
                  <c:v>6.0389999999999997</c:v>
                </c:pt>
                <c:pt idx="184">
                  <c:v>6.0720000000000001</c:v>
                </c:pt>
                <c:pt idx="185">
                  <c:v>6.1050000000000004</c:v>
                </c:pt>
                <c:pt idx="186">
                  <c:v>6.1379999999999999</c:v>
                </c:pt>
                <c:pt idx="187">
                  <c:v>6.1710000000000003</c:v>
                </c:pt>
                <c:pt idx="188">
                  <c:v>6.2039999999999997</c:v>
                </c:pt>
                <c:pt idx="189">
                  <c:v>6.2370000000000001</c:v>
                </c:pt>
                <c:pt idx="190">
                  <c:v>6.27</c:v>
                </c:pt>
                <c:pt idx="191">
                  <c:v>6.3029999999999999</c:v>
                </c:pt>
                <c:pt idx="192">
                  <c:v>6.3360000000000003</c:v>
                </c:pt>
                <c:pt idx="193">
                  <c:v>6.3689999999999998</c:v>
                </c:pt>
                <c:pt idx="194">
                  <c:v>6.4020000000000001</c:v>
                </c:pt>
                <c:pt idx="195">
                  <c:v>6.4349999999999996</c:v>
                </c:pt>
                <c:pt idx="196">
                  <c:v>6.468</c:v>
                </c:pt>
                <c:pt idx="197">
                  <c:v>6.5010000000000003</c:v>
                </c:pt>
                <c:pt idx="198">
                  <c:v>6.5339999999999998</c:v>
                </c:pt>
                <c:pt idx="199">
                  <c:v>6.5670000000000002</c:v>
                </c:pt>
                <c:pt idx="200">
                  <c:v>6.6</c:v>
                </c:pt>
                <c:pt idx="201">
                  <c:v>6.633</c:v>
                </c:pt>
                <c:pt idx="202">
                  <c:v>6.6660000000000004</c:v>
                </c:pt>
                <c:pt idx="203">
                  <c:v>6.6989999999999998</c:v>
                </c:pt>
                <c:pt idx="204">
                  <c:v>6.7320000000000002</c:v>
                </c:pt>
                <c:pt idx="205">
                  <c:v>6.7649999999999997</c:v>
                </c:pt>
                <c:pt idx="206">
                  <c:v>6.798</c:v>
                </c:pt>
                <c:pt idx="207">
                  <c:v>6.8310000000000004</c:v>
                </c:pt>
                <c:pt idx="208">
                  <c:v>6.8639999999999999</c:v>
                </c:pt>
                <c:pt idx="209">
                  <c:v>6.8970000000000002</c:v>
                </c:pt>
                <c:pt idx="210">
                  <c:v>6.93</c:v>
                </c:pt>
                <c:pt idx="211">
                  <c:v>6.9630000000000001</c:v>
                </c:pt>
                <c:pt idx="212">
                  <c:v>6.9960000000000004</c:v>
                </c:pt>
                <c:pt idx="213">
                  <c:v>7.0289999999999999</c:v>
                </c:pt>
                <c:pt idx="214">
                  <c:v>7.0620000000000003</c:v>
                </c:pt>
                <c:pt idx="215">
                  <c:v>7.0949999999999998</c:v>
                </c:pt>
                <c:pt idx="216">
                  <c:v>7.1280000000000001</c:v>
                </c:pt>
                <c:pt idx="217">
                  <c:v>7.1609999999999996</c:v>
                </c:pt>
                <c:pt idx="218">
                  <c:v>7.194</c:v>
                </c:pt>
                <c:pt idx="219">
                  <c:v>7.2270000000000003</c:v>
                </c:pt>
                <c:pt idx="220">
                  <c:v>7.26</c:v>
                </c:pt>
                <c:pt idx="221">
                  <c:v>7.2930000000000001</c:v>
                </c:pt>
                <c:pt idx="222">
                  <c:v>7.3259999999999996</c:v>
                </c:pt>
                <c:pt idx="223">
                  <c:v>7.359</c:v>
                </c:pt>
                <c:pt idx="224">
                  <c:v>7.3920000000000003</c:v>
                </c:pt>
                <c:pt idx="225">
                  <c:v>7.4249999999999998</c:v>
                </c:pt>
                <c:pt idx="226">
                  <c:v>7.4580000000000002</c:v>
                </c:pt>
                <c:pt idx="227">
                  <c:v>7.4909999999999997</c:v>
                </c:pt>
                <c:pt idx="228">
                  <c:v>7.524</c:v>
                </c:pt>
                <c:pt idx="229">
                  <c:v>7.5570000000000004</c:v>
                </c:pt>
                <c:pt idx="230">
                  <c:v>7.59</c:v>
                </c:pt>
                <c:pt idx="231">
                  <c:v>7.6230000000000002</c:v>
                </c:pt>
                <c:pt idx="232">
                  <c:v>7.6559999999999997</c:v>
                </c:pt>
                <c:pt idx="233">
                  <c:v>7.6890000000000001</c:v>
                </c:pt>
                <c:pt idx="234">
                  <c:v>7.7220000000000004</c:v>
                </c:pt>
                <c:pt idx="235">
                  <c:v>7.7549999999999999</c:v>
                </c:pt>
                <c:pt idx="236">
                  <c:v>7.7880000000000003</c:v>
                </c:pt>
                <c:pt idx="237">
                  <c:v>7.8209999999999997</c:v>
                </c:pt>
                <c:pt idx="238">
                  <c:v>7.8540000000000001</c:v>
                </c:pt>
                <c:pt idx="239">
                  <c:v>7.8869999999999996</c:v>
                </c:pt>
                <c:pt idx="240">
                  <c:v>7.92</c:v>
                </c:pt>
                <c:pt idx="241">
                  <c:v>7.9530000000000003</c:v>
                </c:pt>
                <c:pt idx="242">
                  <c:v>7.9859999999999998</c:v>
                </c:pt>
                <c:pt idx="243">
                  <c:v>8.0190000000000001</c:v>
                </c:pt>
                <c:pt idx="244">
                  <c:v>8.0519999999999996</c:v>
                </c:pt>
                <c:pt idx="245">
                  <c:v>8.0850000000000009</c:v>
                </c:pt>
                <c:pt idx="246">
                  <c:v>8.1180000000000003</c:v>
                </c:pt>
                <c:pt idx="247">
                  <c:v>8.1509999999999998</c:v>
                </c:pt>
                <c:pt idx="248">
                  <c:v>8.1839999999999993</c:v>
                </c:pt>
                <c:pt idx="249">
                  <c:v>8.2170000000000005</c:v>
                </c:pt>
                <c:pt idx="250">
                  <c:v>8.25</c:v>
                </c:pt>
                <c:pt idx="251">
                  <c:v>8.2829999999999995</c:v>
                </c:pt>
                <c:pt idx="252">
                  <c:v>8.3160000000000007</c:v>
                </c:pt>
                <c:pt idx="253">
                  <c:v>8.3490000000000002</c:v>
                </c:pt>
                <c:pt idx="254">
                  <c:v>8.3819999999999997</c:v>
                </c:pt>
                <c:pt idx="255">
                  <c:v>8.4149999999999991</c:v>
                </c:pt>
                <c:pt idx="256">
                  <c:v>8.4480000000000004</c:v>
                </c:pt>
                <c:pt idx="257">
                  <c:v>8.4809999999999999</c:v>
                </c:pt>
                <c:pt idx="258">
                  <c:v>8.5139999999999993</c:v>
                </c:pt>
                <c:pt idx="259">
                  <c:v>8.5470000000000006</c:v>
                </c:pt>
                <c:pt idx="260">
                  <c:v>8.58</c:v>
                </c:pt>
                <c:pt idx="261">
                  <c:v>8.6129999999999995</c:v>
                </c:pt>
                <c:pt idx="262">
                  <c:v>8.6460000000000008</c:v>
                </c:pt>
                <c:pt idx="263">
                  <c:v>8.6790000000000003</c:v>
                </c:pt>
                <c:pt idx="264">
                  <c:v>8.7119999999999997</c:v>
                </c:pt>
                <c:pt idx="265">
                  <c:v>8.7449999999999992</c:v>
                </c:pt>
                <c:pt idx="266">
                  <c:v>8.7780000000000005</c:v>
                </c:pt>
                <c:pt idx="267">
                  <c:v>8.8109999999999999</c:v>
                </c:pt>
                <c:pt idx="268">
                  <c:v>8.8439999999999994</c:v>
                </c:pt>
                <c:pt idx="269">
                  <c:v>8.8770000000000007</c:v>
                </c:pt>
                <c:pt idx="270">
                  <c:v>8.91</c:v>
                </c:pt>
                <c:pt idx="271">
                  <c:v>8.9429999999999996</c:v>
                </c:pt>
                <c:pt idx="272">
                  <c:v>8.9760000000000009</c:v>
                </c:pt>
                <c:pt idx="273">
                  <c:v>9.0090000000000003</c:v>
                </c:pt>
                <c:pt idx="274">
                  <c:v>9.0419999999999998</c:v>
                </c:pt>
                <c:pt idx="275">
                  <c:v>9.0749999999999993</c:v>
                </c:pt>
                <c:pt idx="276">
                  <c:v>9.1080000000000005</c:v>
                </c:pt>
                <c:pt idx="277">
                  <c:v>9.141</c:v>
                </c:pt>
                <c:pt idx="278">
                  <c:v>9.1739999999999995</c:v>
                </c:pt>
                <c:pt idx="279">
                  <c:v>9.2070000000000007</c:v>
                </c:pt>
                <c:pt idx="280">
                  <c:v>9.24</c:v>
                </c:pt>
                <c:pt idx="281">
                  <c:v>9.2729999999999997</c:v>
                </c:pt>
                <c:pt idx="282">
                  <c:v>9.3059999999999992</c:v>
                </c:pt>
                <c:pt idx="283">
                  <c:v>9.3390000000000004</c:v>
                </c:pt>
                <c:pt idx="284">
                  <c:v>9.3719999999999999</c:v>
                </c:pt>
                <c:pt idx="285">
                  <c:v>9.4049999999999994</c:v>
                </c:pt>
                <c:pt idx="286">
                  <c:v>9.4380000000000006</c:v>
                </c:pt>
                <c:pt idx="287">
                  <c:v>9.4710000000000001</c:v>
                </c:pt>
                <c:pt idx="288">
                  <c:v>9.5039999999999996</c:v>
                </c:pt>
                <c:pt idx="289">
                  <c:v>9.5370000000000008</c:v>
                </c:pt>
                <c:pt idx="290">
                  <c:v>9.57</c:v>
                </c:pt>
                <c:pt idx="291">
                  <c:v>9.6029999999999998</c:v>
                </c:pt>
                <c:pt idx="292">
                  <c:v>9.6359999999999992</c:v>
                </c:pt>
                <c:pt idx="293">
                  <c:v>9.6690000000000005</c:v>
                </c:pt>
                <c:pt idx="294">
                  <c:v>9.702</c:v>
                </c:pt>
                <c:pt idx="295">
                  <c:v>9.7349999999999994</c:v>
                </c:pt>
                <c:pt idx="296">
                  <c:v>9.7680000000000007</c:v>
                </c:pt>
                <c:pt idx="297">
                  <c:v>9.8010000000000002</c:v>
                </c:pt>
                <c:pt idx="298">
                  <c:v>9.8339999999999996</c:v>
                </c:pt>
                <c:pt idx="299">
                  <c:v>9.8670000000000009</c:v>
                </c:pt>
                <c:pt idx="300">
                  <c:v>9.9</c:v>
                </c:pt>
                <c:pt idx="301">
                  <c:v>9.9329999999999998</c:v>
                </c:pt>
                <c:pt idx="302">
                  <c:v>9.9659999999999993</c:v>
                </c:pt>
                <c:pt idx="303">
                  <c:v>9.9990000000000006</c:v>
                </c:pt>
                <c:pt idx="304">
                  <c:v>10.032</c:v>
                </c:pt>
                <c:pt idx="305">
                  <c:v>10.065</c:v>
                </c:pt>
                <c:pt idx="306">
                  <c:v>10.098000000000001</c:v>
                </c:pt>
                <c:pt idx="307">
                  <c:v>10.131</c:v>
                </c:pt>
                <c:pt idx="308">
                  <c:v>10.164</c:v>
                </c:pt>
                <c:pt idx="309">
                  <c:v>10.196999999999999</c:v>
                </c:pt>
                <c:pt idx="310">
                  <c:v>10.23</c:v>
                </c:pt>
                <c:pt idx="311">
                  <c:v>10.263</c:v>
                </c:pt>
                <c:pt idx="312">
                  <c:v>10.295999999999999</c:v>
                </c:pt>
                <c:pt idx="313">
                  <c:v>10.329000000000001</c:v>
                </c:pt>
                <c:pt idx="314">
                  <c:v>10.362</c:v>
                </c:pt>
                <c:pt idx="315">
                  <c:v>10.395</c:v>
                </c:pt>
                <c:pt idx="316">
                  <c:v>10.428000000000001</c:v>
                </c:pt>
                <c:pt idx="317">
                  <c:v>10.461</c:v>
                </c:pt>
                <c:pt idx="318">
                  <c:v>10.494</c:v>
                </c:pt>
                <c:pt idx="319">
                  <c:v>10.526999999999999</c:v>
                </c:pt>
                <c:pt idx="320">
                  <c:v>10.56</c:v>
                </c:pt>
                <c:pt idx="321">
                  <c:v>10.593</c:v>
                </c:pt>
                <c:pt idx="322">
                  <c:v>10.625999999999999</c:v>
                </c:pt>
                <c:pt idx="323">
                  <c:v>10.659000000000001</c:v>
                </c:pt>
                <c:pt idx="324">
                  <c:v>10.692</c:v>
                </c:pt>
                <c:pt idx="325">
                  <c:v>10.725</c:v>
                </c:pt>
                <c:pt idx="326">
                  <c:v>10.757999999999999</c:v>
                </c:pt>
                <c:pt idx="327">
                  <c:v>10.791</c:v>
                </c:pt>
                <c:pt idx="328">
                  <c:v>10.824</c:v>
                </c:pt>
                <c:pt idx="329">
                  <c:v>10.856999999999999</c:v>
                </c:pt>
                <c:pt idx="330">
                  <c:v>10.89</c:v>
                </c:pt>
                <c:pt idx="331">
                  <c:v>10.923</c:v>
                </c:pt>
                <c:pt idx="332">
                  <c:v>10.956</c:v>
                </c:pt>
                <c:pt idx="333">
                  <c:v>10.989000000000001</c:v>
                </c:pt>
                <c:pt idx="334">
                  <c:v>11.022</c:v>
                </c:pt>
              </c:numCache>
            </c:numRef>
          </c:xVal>
          <c:yVal>
            <c:numRef>
              <c:f>Rekap!$Y$2:$Y$336</c:f>
              <c:numCache>
                <c:formatCode>General</c:formatCode>
                <c:ptCount val="335"/>
                <c:pt idx="0">
                  <c:v>0</c:v>
                </c:pt>
                <c:pt idx="1">
                  <c:v>2.0483006590090214E-2</c:v>
                </c:pt>
                <c:pt idx="2">
                  <c:v>8.121297470675784E-2</c:v>
                </c:pt>
                <c:pt idx="3">
                  <c:v>0.18113260610345991</c:v>
                </c:pt>
                <c:pt idx="4">
                  <c:v>0.31921237803624963</c:v>
                </c:pt>
                <c:pt idx="5">
                  <c:v>0.49444981359395102</c:v>
                </c:pt>
                <c:pt idx="6">
                  <c:v>0.70586877119704194</c:v>
                </c:pt>
                <c:pt idx="7">
                  <c:v>0.95251875276162834</c:v>
                </c:pt>
                <c:pt idx="8">
                  <c:v>1.2334742300379931</c:v>
                </c:pt>
                <c:pt idx="9">
                  <c:v>1.5478339886465793</c:v>
                </c:pt>
                <c:pt idx="10">
                  <c:v>1.8947204893461966</c:v>
                </c:pt>
                <c:pt idx="11">
                  <c:v>2.2732792460819109</c:v>
                </c:pt>
                <c:pt idx="12">
                  <c:v>2.6826782203718271</c:v>
                </c:pt>
                <c:pt idx="13">
                  <c:v>3.1221072316034122</c:v>
                </c:pt>
                <c:pt idx="14">
                  <c:v>3.5907773828215435</c:v>
                </c:pt>
                <c:pt idx="15">
                  <c:v>4.0879205016012659</c:v>
                </c:pt>
                <c:pt idx="16">
                  <c:v>4.6127885956088877</c:v>
                </c:pt>
                <c:pt idx="17">
                  <c:v>5.1646533224657309</c:v>
                </c:pt>
                <c:pt idx="18">
                  <c:v>5.7428054735386329</c:v>
                </c:pt>
                <c:pt idx="19">
                  <c:v>6.3465544712914426</c:v>
                </c:pt>
                <c:pt idx="20">
                  <c:v>6.9752278798411833</c:v>
                </c:pt>
                <c:pt idx="21">
                  <c:v>7.6281709283721035</c:v>
                </c:pt>
                <c:pt idx="22">
                  <c:v>8.3047460470696688</c:v>
                </c:pt>
                <c:pt idx="23">
                  <c:v>9.0043324152458037</c:v>
                </c:pt>
                <c:pt idx="24">
                  <c:v>9.7263255213348891</c:v>
                </c:pt>
                <c:pt idx="25">
                  <c:v>10.47013673444885</c:v>
                </c:pt>
                <c:pt idx="26">
                  <c:v>11.23519288718761</c:v>
                </c:pt>
                <c:pt idx="27">
                  <c:v>12.020935869409163</c:v>
                </c:pt>
                <c:pt idx="28">
                  <c:v>12.8268222326715</c:v>
                </c:pt>
                <c:pt idx="29">
                  <c:v>13.652322805065838</c:v>
                </c:pt>
                <c:pt idx="30">
                  <c:v>14.496922316168392</c:v>
                </c:pt>
                <c:pt idx="31">
                  <c:v>15.360119031844707</c:v>
                </c:pt>
                <c:pt idx="32">
                  <c:v>16.241424398647755</c:v>
                </c:pt>
                <c:pt idx="33">
                  <c:v>17.140362697557851</c:v>
                </c:pt>
                <c:pt idx="34">
                  <c:v>18.05647070681886</c:v>
                </c:pt>
                <c:pt idx="35">
                  <c:v>18.989297373631789</c:v>
                </c:pt>
                <c:pt idx="36">
                  <c:v>19.938403494473121</c:v>
                </c:pt>
                <c:pt idx="37">
                  <c:v>20.903361403811218</c:v>
                </c:pt>
                <c:pt idx="38">
                  <c:v>21.883754671000229</c:v>
                </c:pt>
                <c:pt idx="39">
                  <c:v>22.879177805136717</c:v>
                </c:pt>
                <c:pt idx="40">
                  <c:v>23.889235967669755</c:v>
                </c:pt>
                <c:pt idx="41">
                  <c:v>24.913544692560802</c:v>
                </c:pt>
                <c:pt idx="42">
                  <c:v>25.951729613795088</c:v>
                </c:pt>
                <c:pt idx="43">
                  <c:v>27.003426200051365</c:v>
                </c:pt>
                <c:pt idx="44">
                  <c:v>28.068279496341894</c:v>
                </c:pt>
                <c:pt idx="45">
                  <c:v>29.14594387243967</c:v>
                </c:pt>
                <c:pt idx="46">
                  <c:v>30.236082777914472</c:v>
                </c:pt>
                <c:pt idx="47">
                  <c:v>31.338368503604272</c:v>
                </c:pt>
                <c:pt idx="48">
                  <c:v>32.452481949352773</c:v>
                </c:pt>
                <c:pt idx="49">
                  <c:v>33.578112397848557</c:v>
                </c:pt>
                <c:pt idx="50">
                  <c:v>34.714957294405536</c:v>
                </c:pt>
                <c:pt idx="51">
                  <c:v>35.86272203252873</c:v>
                </c:pt>
                <c:pt idx="52">
                  <c:v>37.021119745113054</c:v>
                </c:pt>
                <c:pt idx="53">
                  <c:v>38.189871101127643</c:v>
                </c:pt>
                <c:pt idx="54">
                  <c:v>39.368704107641136</c:v>
                </c:pt>
                <c:pt idx="55">
                  <c:v>40.557353917047912</c:v>
                </c:pt>
                <c:pt idx="56">
                  <c:v>41.755562639358466</c:v>
                </c:pt>
                <c:pt idx="57">
                  <c:v>42.963079159421028</c:v>
                </c:pt>
                <c:pt idx="58">
                  <c:v>44.17965895894482</c:v>
                </c:pt>
                <c:pt idx="59">
                  <c:v>45.405063943198741</c:v>
                </c:pt>
                <c:pt idx="60">
                  <c:v>46.639062272262798</c:v>
                </c:pt>
                <c:pt idx="61">
                  <c:v>47.881428196712562</c:v>
                </c:pt>
                <c:pt idx="62">
                  <c:v>49.13194189762028</c:v>
                </c:pt>
                <c:pt idx="63">
                  <c:v>50.390389330759128</c:v>
                </c:pt>
                <c:pt idx="64">
                  <c:v>51.6565620749003</c:v>
                </c:pt>
                <c:pt idx="65">
                  <c:v>52.930257184095431</c:v>
                </c:pt>
                <c:pt idx="66">
                  <c:v>54.21127704383948</c:v>
                </c:pt>
                <c:pt idx="67">
                  <c:v>55.499429231012343</c:v>
                </c:pt>
                <c:pt idx="68">
                  <c:v>56.794526377499849</c:v>
                </c:pt>
                <c:pt idx="69">
                  <c:v>58.096386037397281</c:v>
                </c:pt>
                <c:pt idx="70">
                  <c:v>59.404830557701835</c:v>
                </c:pt>
                <c:pt idx="71">
                  <c:v>60.719686952401688</c:v>
                </c:pt>
                <c:pt idx="72">
                  <c:v>62.040786779872981</c:v>
                </c:pt>
                <c:pt idx="73">
                  <c:v>63.367966023497559</c:v>
                </c:pt>
                <c:pt idx="74">
                  <c:v>64.701064975416855</c:v>
                </c:pt>
                <c:pt idx="75">
                  <c:v>66.039928123339678</c:v>
                </c:pt>
                <c:pt idx="76">
                  <c:v>67.384404040323588</c:v>
                </c:pt>
                <c:pt idx="77">
                  <c:v>68.734345277451666</c:v>
                </c:pt>
                <c:pt idx="78">
                  <c:v>70.089608259328756</c:v>
                </c:pt>
                <c:pt idx="79">
                  <c:v>71.450053182323046</c:v>
                </c:pt>
                <c:pt idx="80">
                  <c:v>72.815543915480774</c:v>
                </c:pt>
                <c:pt idx="81">
                  <c:v>74.185947904044184</c:v>
                </c:pt>
                <c:pt idx="82">
                  <c:v>75.561136075503683</c:v>
                </c:pt>
                <c:pt idx="83">
                  <c:v>76.940982748118515</c:v>
                </c:pt>
                <c:pt idx="84">
                  <c:v>78.325365541840185</c:v>
                </c:pt>
                <c:pt idx="85">
                  <c:v>79.714165291576208</c:v>
                </c:pt>
                <c:pt idx="86">
                  <c:v>81.10726596273237</c:v>
                </c:pt>
                <c:pt idx="87">
                  <c:v>82.504554568973717</c:v>
                </c:pt>
                <c:pt idx="88">
                  <c:v>83.905921092146002</c:v>
                </c:pt>
                <c:pt idx="89">
                  <c:v>85.31125840430073</c:v>
                </c:pt>
                <c:pt idx="90">
                  <c:v>86.720462191768803</c:v>
                </c:pt>
                <c:pt idx="91">
                  <c:v>88.13343088122852</c:v>
                </c:pt>
                <c:pt idx="92">
                  <c:v>89.550065567716061</c:v>
                </c:pt>
                <c:pt idx="93">
                  <c:v>90.970269944526976</c:v>
                </c:pt>
                <c:pt idx="94">
                  <c:v>92.393950234959206</c:v>
                </c:pt>
                <c:pt idx="95">
                  <c:v>93.8210151258493</c:v>
                </c:pt>
                <c:pt idx="96">
                  <c:v>95.25137570285456</c:v>
                </c:pt>
                <c:pt idx="97">
                  <c:v>96.684945387435434</c:v>
                </c:pt>
                <c:pt idx="98">
                  <c:v>98.121639875493315</c:v>
                </c:pt>
                <c:pt idx="99">
                  <c:v>99.561377077620435</c:v>
                </c:pt>
                <c:pt idx="100">
                  <c:v>101.00407706091926</c:v>
                </c:pt>
                <c:pt idx="101">
                  <c:v>102.44966199235061</c:v>
                </c:pt>
                <c:pt idx="102">
                  <c:v>103.89805608356949</c:v>
                </c:pt>
                <c:pt idx="103">
                  <c:v>105.34918553721067</c:v>
                </c:pt>
                <c:pt idx="104">
                  <c:v>106.80297849458523</c:v>
                </c:pt>
                <c:pt idx="105">
                  <c:v>108.25936498475069</c:v>
                </c:pt>
                <c:pt idx="106">
                  <c:v>109.71827687491972</c:v>
                </c:pt>
                <c:pt idx="107">
                  <c:v>111.17964782217116</c:v>
                </c:pt>
                <c:pt idx="108">
                  <c:v>112.64341322642976</c:v>
                </c:pt>
                <c:pt idx="109">
                  <c:v>114.1095101846813</c:v>
                </c:pt>
                <c:pt idx="110">
                  <c:v>115.57787744639016</c:v>
                </c:pt>
                <c:pt idx="111">
                  <c:v>117.04845537008852</c:v>
                </c:pt>
                <c:pt idx="112">
                  <c:v>118.52118588110544</c:v>
                </c:pt>
                <c:pt idx="113">
                  <c:v>119.99601243040682</c:v>
                </c:pt>
                <c:pt idx="114">
                  <c:v>121.4728799545167</c:v>
                </c:pt>
                <c:pt idx="115">
                  <c:v>122.95173483649089</c:v>
                </c:pt>
                <c:pt idx="116">
                  <c:v>124.43252486791656</c:v>
                </c:pt>
                <c:pt idx="117">
                  <c:v>125.91519921190951</c:v>
                </c:pt>
                <c:pt idx="118">
                  <c:v>127.39970836708383</c:v>
                </c:pt>
                <c:pt idx="119">
                  <c:v>128.88600413246809</c:v>
                </c:pt>
                <c:pt idx="120">
                  <c:v>130.37403957334291</c:v>
                </c:pt>
                <c:pt idx="121">
                  <c:v>131.86376898797647</c:v>
                </c:pt>
                <c:pt idx="122">
                  <c:v>133.35514787523329</c:v>
                </c:pt>
                <c:pt idx="123">
                  <c:v>134.84813290303453</c:v>
                </c:pt>
                <c:pt idx="124">
                  <c:v>136.34268187764633</c:v>
                </c:pt>
                <c:pt idx="125">
                  <c:v>137.83875371377539</c:v>
                </c:pt>
                <c:pt idx="126">
                  <c:v>139.33630840544978</c:v>
                </c:pt>
                <c:pt idx="127">
                  <c:v>140.83530699766499</c:v>
                </c:pt>
                <c:pt idx="128">
                  <c:v>142.33571155877473</c:v>
                </c:pt>
                <c:pt idx="129">
                  <c:v>143.83748515360696</c:v>
                </c:pt>
                <c:pt idx="130">
                  <c:v>145.34059181728637</c:v>
                </c:pt>
                <c:pt idx="131">
                  <c:v>146.84499652974432</c:v>
                </c:pt>
                <c:pt idx="132">
                  <c:v>148.35066519089852</c:v>
                </c:pt>
                <c:pt idx="133">
                  <c:v>149.85756459648499</c:v>
                </c:pt>
                <c:pt idx="134">
                  <c:v>151.36566241452422</c:v>
                </c:pt>
                <c:pt idx="135">
                  <c:v>152.87492716240652</c:v>
                </c:pt>
                <c:pt idx="136">
                  <c:v>154.38532818457853</c:v>
                </c:pt>
                <c:pt idx="137">
                  <c:v>155.89683563081618</c:v>
                </c:pt>
                <c:pt idx="138">
                  <c:v>157.40942043506891</c:v>
                </c:pt>
                <c:pt idx="139">
                  <c:v>158.9230542948587</c:v>
                </c:pt>
                <c:pt idx="140">
                  <c:v>160.43770965122127</c:v>
                </c:pt>
                <c:pt idx="141">
                  <c:v>161.95335966917332</c:v>
                </c:pt>
                <c:pt idx="142">
                  <c:v>163.4699782186938</c:v>
                </c:pt>
                <c:pt idx="143">
                  <c:v>164.98753985620414</c:v>
                </c:pt>
                <c:pt idx="144">
                  <c:v>166.50601980653514</c:v>
                </c:pt>
                <c:pt idx="145">
                  <c:v>168.02539394536799</c:v>
                </c:pt>
                <c:pt idx="146">
                  <c:v>169.54563878213588</c:v>
                </c:pt>
                <c:pt idx="147">
                  <c:v>171.06673144337552</c:v>
                </c:pt>
                <c:pt idx="148">
                  <c:v>172.5886496565154</c:v>
                </c:pt>
                <c:pt idx="149">
                  <c:v>174.11137173409031</c:v>
                </c:pt>
                <c:pt idx="150">
                  <c:v>175.63487655837059</c:v>
                </c:pt>
                <c:pt idx="151">
                  <c:v>177.15914356639462</c:v>
                </c:pt>
                <c:pt idx="152">
                  <c:v>178.68415273539546</c:v>
                </c:pt>
                <c:pt idx="153">
                  <c:v>180.20988456860937</c:v>
                </c:pt>
                <c:pt idx="154">
                  <c:v>181.73632008145762</c:v>
                </c:pt>
                <c:pt idx="155">
                  <c:v>183.2634407880916</c:v>
                </c:pt>
                <c:pt idx="156">
                  <c:v>184.79122868829054</c:v>
                </c:pt>
                <c:pt idx="157">
                  <c:v>186.31966625470443</c:v>
                </c:pt>
                <c:pt idx="158">
                  <c:v>187.84873642043115</c:v>
                </c:pt>
                <c:pt idx="159">
                  <c:v>189.37842256692065</c:v>
                </c:pt>
                <c:pt idx="160">
                  <c:v>190.9087085121966</c:v>
                </c:pt>
                <c:pt idx="161">
                  <c:v>192.43957849938732</c:v>
                </c:pt>
                <c:pt idx="162">
                  <c:v>193.97101718555851</c:v>
                </c:pt>
                <c:pt idx="163">
                  <c:v>195.50300963083848</c:v>
                </c:pt>
                <c:pt idx="164">
                  <c:v>197.03554128783014</c:v>
                </c:pt>
                <c:pt idx="165">
                  <c:v>198.56859799130024</c:v>
                </c:pt>
                <c:pt idx="166">
                  <c:v>200.10216594813991</c:v>
                </c:pt>
                <c:pt idx="167">
                  <c:v>201.63623172758889</c:v>
                </c:pt>
                <c:pt idx="168">
                  <c:v>203.17078225171653</c:v>
                </c:pt>
                <c:pt idx="169">
                  <c:v>204.70580478615292</c:v>
                </c:pt>
                <c:pt idx="170">
                  <c:v>206.24128693106323</c:v>
                </c:pt>
                <c:pt idx="171">
                  <c:v>207.77721661235964</c:v>
                </c:pt>
                <c:pt idx="172">
                  <c:v>209.31358207314386</c:v>
                </c:pt>
                <c:pt idx="173">
                  <c:v>210.8503718653742</c:v>
                </c:pt>
                <c:pt idx="174">
                  <c:v>212.3875748417523</c:v>
                </c:pt>
                <c:pt idx="175">
                  <c:v>213.92518014782206</c:v>
                </c:pt>
                <c:pt idx="176">
                  <c:v>215.46317721427675</c:v>
                </c:pt>
                <c:pt idx="177">
                  <c:v>217.00155574946834</c:v>
                </c:pt>
                <c:pt idx="178">
                  <c:v>218.54030573211284</c:v>
                </c:pt>
                <c:pt idx="179">
                  <c:v>220.07941740418823</c:v>
                </c:pt>
                <c:pt idx="180">
                  <c:v>221.61888126401814</c:v>
                </c:pt>
                <c:pt idx="181">
                  <c:v>223.15868805953781</c:v>
                </c:pt>
                <c:pt idx="182">
                  <c:v>224.69882878173661</c:v>
                </c:pt>
                <c:pt idx="183">
                  <c:v>226.23929465827297</c:v>
                </c:pt>
                <c:pt idx="184">
                  <c:v>227.78007714725717</c:v>
                </c:pt>
                <c:pt idx="185">
                  <c:v>229.32116793119704</c:v>
                </c:pt>
                <c:pt idx="186">
                  <c:v>230.86255891110306</c:v>
                </c:pt>
                <c:pt idx="187">
                  <c:v>232.40424220074851</c:v>
                </c:pt>
                <c:pt idx="188">
                  <c:v>233.94621012107967</c:v>
                </c:pt>
                <c:pt idx="189">
                  <c:v>235.48845519477379</c:v>
                </c:pt>
                <c:pt idx="190">
                  <c:v>237.03097014093922</c:v>
                </c:pt>
                <c:pt idx="191">
                  <c:v>238.57374786995527</c:v>
                </c:pt>
                <c:pt idx="192">
                  <c:v>240.11678147844748</c:v>
                </c:pt>
                <c:pt idx="193">
                  <c:v>241.66006424439479</c:v>
                </c:pt>
                <c:pt idx="194">
                  <c:v>243.20358962236543</c:v>
                </c:pt>
                <c:pt idx="195">
                  <c:v>244.74735123887788</c:v>
                </c:pt>
                <c:pt idx="196">
                  <c:v>246.29134288788367</c:v>
                </c:pt>
                <c:pt idx="197">
                  <c:v>247.83555852636874</c:v>
                </c:pt>
                <c:pt idx="198">
                  <c:v>249.37999227007063</c:v>
                </c:pt>
                <c:pt idx="199">
                  <c:v>250.92463838930809</c:v>
                </c:pt>
                <c:pt idx="200">
                  <c:v>252.46949130492001</c:v>
                </c:pt>
                <c:pt idx="201">
                  <c:v>254.01454558431135</c:v>
                </c:pt>
                <c:pt idx="202">
                  <c:v>255.55979593760276</c:v>
                </c:pt>
                <c:pt idx="203">
                  <c:v>257.10523721388131</c:v>
                </c:pt>
                <c:pt idx="204">
                  <c:v>258.65086439755015</c:v>
                </c:pt>
                <c:pt idx="205">
                  <c:v>260.19667260477325</c:v>
                </c:pt>
                <c:pt idx="206">
                  <c:v>261.74265708001434</c:v>
                </c:pt>
                <c:pt idx="207">
                  <c:v>263.28881319266628</c:v>
                </c:pt>
                <c:pt idx="208">
                  <c:v>264.83513643376915</c:v>
                </c:pt>
                <c:pt idx="209">
                  <c:v>266.38162241281481</c:v>
                </c:pt>
                <c:pt idx="210">
                  <c:v>267.92826685463461</c:v>
                </c:pt>
                <c:pt idx="211">
                  <c:v>269.47506559637009</c:v>
                </c:pt>
                <c:pt idx="212">
                  <c:v>271.0220145845218</c:v>
                </c:pt>
                <c:pt idx="213">
                  <c:v>272.56910987207687</c:v>
                </c:pt>
                <c:pt idx="214">
                  <c:v>274.11634761571173</c:v>
                </c:pt>
                <c:pt idx="215">
                  <c:v>275.66372407306761</c:v>
                </c:pt>
                <c:pt idx="216">
                  <c:v>277.21123560009875</c:v>
                </c:pt>
                <c:pt idx="217">
                  <c:v>278.75887864848931</c:v>
                </c:pt>
                <c:pt idx="218">
                  <c:v>280.30664976313858</c:v>
                </c:pt>
                <c:pt idx="219">
                  <c:v>281.85454557971235</c:v>
                </c:pt>
                <c:pt idx="220">
                  <c:v>283.40256282225835</c:v>
                </c:pt>
                <c:pt idx="221">
                  <c:v>284.95069830088437</c:v>
                </c:pt>
                <c:pt idx="222">
                  <c:v>286.49894890949747</c:v>
                </c:pt>
                <c:pt idx="223">
                  <c:v>288.04731162360287</c:v>
                </c:pt>
                <c:pt idx="224">
                  <c:v>289.59578349815968</c:v>
                </c:pt>
                <c:pt idx="225">
                  <c:v>291.14436166549422</c:v>
                </c:pt>
                <c:pt idx="226">
                  <c:v>292.69304333326733</c:v>
                </c:pt>
                <c:pt idx="227">
                  <c:v>294.24182578249525</c:v>
                </c:pt>
                <c:pt idx="228">
                  <c:v>295.79070636562284</c:v>
                </c:pt>
                <c:pt idx="229">
                  <c:v>297.3396825046467</c:v>
                </c:pt>
                <c:pt idx="230">
                  <c:v>298.88875168928831</c:v>
                </c:pt>
                <c:pt idx="231">
                  <c:v>300.43791147521489</c:v>
                </c:pt>
                <c:pt idx="232">
                  <c:v>301.98715948230694</c:v>
                </c:pt>
                <c:pt idx="233">
                  <c:v>303.53649339297124</c:v>
                </c:pt>
                <c:pt idx="234">
                  <c:v>305.08591095049843</c:v>
                </c:pt>
                <c:pt idx="235">
                  <c:v>306.63540995746337</c:v>
                </c:pt>
                <c:pt idx="236">
                  <c:v>308.18498827416806</c:v>
                </c:pt>
                <c:pt idx="237">
                  <c:v>309.73464381712472</c:v>
                </c:pt>
                <c:pt idx="238">
                  <c:v>311.2843745575795</c:v>
                </c:pt>
                <c:pt idx="239">
                  <c:v>312.83417852007432</c:v>
                </c:pt>
                <c:pt idx="240">
                  <c:v>314.38405378104704</c:v>
                </c:pt>
                <c:pt idx="241">
                  <c:v>315.93399846746786</c:v>
                </c:pt>
                <c:pt idx="242">
                  <c:v>317.48401075551203</c:v>
                </c:pt>
                <c:pt idx="243">
                  <c:v>319.03408886926724</c:v>
                </c:pt>
                <c:pt idx="244">
                  <c:v>320.58423107947465</c:v>
                </c:pt>
                <c:pt idx="245">
                  <c:v>322.13443570230379</c:v>
                </c:pt>
                <c:pt idx="246">
                  <c:v>323.68470109815848</c:v>
                </c:pt>
                <c:pt idx="247">
                  <c:v>325.2350256705156</c:v>
                </c:pt>
                <c:pt idx="248">
                  <c:v>326.78540786479266</c:v>
                </c:pt>
                <c:pt idx="249">
                  <c:v>328.33584616724704</c:v>
                </c:pt>
                <c:pt idx="250">
                  <c:v>329.88633910390189</c:v>
                </c:pt>
                <c:pt idx="251">
                  <c:v>331.43688523950249</c:v>
                </c:pt>
                <c:pt idx="252">
                  <c:v>332.98748317649864</c:v>
                </c:pt>
                <c:pt idx="253">
                  <c:v>334.53813155405402</c:v>
                </c:pt>
                <c:pt idx="254">
                  <c:v>336.0888290470819</c:v>
                </c:pt>
                <c:pt idx="255">
                  <c:v>337.63957436530586</c:v>
                </c:pt>
                <c:pt idx="256">
                  <c:v>339.19036625234565</c:v>
                </c:pt>
                <c:pt idx="257">
                  <c:v>340.74120348482603</c:v>
                </c:pt>
                <c:pt idx="258">
                  <c:v>342.29208487151044</c:v>
                </c:pt>
                <c:pt idx="259">
                  <c:v>343.8430092524564</c:v>
                </c:pt>
                <c:pt idx="260">
                  <c:v>345.3939754981933</c:v>
                </c:pt>
                <c:pt idx="261">
                  <c:v>346.94498250892212</c:v>
                </c:pt>
                <c:pt idx="262">
                  <c:v>348.49602921373588</c:v>
                </c:pt>
                <c:pt idx="263">
                  <c:v>350.04711456986036</c:v>
                </c:pt>
                <c:pt idx="264">
                  <c:v>351.59823756191565</c:v>
                </c:pt>
                <c:pt idx="265">
                  <c:v>353.14939720119594</c:v>
                </c:pt>
                <c:pt idx="266">
                  <c:v>354.70059252496907</c:v>
                </c:pt>
                <c:pt idx="267">
                  <c:v>356.25182259579384</c:v>
                </c:pt>
                <c:pt idx="268">
                  <c:v>357.80308650085618</c:v>
                </c:pt>
                <c:pt idx="269">
                  <c:v>359.35438335132193</c:v>
                </c:pt>
                <c:pt idx="270">
                  <c:v>360.90571228170649</c:v>
                </c:pt>
                <c:pt idx="271">
                  <c:v>362.45707244926206</c:v>
                </c:pt>
                <c:pt idx="272">
                  <c:v>364.00846303338</c:v>
                </c:pt>
                <c:pt idx="273">
                  <c:v>365.55988323500912</c:v>
                </c:pt>
                <c:pt idx="274">
                  <c:v>367.11133227608963</c:v>
                </c:pt>
                <c:pt idx="275">
                  <c:v>368.66280939900167</c:v>
                </c:pt>
                <c:pt idx="276">
                  <c:v>370.21431386602814</c:v>
                </c:pt>
                <c:pt idx="277">
                  <c:v>371.76584495883191</c:v>
                </c:pt>
                <c:pt idx="278">
                  <c:v>373.31740197794682</c:v>
                </c:pt>
                <c:pt idx="279">
                  <c:v>374.8689842422819</c:v>
                </c:pt>
                <c:pt idx="280">
                  <c:v>376.42059108863867</c:v>
                </c:pt>
                <c:pt idx="281">
                  <c:v>377.97222187124078</c:v>
                </c:pt>
                <c:pt idx="282">
                  <c:v>379.52387596127687</c:v>
                </c:pt>
                <c:pt idx="283">
                  <c:v>381.0755527464546</c:v>
                </c:pt>
                <c:pt idx="284">
                  <c:v>382.62725163056655</c:v>
                </c:pt>
                <c:pt idx="285">
                  <c:v>384.17897203306791</c:v>
                </c:pt>
                <c:pt idx="286">
                  <c:v>385.73071338866509</c:v>
                </c:pt>
                <c:pt idx="287">
                  <c:v>387.28247514691458</c:v>
                </c:pt>
                <c:pt idx="288">
                  <c:v>388.83425677183334</c:v>
                </c:pt>
                <c:pt idx="289">
                  <c:v>390.38605774151898</c:v>
                </c:pt>
                <c:pt idx="290">
                  <c:v>391.93787754777912</c:v>
                </c:pt>
                <c:pt idx="291">
                  <c:v>393.48971569577213</c:v>
                </c:pt>
                <c:pt idx="292">
                  <c:v>395.04157170365585</c:v>
                </c:pt>
                <c:pt idx="293">
                  <c:v>396.59344510224645</c:v>
                </c:pt>
                <c:pt idx="294">
                  <c:v>398.14533543468508</c:v>
                </c:pt>
                <c:pt idx="295">
                  <c:v>399.69724225611543</c:v>
                </c:pt>
                <c:pt idx="296">
                  <c:v>401.24916513336734</c:v>
                </c:pt>
                <c:pt idx="297">
                  <c:v>402.80110364465014</c:v>
                </c:pt>
                <c:pt idx="298">
                  <c:v>404.35305737925358</c:v>
                </c:pt>
                <c:pt idx="299">
                  <c:v>405.90502593725716</c:v>
                </c:pt>
                <c:pt idx="300">
                  <c:v>407.45700892924629</c:v>
                </c:pt>
                <c:pt idx="301">
                  <c:v>409.00900597603624</c:v>
                </c:pt>
                <c:pt idx="302">
                  <c:v>410.56101670840383</c:v>
                </c:pt>
                <c:pt idx="303">
                  <c:v>412.11304076682541</c:v>
                </c:pt>
                <c:pt idx="304">
                  <c:v>413.66507780122186</c:v>
                </c:pt>
                <c:pt idx="305">
                  <c:v>415.21712747071098</c:v>
                </c:pt>
                <c:pt idx="306">
                  <c:v>416.76918944336575</c:v>
                </c:pt>
                <c:pt idx="307">
                  <c:v>418.32126339597846</c:v>
                </c:pt>
                <c:pt idx="308">
                  <c:v>419.87334901383258</c:v>
                </c:pt>
                <c:pt idx="309">
                  <c:v>421.42544599047926</c:v>
                </c:pt>
                <c:pt idx="310">
                  <c:v>422.97755402752</c:v>
                </c:pt>
                <c:pt idx="311">
                  <c:v>424.52967283439529</c:v>
                </c:pt>
                <c:pt idx="312">
                  <c:v>426.08180212817877</c:v>
                </c:pt>
                <c:pt idx="313">
                  <c:v>427.63394163337671</c:v>
                </c:pt>
                <c:pt idx="314">
                  <c:v>429.18609108173234</c:v>
                </c:pt>
                <c:pt idx="315">
                  <c:v>430.73825021203652</c:v>
                </c:pt>
                <c:pt idx="316">
                  <c:v>432.29041876994182</c:v>
                </c:pt>
                <c:pt idx="317">
                  <c:v>433.84259650778273</c:v>
                </c:pt>
                <c:pt idx="318">
                  <c:v>435.39478318439978</c:v>
                </c:pt>
                <c:pt idx="319">
                  <c:v>436.94697856496913</c:v>
                </c:pt>
                <c:pt idx="320">
                  <c:v>438.49918242083578</c:v>
                </c:pt>
                <c:pt idx="321">
                  <c:v>440.05139452935117</c:v>
                </c:pt>
                <c:pt idx="322">
                  <c:v>441.60361467371609</c:v>
                </c:pt>
                <c:pt idx="323">
                  <c:v>443.15584264282694</c:v>
                </c:pt>
                <c:pt idx="324">
                  <c:v>444.70807823112528</c:v>
                </c:pt>
                <c:pt idx="325">
                  <c:v>446.26032123845317</c:v>
                </c:pt>
                <c:pt idx="326">
                  <c:v>447.81257146991072</c:v>
                </c:pt>
                <c:pt idx="327">
                  <c:v>449.36482873571833</c:v>
                </c:pt>
                <c:pt idx="328">
                  <c:v>450.91709285108158</c:v>
                </c:pt>
                <c:pt idx="329">
                  <c:v>452.46936363606079</c:v>
                </c:pt>
                <c:pt idx="330">
                  <c:v>454.02164091544364</c:v>
                </c:pt>
                <c:pt idx="331">
                  <c:v>455.57392451862029</c:v>
                </c:pt>
                <c:pt idx="332">
                  <c:v>457.12621427946289</c:v>
                </c:pt>
                <c:pt idx="333">
                  <c:v>458.67851003620825</c:v>
                </c:pt>
                <c:pt idx="334">
                  <c:v>460.23081163134214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A0-4A69-B565-46AEC6FF082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  <c:pt idx="156">
                  <c:v>5.1479999999999997</c:v>
                </c:pt>
                <c:pt idx="157">
                  <c:v>5.181</c:v>
                </c:pt>
                <c:pt idx="158">
                  <c:v>5.2140000000000004</c:v>
                </c:pt>
                <c:pt idx="159">
                  <c:v>5.2469999999999999</c:v>
                </c:pt>
                <c:pt idx="160">
                  <c:v>5.28</c:v>
                </c:pt>
                <c:pt idx="161">
                  <c:v>5.3129999999999997</c:v>
                </c:pt>
                <c:pt idx="162">
                  <c:v>5.3460000000000001</c:v>
                </c:pt>
                <c:pt idx="163">
                  <c:v>5.3789999999999996</c:v>
                </c:pt>
                <c:pt idx="164">
                  <c:v>5.4119999999999999</c:v>
                </c:pt>
                <c:pt idx="165">
                  <c:v>5.4450000000000003</c:v>
                </c:pt>
                <c:pt idx="166">
                  <c:v>5.4779999999999998</c:v>
                </c:pt>
                <c:pt idx="167">
                  <c:v>5.5110000000000001</c:v>
                </c:pt>
                <c:pt idx="168">
                  <c:v>5.5439999999999996</c:v>
                </c:pt>
                <c:pt idx="169">
                  <c:v>5.577</c:v>
                </c:pt>
                <c:pt idx="170">
                  <c:v>5.61</c:v>
                </c:pt>
                <c:pt idx="171">
                  <c:v>5.6429999999999998</c:v>
                </c:pt>
                <c:pt idx="172">
                  <c:v>5.6760000000000002</c:v>
                </c:pt>
                <c:pt idx="173">
                  <c:v>5.7089999999999996</c:v>
                </c:pt>
                <c:pt idx="174">
                  <c:v>5.742</c:v>
                </c:pt>
                <c:pt idx="175">
                  <c:v>5.7750000000000004</c:v>
                </c:pt>
                <c:pt idx="176">
                  <c:v>5.8079999999999998</c:v>
                </c:pt>
                <c:pt idx="177">
                  <c:v>5.8410000000000002</c:v>
                </c:pt>
                <c:pt idx="178">
                  <c:v>5.8739999999999997</c:v>
                </c:pt>
                <c:pt idx="179">
                  <c:v>5.907</c:v>
                </c:pt>
                <c:pt idx="180">
                  <c:v>5.94</c:v>
                </c:pt>
                <c:pt idx="181">
                  <c:v>5.9729999999999999</c:v>
                </c:pt>
                <c:pt idx="182">
                  <c:v>6.0060000000000002</c:v>
                </c:pt>
                <c:pt idx="183">
                  <c:v>6.0389999999999997</c:v>
                </c:pt>
                <c:pt idx="184">
                  <c:v>6.0720000000000001</c:v>
                </c:pt>
                <c:pt idx="185">
                  <c:v>6.1050000000000004</c:v>
                </c:pt>
                <c:pt idx="186">
                  <c:v>6.1379999999999999</c:v>
                </c:pt>
                <c:pt idx="187">
                  <c:v>6.1710000000000003</c:v>
                </c:pt>
                <c:pt idx="188">
                  <c:v>6.2039999999999997</c:v>
                </c:pt>
                <c:pt idx="189">
                  <c:v>6.2370000000000001</c:v>
                </c:pt>
                <c:pt idx="190">
                  <c:v>6.27</c:v>
                </c:pt>
                <c:pt idx="191">
                  <c:v>6.3029999999999999</c:v>
                </c:pt>
                <c:pt idx="192">
                  <c:v>6.3360000000000003</c:v>
                </c:pt>
                <c:pt idx="193">
                  <c:v>6.3689999999999998</c:v>
                </c:pt>
                <c:pt idx="194">
                  <c:v>6.4020000000000001</c:v>
                </c:pt>
                <c:pt idx="195">
                  <c:v>6.4349999999999996</c:v>
                </c:pt>
                <c:pt idx="196">
                  <c:v>6.468</c:v>
                </c:pt>
                <c:pt idx="197">
                  <c:v>6.5010000000000003</c:v>
                </c:pt>
                <c:pt idx="198">
                  <c:v>6.5339999999999998</c:v>
                </c:pt>
                <c:pt idx="199">
                  <c:v>6.5670000000000002</c:v>
                </c:pt>
                <c:pt idx="200">
                  <c:v>6.6</c:v>
                </c:pt>
                <c:pt idx="201">
                  <c:v>6.633</c:v>
                </c:pt>
                <c:pt idx="202">
                  <c:v>6.6660000000000004</c:v>
                </c:pt>
                <c:pt idx="203">
                  <c:v>6.6989999999999998</c:v>
                </c:pt>
                <c:pt idx="204">
                  <c:v>6.7320000000000002</c:v>
                </c:pt>
                <c:pt idx="205">
                  <c:v>6.7649999999999997</c:v>
                </c:pt>
                <c:pt idx="206">
                  <c:v>6.798</c:v>
                </c:pt>
                <c:pt idx="207">
                  <c:v>6.8310000000000004</c:v>
                </c:pt>
                <c:pt idx="208">
                  <c:v>6.8639999999999999</c:v>
                </c:pt>
                <c:pt idx="209">
                  <c:v>6.8970000000000002</c:v>
                </c:pt>
                <c:pt idx="210">
                  <c:v>6.93</c:v>
                </c:pt>
                <c:pt idx="211">
                  <c:v>6.9630000000000001</c:v>
                </c:pt>
                <c:pt idx="212">
                  <c:v>6.9960000000000004</c:v>
                </c:pt>
                <c:pt idx="213">
                  <c:v>7.0289999999999999</c:v>
                </c:pt>
                <c:pt idx="214">
                  <c:v>7.0620000000000003</c:v>
                </c:pt>
                <c:pt idx="215">
                  <c:v>7.0949999999999998</c:v>
                </c:pt>
                <c:pt idx="216">
                  <c:v>7.1280000000000001</c:v>
                </c:pt>
                <c:pt idx="217">
                  <c:v>7.1609999999999996</c:v>
                </c:pt>
                <c:pt idx="218">
                  <c:v>7.194</c:v>
                </c:pt>
                <c:pt idx="219">
                  <c:v>7.2270000000000003</c:v>
                </c:pt>
                <c:pt idx="220">
                  <c:v>7.26</c:v>
                </c:pt>
                <c:pt idx="221">
                  <c:v>7.2930000000000001</c:v>
                </c:pt>
                <c:pt idx="222">
                  <c:v>7.3259999999999996</c:v>
                </c:pt>
                <c:pt idx="223">
                  <c:v>7.359</c:v>
                </c:pt>
                <c:pt idx="224">
                  <c:v>7.3920000000000003</c:v>
                </c:pt>
                <c:pt idx="225">
                  <c:v>7.4249999999999998</c:v>
                </c:pt>
                <c:pt idx="226">
                  <c:v>7.4580000000000002</c:v>
                </c:pt>
                <c:pt idx="227">
                  <c:v>7.4909999999999997</c:v>
                </c:pt>
                <c:pt idx="228">
                  <c:v>7.524</c:v>
                </c:pt>
                <c:pt idx="229">
                  <c:v>7.5570000000000004</c:v>
                </c:pt>
                <c:pt idx="230">
                  <c:v>7.59</c:v>
                </c:pt>
                <c:pt idx="231">
                  <c:v>7.6230000000000002</c:v>
                </c:pt>
                <c:pt idx="232">
                  <c:v>7.6559999999999997</c:v>
                </c:pt>
                <c:pt idx="233">
                  <c:v>7.6890000000000001</c:v>
                </c:pt>
                <c:pt idx="234">
                  <c:v>7.7220000000000004</c:v>
                </c:pt>
                <c:pt idx="235">
                  <c:v>7.7549999999999999</c:v>
                </c:pt>
                <c:pt idx="236">
                  <c:v>7.7880000000000003</c:v>
                </c:pt>
                <c:pt idx="237">
                  <c:v>7.8209999999999997</c:v>
                </c:pt>
                <c:pt idx="238">
                  <c:v>7.8540000000000001</c:v>
                </c:pt>
                <c:pt idx="239">
                  <c:v>7.8869999999999996</c:v>
                </c:pt>
                <c:pt idx="240">
                  <c:v>7.92</c:v>
                </c:pt>
                <c:pt idx="241">
                  <c:v>7.9530000000000003</c:v>
                </c:pt>
                <c:pt idx="242">
                  <c:v>7.9859999999999998</c:v>
                </c:pt>
                <c:pt idx="243">
                  <c:v>8.0190000000000001</c:v>
                </c:pt>
                <c:pt idx="244">
                  <c:v>8.0519999999999996</c:v>
                </c:pt>
                <c:pt idx="245">
                  <c:v>8.0850000000000009</c:v>
                </c:pt>
                <c:pt idx="246">
                  <c:v>8.1180000000000003</c:v>
                </c:pt>
                <c:pt idx="247">
                  <c:v>8.1509999999999998</c:v>
                </c:pt>
                <c:pt idx="248">
                  <c:v>8.1839999999999993</c:v>
                </c:pt>
                <c:pt idx="249">
                  <c:v>8.2170000000000005</c:v>
                </c:pt>
                <c:pt idx="250">
                  <c:v>8.25</c:v>
                </c:pt>
                <c:pt idx="251">
                  <c:v>8.2829999999999995</c:v>
                </c:pt>
                <c:pt idx="252">
                  <c:v>8.3160000000000007</c:v>
                </c:pt>
                <c:pt idx="253">
                  <c:v>8.3490000000000002</c:v>
                </c:pt>
                <c:pt idx="254">
                  <c:v>8.3819999999999997</c:v>
                </c:pt>
                <c:pt idx="255">
                  <c:v>8.4149999999999991</c:v>
                </c:pt>
                <c:pt idx="256">
                  <c:v>8.4480000000000004</c:v>
                </c:pt>
                <c:pt idx="257">
                  <c:v>8.4809999999999999</c:v>
                </c:pt>
                <c:pt idx="258">
                  <c:v>8.5139999999999993</c:v>
                </c:pt>
                <c:pt idx="259">
                  <c:v>8.5470000000000006</c:v>
                </c:pt>
                <c:pt idx="260">
                  <c:v>8.58</c:v>
                </c:pt>
                <c:pt idx="261">
                  <c:v>8.6129999999999995</c:v>
                </c:pt>
                <c:pt idx="262">
                  <c:v>8.6460000000000008</c:v>
                </c:pt>
                <c:pt idx="263">
                  <c:v>8.6790000000000003</c:v>
                </c:pt>
                <c:pt idx="264">
                  <c:v>8.7119999999999997</c:v>
                </c:pt>
                <c:pt idx="265">
                  <c:v>8.7449999999999992</c:v>
                </c:pt>
                <c:pt idx="266">
                  <c:v>8.7780000000000005</c:v>
                </c:pt>
                <c:pt idx="267">
                  <c:v>8.8109999999999999</c:v>
                </c:pt>
                <c:pt idx="268">
                  <c:v>8.8439999999999994</c:v>
                </c:pt>
                <c:pt idx="269">
                  <c:v>8.8770000000000007</c:v>
                </c:pt>
                <c:pt idx="270">
                  <c:v>8.91</c:v>
                </c:pt>
                <c:pt idx="271">
                  <c:v>8.9429999999999996</c:v>
                </c:pt>
                <c:pt idx="272">
                  <c:v>8.9760000000000009</c:v>
                </c:pt>
                <c:pt idx="273">
                  <c:v>9.0090000000000003</c:v>
                </c:pt>
                <c:pt idx="274">
                  <c:v>9.0419999999999998</c:v>
                </c:pt>
                <c:pt idx="275">
                  <c:v>9.0749999999999993</c:v>
                </c:pt>
                <c:pt idx="276">
                  <c:v>9.1080000000000005</c:v>
                </c:pt>
                <c:pt idx="277">
                  <c:v>9.141</c:v>
                </c:pt>
                <c:pt idx="278">
                  <c:v>9.1739999999999995</c:v>
                </c:pt>
                <c:pt idx="279">
                  <c:v>9.2070000000000007</c:v>
                </c:pt>
                <c:pt idx="280">
                  <c:v>9.24</c:v>
                </c:pt>
                <c:pt idx="281">
                  <c:v>9.2729999999999997</c:v>
                </c:pt>
                <c:pt idx="282">
                  <c:v>9.3059999999999992</c:v>
                </c:pt>
                <c:pt idx="283">
                  <c:v>9.3390000000000004</c:v>
                </c:pt>
                <c:pt idx="284">
                  <c:v>9.3719999999999999</c:v>
                </c:pt>
                <c:pt idx="285">
                  <c:v>9.4049999999999994</c:v>
                </c:pt>
                <c:pt idx="286">
                  <c:v>9.4380000000000006</c:v>
                </c:pt>
                <c:pt idx="287">
                  <c:v>9.4710000000000001</c:v>
                </c:pt>
                <c:pt idx="288">
                  <c:v>9.5039999999999996</c:v>
                </c:pt>
                <c:pt idx="289">
                  <c:v>9.5370000000000008</c:v>
                </c:pt>
                <c:pt idx="290">
                  <c:v>9.57</c:v>
                </c:pt>
                <c:pt idx="291">
                  <c:v>9.6029999999999998</c:v>
                </c:pt>
                <c:pt idx="292">
                  <c:v>9.6359999999999992</c:v>
                </c:pt>
                <c:pt idx="293">
                  <c:v>9.6690000000000005</c:v>
                </c:pt>
                <c:pt idx="294">
                  <c:v>9.702</c:v>
                </c:pt>
                <c:pt idx="295">
                  <c:v>9.7349999999999994</c:v>
                </c:pt>
                <c:pt idx="296">
                  <c:v>9.7680000000000007</c:v>
                </c:pt>
                <c:pt idx="297">
                  <c:v>9.8010000000000002</c:v>
                </c:pt>
                <c:pt idx="298">
                  <c:v>9.8339999999999996</c:v>
                </c:pt>
                <c:pt idx="299">
                  <c:v>9.8670000000000009</c:v>
                </c:pt>
                <c:pt idx="300">
                  <c:v>9.9</c:v>
                </c:pt>
                <c:pt idx="301">
                  <c:v>9.9329999999999998</c:v>
                </c:pt>
                <c:pt idx="302">
                  <c:v>9.9659999999999993</c:v>
                </c:pt>
                <c:pt idx="303">
                  <c:v>9.9990000000000006</c:v>
                </c:pt>
                <c:pt idx="304">
                  <c:v>10.032</c:v>
                </c:pt>
                <c:pt idx="305">
                  <c:v>10.065</c:v>
                </c:pt>
                <c:pt idx="306">
                  <c:v>10.098000000000001</c:v>
                </c:pt>
                <c:pt idx="307">
                  <c:v>10.131</c:v>
                </c:pt>
                <c:pt idx="308">
                  <c:v>10.164</c:v>
                </c:pt>
                <c:pt idx="309">
                  <c:v>10.196999999999999</c:v>
                </c:pt>
                <c:pt idx="310">
                  <c:v>10.23</c:v>
                </c:pt>
                <c:pt idx="311">
                  <c:v>10.263</c:v>
                </c:pt>
                <c:pt idx="312">
                  <c:v>10.295999999999999</c:v>
                </c:pt>
                <c:pt idx="313">
                  <c:v>10.329000000000001</c:v>
                </c:pt>
                <c:pt idx="314">
                  <c:v>10.362</c:v>
                </c:pt>
                <c:pt idx="315">
                  <c:v>10.395</c:v>
                </c:pt>
                <c:pt idx="316">
                  <c:v>10.428000000000001</c:v>
                </c:pt>
                <c:pt idx="317">
                  <c:v>10.461</c:v>
                </c:pt>
                <c:pt idx="318">
                  <c:v>10.494</c:v>
                </c:pt>
                <c:pt idx="319">
                  <c:v>10.526999999999999</c:v>
                </c:pt>
                <c:pt idx="320">
                  <c:v>10.56</c:v>
                </c:pt>
                <c:pt idx="321">
                  <c:v>10.593</c:v>
                </c:pt>
                <c:pt idx="322">
                  <c:v>10.625999999999999</c:v>
                </c:pt>
                <c:pt idx="323">
                  <c:v>10.659000000000001</c:v>
                </c:pt>
                <c:pt idx="324">
                  <c:v>10.692</c:v>
                </c:pt>
                <c:pt idx="325">
                  <c:v>10.725</c:v>
                </c:pt>
                <c:pt idx="326">
                  <c:v>10.757999999999999</c:v>
                </c:pt>
                <c:pt idx="327">
                  <c:v>10.791</c:v>
                </c:pt>
                <c:pt idx="328">
                  <c:v>10.824</c:v>
                </c:pt>
                <c:pt idx="329">
                  <c:v>10.856999999999999</c:v>
                </c:pt>
                <c:pt idx="330">
                  <c:v>10.89</c:v>
                </c:pt>
                <c:pt idx="331">
                  <c:v>10.923</c:v>
                </c:pt>
                <c:pt idx="332">
                  <c:v>10.956</c:v>
                </c:pt>
                <c:pt idx="333">
                  <c:v>10.989000000000001</c:v>
                </c:pt>
                <c:pt idx="334">
                  <c:v>11.022</c:v>
                </c:pt>
              </c:numCache>
            </c:numRef>
          </c:xVal>
          <c:yVal>
            <c:numRef>
              <c:f>Rekap!$Z$2:$Z$336</c:f>
              <c:numCache>
                <c:formatCode>General</c:formatCode>
                <c:ptCount val="335"/>
                <c:pt idx="0">
                  <c:v>0</c:v>
                </c:pt>
                <c:pt idx="1">
                  <c:v>4.0966013180180429E-2</c:v>
                </c:pt>
                <c:pt idx="2">
                  <c:v>0.16242594941351568</c:v>
                </c:pt>
                <c:pt idx="3">
                  <c:v>0.36226521220691982</c:v>
                </c:pt>
                <c:pt idx="4">
                  <c:v>0.63842475607249927</c:v>
                </c:pt>
                <c:pt idx="5">
                  <c:v>0.98889962718790203</c:v>
                </c:pt>
                <c:pt idx="6">
                  <c:v>1.4117375423940839</c:v>
                </c:pt>
                <c:pt idx="7">
                  <c:v>1.9050375055232567</c:v>
                </c:pt>
                <c:pt idx="8">
                  <c:v>2.4669484600759861</c:v>
                </c:pt>
                <c:pt idx="9">
                  <c:v>3.0956679772931586</c:v>
                </c:pt>
                <c:pt idx="10">
                  <c:v>3.7894409786923933</c:v>
                </c:pt>
                <c:pt idx="11">
                  <c:v>4.5465584921638218</c:v>
                </c:pt>
                <c:pt idx="12">
                  <c:v>5.3653564407436543</c:v>
                </c:pt>
                <c:pt idx="13">
                  <c:v>6.2442144632068244</c:v>
                </c:pt>
                <c:pt idx="14">
                  <c:v>7.1815547656430869</c:v>
                </c:pt>
                <c:pt idx="15">
                  <c:v>8.1758410032025317</c:v>
                </c:pt>
                <c:pt idx="16">
                  <c:v>9.2255771912177753</c:v>
                </c:pt>
                <c:pt idx="17">
                  <c:v>10.329306644931462</c:v>
                </c:pt>
                <c:pt idx="18">
                  <c:v>11.485610947077266</c:v>
                </c:pt>
                <c:pt idx="19">
                  <c:v>12.693108942582885</c:v>
                </c:pt>
                <c:pt idx="20">
                  <c:v>13.950455759682367</c:v>
                </c:pt>
                <c:pt idx="21">
                  <c:v>15.256341856744207</c:v>
                </c:pt>
                <c:pt idx="22">
                  <c:v>16.609492094139338</c:v>
                </c:pt>
                <c:pt idx="23">
                  <c:v>18.008664830491607</c:v>
                </c:pt>
                <c:pt idx="24">
                  <c:v>19.452651042669778</c:v>
                </c:pt>
                <c:pt idx="25">
                  <c:v>20.940273468897701</c:v>
                </c:pt>
                <c:pt idx="26">
                  <c:v>22.47038577437522</c:v>
                </c:pt>
                <c:pt idx="27">
                  <c:v>24.041871738818326</c:v>
                </c:pt>
                <c:pt idx="28">
                  <c:v>25.653644465343</c:v>
                </c:pt>
                <c:pt idx="29">
                  <c:v>27.304645610131676</c:v>
                </c:pt>
                <c:pt idx="30">
                  <c:v>28.993844632336785</c:v>
                </c:pt>
                <c:pt idx="31">
                  <c:v>30.720238063689415</c:v>
                </c:pt>
                <c:pt idx="32">
                  <c:v>32.48284879729551</c:v>
                </c:pt>
                <c:pt idx="33">
                  <c:v>34.280725395115702</c:v>
                </c:pt>
                <c:pt idx="34">
                  <c:v>36.112941413637721</c:v>
                </c:pt>
                <c:pt idx="35">
                  <c:v>37.978594747263578</c:v>
                </c:pt>
                <c:pt idx="36">
                  <c:v>39.876806988946242</c:v>
                </c:pt>
                <c:pt idx="37">
                  <c:v>41.806722807622435</c:v>
                </c:pt>
                <c:pt idx="38">
                  <c:v>43.767509342000459</c:v>
                </c:pt>
                <c:pt idx="39">
                  <c:v>45.758355610273433</c:v>
                </c:pt>
                <c:pt idx="40">
                  <c:v>47.77847193533951</c:v>
                </c:pt>
                <c:pt idx="41">
                  <c:v>49.827089385121603</c:v>
                </c:pt>
                <c:pt idx="42">
                  <c:v>51.903459227590176</c:v>
                </c:pt>
                <c:pt idx="43">
                  <c:v>54.00685240010273</c:v>
                </c:pt>
                <c:pt idx="44">
                  <c:v>56.136558992683788</c:v>
                </c:pt>
                <c:pt idx="45">
                  <c:v>58.29188774487934</c:v>
                </c:pt>
                <c:pt idx="46">
                  <c:v>60.472165555828944</c:v>
                </c:pt>
                <c:pt idx="47">
                  <c:v>62.676737007208544</c:v>
                </c:pt>
                <c:pt idx="48">
                  <c:v>64.904963898705546</c:v>
                </c:pt>
                <c:pt idx="49">
                  <c:v>67.156224795697113</c:v>
                </c:pt>
                <c:pt idx="50">
                  <c:v>69.429914588811073</c:v>
                </c:pt>
                <c:pt idx="51">
                  <c:v>71.725444065057459</c:v>
                </c:pt>
                <c:pt idx="52">
                  <c:v>74.042239490226109</c:v>
                </c:pt>
                <c:pt idx="53">
                  <c:v>76.379742202255287</c:v>
                </c:pt>
                <c:pt idx="54">
                  <c:v>78.737408215282272</c:v>
                </c:pt>
                <c:pt idx="55">
                  <c:v>81.114707834095825</c:v>
                </c:pt>
                <c:pt idx="56">
                  <c:v>83.511125278716932</c:v>
                </c:pt>
                <c:pt idx="57">
                  <c:v>85.926158318842056</c:v>
                </c:pt>
                <c:pt idx="58">
                  <c:v>88.359317917889641</c:v>
                </c:pt>
                <c:pt idx="59">
                  <c:v>90.810127886397481</c:v>
                </c:pt>
                <c:pt idx="60">
                  <c:v>93.278124544525596</c:v>
                </c:pt>
                <c:pt idx="61">
                  <c:v>95.762856393425125</c:v>
                </c:pt>
                <c:pt idx="62">
                  <c:v>98.263883795240559</c:v>
                </c:pt>
                <c:pt idx="63">
                  <c:v>100.78077866151826</c:v>
                </c:pt>
                <c:pt idx="64">
                  <c:v>103.3131241498006</c:v>
                </c:pt>
                <c:pt idx="65">
                  <c:v>105.86051436819086</c:v>
                </c:pt>
                <c:pt idx="66">
                  <c:v>108.42255408767896</c:v>
                </c:pt>
                <c:pt idx="67">
                  <c:v>110.99885846202469</c:v>
                </c:pt>
                <c:pt idx="68">
                  <c:v>113.5890527549997</c:v>
                </c:pt>
                <c:pt idx="69">
                  <c:v>116.19277207479456</c:v>
                </c:pt>
                <c:pt idx="70">
                  <c:v>118.80966111540367</c:v>
                </c:pt>
                <c:pt idx="71">
                  <c:v>121.43937390480338</c:v>
                </c:pt>
                <c:pt idx="72">
                  <c:v>124.08157355974596</c:v>
                </c:pt>
                <c:pt idx="73">
                  <c:v>126.73593204699512</c:v>
                </c:pt>
                <c:pt idx="74">
                  <c:v>129.40212995083371</c:v>
                </c:pt>
                <c:pt idx="75">
                  <c:v>132.07985624667936</c:v>
                </c:pt>
                <c:pt idx="76">
                  <c:v>134.76880808064718</c:v>
                </c:pt>
                <c:pt idx="77">
                  <c:v>137.46869055490333</c:v>
                </c:pt>
                <c:pt idx="78">
                  <c:v>140.17921651865751</c:v>
                </c:pt>
                <c:pt idx="79">
                  <c:v>142.90010636464609</c:v>
                </c:pt>
                <c:pt idx="80">
                  <c:v>145.63108783096155</c:v>
                </c:pt>
                <c:pt idx="81">
                  <c:v>148.37189580808837</c:v>
                </c:pt>
                <c:pt idx="82">
                  <c:v>151.12227215100737</c:v>
                </c:pt>
                <c:pt idx="83">
                  <c:v>153.88196549623703</c:v>
                </c:pt>
                <c:pt idx="84">
                  <c:v>156.65073108368037</c:v>
                </c:pt>
                <c:pt idx="85">
                  <c:v>159.42833058315242</c:v>
                </c:pt>
                <c:pt idx="86">
                  <c:v>162.21453192546474</c:v>
                </c:pt>
                <c:pt idx="87">
                  <c:v>165.00910913794743</c:v>
                </c:pt>
                <c:pt idx="88">
                  <c:v>167.811842184292</c:v>
                </c:pt>
                <c:pt idx="89">
                  <c:v>170.62251680860146</c:v>
                </c:pt>
                <c:pt idx="90">
                  <c:v>173.44092438353761</c:v>
                </c:pt>
                <c:pt idx="91">
                  <c:v>176.26686176245704</c:v>
                </c:pt>
                <c:pt idx="92">
                  <c:v>179.10013113543212</c:v>
                </c:pt>
                <c:pt idx="93">
                  <c:v>181.94053988905395</c:v>
                </c:pt>
                <c:pt idx="94">
                  <c:v>184.78790046991841</c:v>
                </c:pt>
                <c:pt idx="95">
                  <c:v>187.6420302516986</c:v>
                </c:pt>
                <c:pt idx="96">
                  <c:v>190.50275140570912</c:v>
                </c:pt>
                <c:pt idx="97">
                  <c:v>193.36989077487087</c:v>
                </c:pt>
                <c:pt idx="98">
                  <c:v>196.24327975098663</c:v>
                </c:pt>
                <c:pt idx="99">
                  <c:v>199.12275415524087</c:v>
                </c:pt>
                <c:pt idx="100">
                  <c:v>202.00815412183852</c:v>
                </c:pt>
                <c:pt idx="101">
                  <c:v>204.89932398470123</c:v>
                </c:pt>
                <c:pt idx="102">
                  <c:v>207.79611216713897</c:v>
                </c:pt>
                <c:pt idx="103">
                  <c:v>210.69837107442135</c:v>
                </c:pt>
                <c:pt idx="104">
                  <c:v>213.60595698917047</c:v>
                </c:pt>
                <c:pt idx="105">
                  <c:v>216.51872996950138</c:v>
                </c:pt>
                <c:pt idx="106">
                  <c:v>219.43655374983945</c:v>
                </c:pt>
                <c:pt idx="107">
                  <c:v>222.35929564434232</c:v>
                </c:pt>
                <c:pt idx="108">
                  <c:v>225.28682645285951</c:v>
                </c:pt>
                <c:pt idx="109">
                  <c:v>228.2190203693626</c:v>
                </c:pt>
                <c:pt idx="110">
                  <c:v>231.15575489278032</c:v>
                </c:pt>
                <c:pt idx="111">
                  <c:v>234.09691074017704</c:v>
                </c:pt>
                <c:pt idx="112">
                  <c:v>237.04237176221088</c:v>
                </c:pt>
                <c:pt idx="113">
                  <c:v>239.99202486081364</c:v>
                </c:pt>
                <c:pt idx="114">
                  <c:v>242.9457599090334</c:v>
                </c:pt>
                <c:pt idx="115">
                  <c:v>245.90346967298177</c:v>
                </c:pt>
                <c:pt idx="116">
                  <c:v>248.86504973583311</c:v>
                </c:pt>
                <c:pt idx="117">
                  <c:v>251.83039842381902</c:v>
                </c:pt>
                <c:pt idx="118">
                  <c:v>254.79941673416766</c:v>
                </c:pt>
                <c:pt idx="119">
                  <c:v>257.77200826493618</c:v>
                </c:pt>
                <c:pt idx="120">
                  <c:v>260.74807914668582</c:v>
                </c:pt>
                <c:pt idx="121">
                  <c:v>263.72753797595294</c:v>
                </c:pt>
                <c:pt idx="122">
                  <c:v>266.71029575046657</c:v>
                </c:pt>
                <c:pt idx="123">
                  <c:v>269.69626580606905</c:v>
                </c:pt>
                <c:pt idx="124">
                  <c:v>272.68536375529266</c:v>
                </c:pt>
                <c:pt idx="125">
                  <c:v>275.67750742755078</c:v>
                </c:pt>
                <c:pt idx="126">
                  <c:v>278.67261681089957</c:v>
                </c:pt>
                <c:pt idx="127">
                  <c:v>281.67061399532997</c:v>
                </c:pt>
                <c:pt idx="128">
                  <c:v>284.67142311754947</c:v>
                </c:pt>
                <c:pt idx="129">
                  <c:v>287.67497030721393</c:v>
                </c:pt>
                <c:pt idx="130">
                  <c:v>290.68118363457273</c:v>
                </c:pt>
                <c:pt idx="131">
                  <c:v>293.68999305948864</c:v>
                </c:pt>
                <c:pt idx="132">
                  <c:v>296.70133038179705</c:v>
                </c:pt>
                <c:pt idx="133">
                  <c:v>299.71512919296998</c:v>
                </c:pt>
                <c:pt idx="134">
                  <c:v>302.73132482904845</c:v>
                </c:pt>
                <c:pt idx="135">
                  <c:v>305.74985432481304</c:v>
                </c:pt>
                <c:pt idx="136">
                  <c:v>308.77065636915705</c:v>
                </c:pt>
                <c:pt idx="137">
                  <c:v>311.79367126163237</c:v>
                </c:pt>
                <c:pt idx="138">
                  <c:v>314.81884087013782</c:v>
                </c:pt>
                <c:pt idx="139">
                  <c:v>317.8461085897174</c:v>
                </c:pt>
                <c:pt idx="140">
                  <c:v>320.87541930244254</c:v>
                </c:pt>
                <c:pt idx="141">
                  <c:v>323.90671933834665</c:v>
                </c:pt>
                <c:pt idx="142">
                  <c:v>326.93995643738759</c:v>
                </c:pt>
                <c:pt idx="143">
                  <c:v>329.97507971240827</c:v>
                </c:pt>
                <c:pt idx="144">
                  <c:v>333.01203961307027</c:v>
                </c:pt>
                <c:pt idx="145">
                  <c:v>336.05078789073599</c:v>
                </c:pt>
                <c:pt idx="146">
                  <c:v>339.09127756427176</c:v>
                </c:pt>
                <c:pt idx="147">
                  <c:v>342.13346288675103</c:v>
                </c:pt>
                <c:pt idx="148">
                  <c:v>345.1772993130308</c:v>
                </c:pt>
                <c:pt idx="149">
                  <c:v>348.22274346818062</c:v>
                </c:pt>
                <c:pt idx="150">
                  <c:v>351.26975311674119</c:v>
                </c:pt>
                <c:pt idx="151">
                  <c:v>354.31828713278924</c:v>
                </c:pt>
                <c:pt idx="152">
                  <c:v>357.36830547079092</c:v>
                </c:pt>
                <c:pt idx="153">
                  <c:v>360.41976913721874</c:v>
                </c:pt>
                <c:pt idx="154">
                  <c:v>363.47264016291524</c:v>
                </c:pt>
                <c:pt idx="155">
                  <c:v>366.5268815761832</c:v>
                </c:pt>
                <c:pt idx="156">
                  <c:v>369.58245737658109</c:v>
                </c:pt>
                <c:pt idx="157">
                  <c:v>372.63933250940886</c:v>
                </c:pt>
                <c:pt idx="158">
                  <c:v>375.6974728408623</c:v>
                </c:pt>
                <c:pt idx="159">
                  <c:v>378.7568451338413</c:v>
                </c:pt>
                <c:pt idx="160">
                  <c:v>381.81741702439319</c:v>
                </c:pt>
                <c:pt idx="161">
                  <c:v>384.87915699877465</c:v>
                </c:pt>
                <c:pt idx="162">
                  <c:v>387.94203437111702</c:v>
                </c:pt>
                <c:pt idx="163">
                  <c:v>391.00601926167695</c:v>
                </c:pt>
                <c:pt idx="164">
                  <c:v>394.07108257566028</c:v>
                </c:pt>
                <c:pt idx="165">
                  <c:v>397.13719598260047</c:v>
                </c:pt>
                <c:pt idx="166">
                  <c:v>400.20433189627983</c:v>
                </c:pt>
                <c:pt idx="167">
                  <c:v>403.27246345517779</c:v>
                </c:pt>
                <c:pt idx="168">
                  <c:v>406.34156450343306</c:v>
                </c:pt>
                <c:pt idx="169">
                  <c:v>409.41160957230585</c:v>
                </c:pt>
                <c:pt idx="170">
                  <c:v>412.48257386212646</c:v>
                </c:pt>
                <c:pt idx="171">
                  <c:v>415.55443322471928</c:v>
                </c:pt>
                <c:pt idx="172">
                  <c:v>418.62716414628773</c:v>
                </c:pt>
                <c:pt idx="173">
                  <c:v>421.7007437307484</c:v>
                </c:pt>
                <c:pt idx="174">
                  <c:v>424.77514968350459</c:v>
                </c:pt>
                <c:pt idx="175">
                  <c:v>427.85036029564412</c:v>
                </c:pt>
                <c:pt idx="176">
                  <c:v>430.92635442855351</c:v>
                </c:pt>
                <c:pt idx="177">
                  <c:v>434.00311149893668</c:v>
                </c:pt>
                <c:pt idx="178">
                  <c:v>437.08061146422568</c:v>
                </c:pt>
                <c:pt idx="179">
                  <c:v>440.15883480837647</c:v>
                </c:pt>
                <c:pt idx="180">
                  <c:v>443.23776252803628</c:v>
                </c:pt>
                <c:pt idx="181">
                  <c:v>446.31737611907562</c:v>
                </c:pt>
                <c:pt idx="182">
                  <c:v>449.39765756347322</c:v>
                </c:pt>
                <c:pt idx="183">
                  <c:v>452.47858931654594</c:v>
                </c:pt>
                <c:pt idx="184">
                  <c:v>455.56015429451435</c:v>
                </c:pt>
                <c:pt idx="185">
                  <c:v>458.64233586239408</c:v>
                </c:pt>
                <c:pt idx="186">
                  <c:v>461.72511782220613</c:v>
                </c:pt>
                <c:pt idx="187">
                  <c:v>464.80848440149703</c:v>
                </c:pt>
                <c:pt idx="188">
                  <c:v>467.89242024215935</c:v>
                </c:pt>
                <c:pt idx="189">
                  <c:v>470.97691038954758</c:v>
                </c:pt>
                <c:pt idx="190">
                  <c:v>474.06194028187844</c:v>
                </c:pt>
                <c:pt idx="191">
                  <c:v>477.14749573991054</c:v>
                </c:pt>
                <c:pt idx="192">
                  <c:v>480.23356295689496</c:v>
                </c:pt>
                <c:pt idx="193">
                  <c:v>483.32012848878958</c:v>
                </c:pt>
                <c:pt idx="194">
                  <c:v>486.40717924473086</c:v>
                </c:pt>
                <c:pt idx="195">
                  <c:v>489.49470247775577</c:v>
                </c:pt>
                <c:pt idx="196">
                  <c:v>492.58268577576735</c:v>
                </c:pt>
                <c:pt idx="197">
                  <c:v>495.67111705273749</c:v>
                </c:pt>
                <c:pt idx="198">
                  <c:v>498.75998454014126</c:v>
                </c:pt>
                <c:pt idx="199">
                  <c:v>501.84927677861617</c:v>
                </c:pt>
                <c:pt idx="200">
                  <c:v>504.93898260984002</c:v>
                </c:pt>
                <c:pt idx="201">
                  <c:v>508.0290911686227</c:v>
                </c:pt>
                <c:pt idx="202">
                  <c:v>511.11959187520551</c:v>
                </c:pt>
                <c:pt idx="203">
                  <c:v>514.21047442776262</c:v>
                </c:pt>
                <c:pt idx="204">
                  <c:v>517.3017287951003</c:v>
                </c:pt>
                <c:pt idx="205">
                  <c:v>520.39334520954651</c:v>
                </c:pt>
                <c:pt idx="206">
                  <c:v>523.48531416002868</c:v>
                </c:pt>
                <c:pt idx="207">
                  <c:v>526.57762638533256</c:v>
                </c:pt>
                <c:pt idx="208">
                  <c:v>529.6702728675383</c:v>
                </c:pt>
                <c:pt idx="209">
                  <c:v>532.76324482562961</c:v>
                </c:pt>
                <c:pt idx="210">
                  <c:v>535.85653370926923</c:v>
                </c:pt>
                <c:pt idx="211">
                  <c:v>538.95013119274017</c:v>
                </c:pt>
                <c:pt idx="212">
                  <c:v>542.0440291690436</c:v>
                </c:pt>
                <c:pt idx="213">
                  <c:v>545.13821974415373</c:v>
                </c:pt>
                <c:pt idx="214">
                  <c:v>548.23269523142346</c:v>
                </c:pt>
                <c:pt idx="215">
                  <c:v>551.32744814613523</c:v>
                </c:pt>
                <c:pt idx="216">
                  <c:v>554.42247120019749</c:v>
                </c:pt>
                <c:pt idx="217">
                  <c:v>557.51775729697863</c:v>
                </c:pt>
                <c:pt idx="218">
                  <c:v>560.61329952627716</c:v>
                </c:pt>
                <c:pt idx="219">
                  <c:v>563.7090911594247</c:v>
                </c:pt>
                <c:pt idx="220">
                  <c:v>566.80512564451669</c:v>
                </c:pt>
                <c:pt idx="221">
                  <c:v>569.90139660176874</c:v>
                </c:pt>
                <c:pt idx="222">
                  <c:v>572.99789781899494</c:v>
                </c:pt>
                <c:pt idx="223">
                  <c:v>576.09462324720573</c:v>
                </c:pt>
                <c:pt idx="224">
                  <c:v>579.19156699631935</c:v>
                </c:pt>
                <c:pt idx="225">
                  <c:v>582.28872333098843</c:v>
                </c:pt>
                <c:pt idx="226">
                  <c:v>585.38608666653465</c:v>
                </c:pt>
                <c:pt idx="227">
                  <c:v>588.48365156499051</c:v>
                </c:pt>
                <c:pt idx="228">
                  <c:v>591.58141273124568</c:v>
                </c:pt>
                <c:pt idx="229">
                  <c:v>594.67936500929341</c:v>
                </c:pt>
                <c:pt idx="230">
                  <c:v>597.77750337857663</c:v>
                </c:pt>
                <c:pt idx="231">
                  <c:v>600.87582295042978</c:v>
                </c:pt>
                <c:pt idx="232">
                  <c:v>603.97431896461387</c:v>
                </c:pt>
                <c:pt idx="233">
                  <c:v>607.07298678594248</c:v>
                </c:pt>
                <c:pt idx="234">
                  <c:v>610.17182190099686</c:v>
                </c:pt>
                <c:pt idx="235">
                  <c:v>613.27081991492673</c:v>
                </c:pt>
                <c:pt idx="236">
                  <c:v>616.36997654833613</c:v>
                </c:pt>
                <c:pt idx="237">
                  <c:v>619.46928763424944</c:v>
                </c:pt>
                <c:pt idx="238">
                  <c:v>622.56874911515899</c:v>
                </c:pt>
                <c:pt idx="239">
                  <c:v>625.66835704014863</c:v>
                </c:pt>
                <c:pt idx="240">
                  <c:v>628.76810756209409</c:v>
                </c:pt>
                <c:pt idx="241">
                  <c:v>631.86799693493572</c:v>
                </c:pt>
                <c:pt idx="242">
                  <c:v>634.96802151102406</c:v>
                </c:pt>
                <c:pt idx="243">
                  <c:v>638.06817773853447</c:v>
                </c:pt>
                <c:pt idx="244">
                  <c:v>641.1684621589493</c:v>
                </c:pt>
                <c:pt idx="245">
                  <c:v>644.26887140460758</c:v>
                </c:pt>
                <c:pt idx="246">
                  <c:v>647.36940219631697</c:v>
                </c:pt>
                <c:pt idx="247">
                  <c:v>650.47005134103119</c:v>
                </c:pt>
                <c:pt idx="248">
                  <c:v>653.57081572958532</c:v>
                </c:pt>
                <c:pt idx="249">
                  <c:v>656.67169233449408</c:v>
                </c:pt>
                <c:pt idx="250">
                  <c:v>659.77267820780378</c:v>
                </c:pt>
                <c:pt idx="251">
                  <c:v>662.87377047900497</c:v>
                </c:pt>
                <c:pt idx="252">
                  <c:v>665.97496635299728</c:v>
                </c:pt>
                <c:pt idx="253">
                  <c:v>669.07626310810804</c:v>
                </c:pt>
                <c:pt idx="254">
                  <c:v>672.1776580941638</c:v>
                </c:pt>
                <c:pt idx="255">
                  <c:v>675.27914873061172</c:v>
                </c:pt>
                <c:pt idx="256">
                  <c:v>678.38073250469131</c:v>
                </c:pt>
                <c:pt idx="257">
                  <c:v>681.48240696965206</c:v>
                </c:pt>
                <c:pt idx="258">
                  <c:v>684.58416974302088</c:v>
                </c:pt>
                <c:pt idx="259">
                  <c:v>687.68601850491279</c:v>
                </c:pt>
                <c:pt idx="260">
                  <c:v>690.7879509963866</c:v>
                </c:pt>
                <c:pt idx="261">
                  <c:v>693.88996501784425</c:v>
                </c:pt>
                <c:pt idx="262">
                  <c:v>696.99205842747176</c:v>
                </c:pt>
                <c:pt idx="263">
                  <c:v>700.09422913972071</c:v>
                </c:pt>
                <c:pt idx="264">
                  <c:v>703.19647512383131</c:v>
                </c:pt>
                <c:pt idx="265">
                  <c:v>706.29879440239188</c:v>
                </c:pt>
                <c:pt idx="266">
                  <c:v>709.40118504993814</c:v>
                </c:pt>
                <c:pt idx="267">
                  <c:v>712.50364519158768</c:v>
                </c:pt>
                <c:pt idx="268">
                  <c:v>715.60617300171236</c:v>
                </c:pt>
                <c:pt idx="269">
                  <c:v>718.70876670264386</c:v>
                </c:pt>
                <c:pt idx="270">
                  <c:v>721.81142456341297</c:v>
                </c:pt>
                <c:pt idx="271">
                  <c:v>724.91414489852411</c:v>
                </c:pt>
                <c:pt idx="272">
                  <c:v>728.01692606675999</c:v>
                </c:pt>
                <c:pt idx="273">
                  <c:v>731.11976647001825</c:v>
                </c:pt>
                <c:pt idx="274">
                  <c:v>734.22266455217925</c:v>
                </c:pt>
                <c:pt idx="275">
                  <c:v>737.32561879800335</c:v>
                </c:pt>
                <c:pt idx="276">
                  <c:v>740.42862773205627</c:v>
                </c:pt>
                <c:pt idx="277">
                  <c:v>743.53168991766381</c:v>
                </c:pt>
                <c:pt idx="278">
                  <c:v>746.63480395589363</c:v>
                </c:pt>
                <c:pt idx="279">
                  <c:v>749.73796848456379</c:v>
                </c:pt>
                <c:pt idx="280">
                  <c:v>752.84118217727735</c:v>
                </c:pt>
                <c:pt idx="281">
                  <c:v>755.94444374248155</c:v>
                </c:pt>
                <c:pt idx="282">
                  <c:v>759.04775192255374</c:v>
                </c:pt>
                <c:pt idx="283">
                  <c:v>762.15110549290921</c:v>
                </c:pt>
                <c:pt idx="284">
                  <c:v>765.2545032611331</c:v>
                </c:pt>
                <c:pt idx="285">
                  <c:v>768.35794406613581</c:v>
                </c:pt>
                <c:pt idx="286">
                  <c:v>771.46142677733019</c:v>
                </c:pt>
                <c:pt idx="287">
                  <c:v>774.56495029382916</c:v>
                </c:pt>
                <c:pt idx="288">
                  <c:v>777.66851354366668</c:v>
                </c:pt>
                <c:pt idx="289">
                  <c:v>780.77211548303796</c:v>
                </c:pt>
                <c:pt idx="290">
                  <c:v>783.87575509555825</c:v>
                </c:pt>
                <c:pt idx="291">
                  <c:v>786.97943139154427</c:v>
                </c:pt>
                <c:pt idx="292">
                  <c:v>790.0831434073117</c:v>
                </c:pt>
                <c:pt idx="293">
                  <c:v>793.1868902044929</c:v>
                </c:pt>
                <c:pt idx="294">
                  <c:v>796.29067086937016</c:v>
                </c:pt>
                <c:pt idx="295">
                  <c:v>799.39448451223086</c:v>
                </c:pt>
                <c:pt idx="296">
                  <c:v>802.49833026673468</c:v>
                </c:pt>
                <c:pt idx="297">
                  <c:v>805.60220728930028</c:v>
                </c:pt>
                <c:pt idx="298">
                  <c:v>808.70611475850717</c:v>
                </c:pt>
                <c:pt idx="299">
                  <c:v>811.81005187451433</c:v>
                </c:pt>
                <c:pt idx="300">
                  <c:v>814.91401785849257</c:v>
                </c:pt>
                <c:pt idx="301">
                  <c:v>818.01801195207247</c:v>
                </c:pt>
                <c:pt idx="302">
                  <c:v>821.12203341680765</c:v>
                </c:pt>
                <c:pt idx="303">
                  <c:v>824.22608153365081</c:v>
                </c:pt>
                <c:pt idx="304">
                  <c:v>827.33015560244371</c:v>
                </c:pt>
                <c:pt idx="305">
                  <c:v>830.43425494142195</c:v>
                </c:pt>
                <c:pt idx="306">
                  <c:v>833.53837888673149</c:v>
                </c:pt>
                <c:pt idx="307">
                  <c:v>836.64252679195693</c:v>
                </c:pt>
                <c:pt idx="308">
                  <c:v>839.74669802766516</c:v>
                </c:pt>
                <c:pt idx="309">
                  <c:v>842.85089198095852</c:v>
                </c:pt>
                <c:pt idx="310">
                  <c:v>845.95510805504</c:v>
                </c:pt>
                <c:pt idx="311">
                  <c:v>849.05934566879057</c:v>
                </c:pt>
                <c:pt idx="312">
                  <c:v>852.16360425635753</c:v>
                </c:pt>
                <c:pt idx="313">
                  <c:v>855.26788326675342</c:v>
                </c:pt>
                <c:pt idx="314">
                  <c:v>858.37218216346469</c:v>
                </c:pt>
                <c:pt idx="315">
                  <c:v>861.47650042407304</c:v>
                </c:pt>
                <c:pt idx="316">
                  <c:v>864.58083753988365</c:v>
                </c:pt>
                <c:pt idx="317">
                  <c:v>867.68519301556546</c:v>
                </c:pt>
                <c:pt idx="318">
                  <c:v>870.78956636879957</c:v>
                </c:pt>
                <c:pt idx="319">
                  <c:v>873.89395712993826</c:v>
                </c:pt>
                <c:pt idx="320">
                  <c:v>876.99836484167156</c:v>
                </c:pt>
                <c:pt idx="321">
                  <c:v>880.10278905870234</c:v>
                </c:pt>
                <c:pt idx="322">
                  <c:v>883.20722934743219</c:v>
                </c:pt>
                <c:pt idx="323">
                  <c:v>886.31168528565388</c:v>
                </c:pt>
                <c:pt idx="324">
                  <c:v>889.41615646225057</c:v>
                </c:pt>
                <c:pt idx="325">
                  <c:v>892.52064247690635</c:v>
                </c:pt>
                <c:pt idx="326">
                  <c:v>895.62514293982144</c:v>
                </c:pt>
                <c:pt idx="327">
                  <c:v>898.72965747143667</c:v>
                </c:pt>
                <c:pt idx="328">
                  <c:v>901.83418570216315</c:v>
                </c:pt>
                <c:pt idx="329">
                  <c:v>904.93872727212158</c:v>
                </c:pt>
                <c:pt idx="330">
                  <c:v>908.04328183088728</c:v>
                </c:pt>
                <c:pt idx="331">
                  <c:v>911.14784903724058</c:v>
                </c:pt>
                <c:pt idx="332">
                  <c:v>914.25242855892577</c:v>
                </c:pt>
                <c:pt idx="333">
                  <c:v>917.3570200724165</c:v>
                </c:pt>
                <c:pt idx="334">
                  <c:v>920.46162326268427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A0-4A69-B565-46AEC6FF082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  <c:pt idx="156">
                  <c:v>5.1479999999999997</c:v>
                </c:pt>
                <c:pt idx="157">
                  <c:v>5.181</c:v>
                </c:pt>
                <c:pt idx="158">
                  <c:v>5.2140000000000004</c:v>
                </c:pt>
                <c:pt idx="159">
                  <c:v>5.2469999999999999</c:v>
                </c:pt>
                <c:pt idx="160">
                  <c:v>5.28</c:v>
                </c:pt>
                <c:pt idx="161">
                  <c:v>5.3129999999999997</c:v>
                </c:pt>
                <c:pt idx="162">
                  <c:v>5.3460000000000001</c:v>
                </c:pt>
                <c:pt idx="163">
                  <c:v>5.3789999999999996</c:v>
                </c:pt>
                <c:pt idx="164">
                  <c:v>5.4119999999999999</c:v>
                </c:pt>
                <c:pt idx="165">
                  <c:v>5.4450000000000003</c:v>
                </c:pt>
                <c:pt idx="166">
                  <c:v>5.4779999999999998</c:v>
                </c:pt>
                <c:pt idx="167">
                  <c:v>5.5110000000000001</c:v>
                </c:pt>
                <c:pt idx="168">
                  <c:v>5.5439999999999996</c:v>
                </c:pt>
                <c:pt idx="169">
                  <c:v>5.577</c:v>
                </c:pt>
                <c:pt idx="170">
                  <c:v>5.61</c:v>
                </c:pt>
                <c:pt idx="171">
                  <c:v>5.6429999999999998</c:v>
                </c:pt>
                <c:pt idx="172">
                  <c:v>5.6760000000000002</c:v>
                </c:pt>
                <c:pt idx="173">
                  <c:v>5.7089999999999996</c:v>
                </c:pt>
                <c:pt idx="174">
                  <c:v>5.742</c:v>
                </c:pt>
                <c:pt idx="175">
                  <c:v>5.7750000000000004</c:v>
                </c:pt>
                <c:pt idx="176">
                  <c:v>5.8079999999999998</c:v>
                </c:pt>
                <c:pt idx="177">
                  <c:v>5.8410000000000002</c:v>
                </c:pt>
                <c:pt idx="178">
                  <c:v>5.8739999999999997</c:v>
                </c:pt>
                <c:pt idx="179">
                  <c:v>5.907</c:v>
                </c:pt>
                <c:pt idx="180">
                  <c:v>5.94</c:v>
                </c:pt>
                <c:pt idx="181">
                  <c:v>5.9729999999999999</c:v>
                </c:pt>
                <c:pt idx="182">
                  <c:v>6.0060000000000002</c:v>
                </c:pt>
                <c:pt idx="183">
                  <c:v>6.0389999999999997</c:v>
                </c:pt>
                <c:pt idx="184">
                  <c:v>6.0720000000000001</c:v>
                </c:pt>
                <c:pt idx="185">
                  <c:v>6.1050000000000004</c:v>
                </c:pt>
                <c:pt idx="186">
                  <c:v>6.1379999999999999</c:v>
                </c:pt>
                <c:pt idx="187">
                  <c:v>6.1710000000000003</c:v>
                </c:pt>
                <c:pt idx="188">
                  <c:v>6.2039999999999997</c:v>
                </c:pt>
                <c:pt idx="189">
                  <c:v>6.2370000000000001</c:v>
                </c:pt>
                <c:pt idx="190">
                  <c:v>6.27</c:v>
                </c:pt>
                <c:pt idx="191">
                  <c:v>6.3029999999999999</c:v>
                </c:pt>
                <c:pt idx="192">
                  <c:v>6.3360000000000003</c:v>
                </c:pt>
                <c:pt idx="193">
                  <c:v>6.3689999999999998</c:v>
                </c:pt>
                <c:pt idx="194">
                  <c:v>6.4020000000000001</c:v>
                </c:pt>
                <c:pt idx="195">
                  <c:v>6.4349999999999996</c:v>
                </c:pt>
                <c:pt idx="196">
                  <c:v>6.468</c:v>
                </c:pt>
                <c:pt idx="197">
                  <c:v>6.5010000000000003</c:v>
                </c:pt>
                <c:pt idx="198">
                  <c:v>6.5339999999999998</c:v>
                </c:pt>
                <c:pt idx="199">
                  <c:v>6.5670000000000002</c:v>
                </c:pt>
                <c:pt idx="200">
                  <c:v>6.6</c:v>
                </c:pt>
                <c:pt idx="201">
                  <c:v>6.633</c:v>
                </c:pt>
                <c:pt idx="202">
                  <c:v>6.6660000000000004</c:v>
                </c:pt>
                <c:pt idx="203">
                  <c:v>6.6989999999999998</c:v>
                </c:pt>
                <c:pt idx="204">
                  <c:v>6.7320000000000002</c:v>
                </c:pt>
                <c:pt idx="205">
                  <c:v>6.7649999999999997</c:v>
                </c:pt>
                <c:pt idx="206">
                  <c:v>6.798</c:v>
                </c:pt>
                <c:pt idx="207">
                  <c:v>6.8310000000000004</c:v>
                </c:pt>
                <c:pt idx="208">
                  <c:v>6.8639999999999999</c:v>
                </c:pt>
                <c:pt idx="209">
                  <c:v>6.8970000000000002</c:v>
                </c:pt>
                <c:pt idx="210">
                  <c:v>6.93</c:v>
                </c:pt>
                <c:pt idx="211">
                  <c:v>6.9630000000000001</c:v>
                </c:pt>
                <c:pt idx="212">
                  <c:v>6.9960000000000004</c:v>
                </c:pt>
                <c:pt idx="213">
                  <c:v>7.0289999999999999</c:v>
                </c:pt>
                <c:pt idx="214">
                  <c:v>7.0620000000000003</c:v>
                </c:pt>
                <c:pt idx="215">
                  <c:v>7.0949999999999998</c:v>
                </c:pt>
                <c:pt idx="216">
                  <c:v>7.1280000000000001</c:v>
                </c:pt>
                <c:pt idx="217">
                  <c:v>7.1609999999999996</c:v>
                </c:pt>
                <c:pt idx="218">
                  <c:v>7.194</c:v>
                </c:pt>
                <c:pt idx="219">
                  <c:v>7.2270000000000003</c:v>
                </c:pt>
                <c:pt idx="220">
                  <c:v>7.26</c:v>
                </c:pt>
                <c:pt idx="221">
                  <c:v>7.2930000000000001</c:v>
                </c:pt>
                <c:pt idx="222">
                  <c:v>7.3259999999999996</c:v>
                </c:pt>
                <c:pt idx="223">
                  <c:v>7.359</c:v>
                </c:pt>
                <c:pt idx="224">
                  <c:v>7.3920000000000003</c:v>
                </c:pt>
                <c:pt idx="225">
                  <c:v>7.4249999999999998</c:v>
                </c:pt>
                <c:pt idx="226">
                  <c:v>7.4580000000000002</c:v>
                </c:pt>
                <c:pt idx="227">
                  <c:v>7.4909999999999997</c:v>
                </c:pt>
                <c:pt idx="228">
                  <c:v>7.524</c:v>
                </c:pt>
                <c:pt idx="229">
                  <c:v>7.5570000000000004</c:v>
                </c:pt>
                <c:pt idx="230">
                  <c:v>7.59</c:v>
                </c:pt>
                <c:pt idx="231">
                  <c:v>7.6230000000000002</c:v>
                </c:pt>
                <c:pt idx="232">
                  <c:v>7.6559999999999997</c:v>
                </c:pt>
                <c:pt idx="233">
                  <c:v>7.6890000000000001</c:v>
                </c:pt>
                <c:pt idx="234">
                  <c:v>7.7220000000000004</c:v>
                </c:pt>
                <c:pt idx="235">
                  <c:v>7.7549999999999999</c:v>
                </c:pt>
                <c:pt idx="236">
                  <c:v>7.7880000000000003</c:v>
                </c:pt>
                <c:pt idx="237">
                  <c:v>7.8209999999999997</c:v>
                </c:pt>
                <c:pt idx="238">
                  <c:v>7.8540000000000001</c:v>
                </c:pt>
                <c:pt idx="239">
                  <c:v>7.8869999999999996</c:v>
                </c:pt>
                <c:pt idx="240">
                  <c:v>7.92</c:v>
                </c:pt>
                <c:pt idx="241">
                  <c:v>7.9530000000000003</c:v>
                </c:pt>
                <c:pt idx="242">
                  <c:v>7.9859999999999998</c:v>
                </c:pt>
                <c:pt idx="243">
                  <c:v>8.0190000000000001</c:v>
                </c:pt>
                <c:pt idx="244">
                  <c:v>8.0519999999999996</c:v>
                </c:pt>
                <c:pt idx="245">
                  <c:v>8.0850000000000009</c:v>
                </c:pt>
                <c:pt idx="246">
                  <c:v>8.1180000000000003</c:v>
                </c:pt>
                <c:pt idx="247">
                  <c:v>8.1509999999999998</c:v>
                </c:pt>
                <c:pt idx="248">
                  <c:v>8.1839999999999993</c:v>
                </c:pt>
                <c:pt idx="249">
                  <c:v>8.2170000000000005</c:v>
                </c:pt>
                <c:pt idx="250">
                  <c:v>8.25</c:v>
                </c:pt>
                <c:pt idx="251">
                  <c:v>8.2829999999999995</c:v>
                </c:pt>
                <c:pt idx="252">
                  <c:v>8.3160000000000007</c:v>
                </c:pt>
                <c:pt idx="253">
                  <c:v>8.3490000000000002</c:v>
                </c:pt>
                <c:pt idx="254">
                  <c:v>8.3819999999999997</c:v>
                </c:pt>
                <c:pt idx="255">
                  <c:v>8.4149999999999991</c:v>
                </c:pt>
                <c:pt idx="256">
                  <c:v>8.4480000000000004</c:v>
                </c:pt>
                <c:pt idx="257">
                  <c:v>8.4809999999999999</c:v>
                </c:pt>
                <c:pt idx="258">
                  <c:v>8.5139999999999993</c:v>
                </c:pt>
                <c:pt idx="259">
                  <c:v>8.5470000000000006</c:v>
                </c:pt>
                <c:pt idx="260">
                  <c:v>8.58</c:v>
                </c:pt>
                <c:pt idx="261">
                  <c:v>8.6129999999999995</c:v>
                </c:pt>
                <c:pt idx="262">
                  <c:v>8.6460000000000008</c:v>
                </c:pt>
                <c:pt idx="263">
                  <c:v>8.6790000000000003</c:v>
                </c:pt>
                <c:pt idx="264">
                  <c:v>8.7119999999999997</c:v>
                </c:pt>
                <c:pt idx="265">
                  <c:v>8.7449999999999992</c:v>
                </c:pt>
                <c:pt idx="266">
                  <c:v>8.7780000000000005</c:v>
                </c:pt>
                <c:pt idx="267">
                  <c:v>8.8109999999999999</c:v>
                </c:pt>
                <c:pt idx="268">
                  <c:v>8.8439999999999994</c:v>
                </c:pt>
                <c:pt idx="269">
                  <c:v>8.8770000000000007</c:v>
                </c:pt>
                <c:pt idx="270">
                  <c:v>8.91</c:v>
                </c:pt>
                <c:pt idx="271">
                  <c:v>8.9429999999999996</c:v>
                </c:pt>
                <c:pt idx="272">
                  <c:v>8.9760000000000009</c:v>
                </c:pt>
                <c:pt idx="273">
                  <c:v>9.0090000000000003</c:v>
                </c:pt>
                <c:pt idx="274">
                  <c:v>9.0419999999999998</c:v>
                </c:pt>
                <c:pt idx="275">
                  <c:v>9.0749999999999993</c:v>
                </c:pt>
                <c:pt idx="276">
                  <c:v>9.1080000000000005</c:v>
                </c:pt>
                <c:pt idx="277">
                  <c:v>9.141</c:v>
                </c:pt>
                <c:pt idx="278">
                  <c:v>9.1739999999999995</c:v>
                </c:pt>
                <c:pt idx="279">
                  <c:v>9.2070000000000007</c:v>
                </c:pt>
                <c:pt idx="280">
                  <c:v>9.24</c:v>
                </c:pt>
                <c:pt idx="281">
                  <c:v>9.2729999999999997</c:v>
                </c:pt>
                <c:pt idx="282">
                  <c:v>9.3059999999999992</c:v>
                </c:pt>
                <c:pt idx="283">
                  <c:v>9.3390000000000004</c:v>
                </c:pt>
                <c:pt idx="284">
                  <c:v>9.3719999999999999</c:v>
                </c:pt>
                <c:pt idx="285">
                  <c:v>9.4049999999999994</c:v>
                </c:pt>
                <c:pt idx="286">
                  <c:v>9.4380000000000006</c:v>
                </c:pt>
                <c:pt idx="287">
                  <c:v>9.4710000000000001</c:v>
                </c:pt>
                <c:pt idx="288">
                  <c:v>9.5039999999999996</c:v>
                </c:pt>
                <c:pt idx="289">
                  <c:v>9.5370000000000008</c:v>
                </c:pt>
                <c:pt idx="290">
                  <c:v>9.57</c:v>
                </c:pt>
                <c:pt idx="291">
                  <c:v>9.6029999999999998</c:v>
                </c:pt>
                <c:pt idx="292">
                  <c:v>9.6359999999999992</c:v>
                </c:pt>
                <c:pt idx="293">
                  <c:v>9.6690000000000005</c:v>
                </c:pt>
                <c:pt idx="294">
                  <c:v>9.702</c:v>
                </c:pt>
                <c:pt idx="295">
                  <c:v>9.7349999999999994</c:v>
                </c:pt>
                <c:pt idx="296">
                  <c:v>9.7680000000000007</c:v>
                </c:pt>
                <c:pt idx="297">
                  <c:v>9.8010000000000002</c:v>
                </c:pt>
                <c:pt idx="298">
                  <c:v>9.8339999999999996</c:v>
                </c:pt>
                <c:pt idx="299">
                  <c:v>9.8670000000000009</c:v>
                </c:pt>
                <c:pt idx="300">
                  <c:v>9.9</c:v>
                </c:pt>
                <c:pt idx="301">
                  <c:v>9.9329999999999998</c:v>
                </c:pt>
                <c:pt idx="302">
                  <c:v>9.9659999999999993</c:v>
                </c:pt>
                <c:pt idx="303">
                  <c:v>9.9990000000000006</c:v>
                </c:pt>
                <c:pt idx="304">
                  <c:v>10.032</c:v>
                </c:pt>
                <c:pt idx="305">
                  <c:v>10.065</c:v>
                </c:pt>
                <c:pt idx="306">
                  <c:v>10.098000000000001</c:v>
                </c:pt>
                <c:pt idx="307">
                  <c:v>10.131</c:v>
                </c:pt>
                <c:pt idx="308">
                  <c:v>10.164</c:v>
                </c:pt>
                <c:pt idx="309">
                  <c:v>10.196999999999999</c:v>
                </c:pt>
                <c:pt idx="310">
                  <c:v>10.23</c:v>
                </c:pt>
                <c:pt idx="311">
                  <c:v>10.263</c:v>
                </c:pt>
                <c:pt idx="312">
                  <c:v>10.295999999999999</c:v>
                </c:pt>
                <c:pt idx="313">
                  <c:v>10.329000000000001</c:v>
                </c:pt>
                <c:pt idx="314">
                  <c:v>10.362</c:v>
                </c:pt>
                <c:pt idx="315">
                  <c:v>10.395</c:v>
                </c:pt>
                <c:pt idx="316">
                  <c:v>10.428000000000001</c:v>
                </c:pt>
                <c:pt idx="317">
                  <c:v>10.461</c:v>
                </c:pt>
                <c:pt idx="318">
                  <c:v>10.494</c:v>
                </c:pt>
                <c:pt idx="319">
                  <c:v>10.526999999999999</c:v>
                </c:pt>
                <c:pt idx="320">
                  <c:v>10.56</c:v>
                </c:pt>
                <c:pt idx="321">
                  <c:v>10.593</c:v>
                </c:pt>
                <c:pt idx="322">
                  <c:v>10.625999999999999</c:v>
                </c:pt>
                <c:pt idx="323">
                  <c:v>10.659000000000001</c:v>
                </c:pt>
                <c:pt idx="324">
                  <c:v>10.692</c:v>
                </c:pt>
                <c:pt idx="325">
                  <c:v>10.725</c:v>
                </c:pt>
                <c:pt idx="326">
                  <c:v>10.757999999999999</c:v>
                </c:pt>
                <c:pt idx="327">
                  <c:v>10.791</c:v>
                </c:pt>
                <c:pt idx="328">
                  <c:v>10.824</c:v>
                </c:pt>
                <c:pt idx="329">
                  <c:v>10.856999999999999</c:v>
                </c:pt>
                <c:pt idx="330">
                  <c:v>10.89</c:v>
                </c:pt>
                <c:pt idx="331">
                  <c:v>10.923</c:v>
                </c:pt>
                <c:pt idx="332">
                  <c:v>10.956</c:v>
                </c:pt>
                <c:pt idx="333">
                  <c:v>10.989000000000001</c:v>
                </c:pt>
                <c:pt idx="334">
                  <c:v>11.022</c:v>
                </c:pt>
              </c:numCache>
            </c:numRef>
          </c:xVal>
          <c:yVal>
            <c:numRef>
              <c:f>Rekap!$AA$2:$AA$336</c:f>
              <c:numCache>
                <c:formatCode>General</c:formatCode>
                <c:ptCount val="335"/>
                <c:pt idx="0">
                  <c:v>0</c:v>
                </c:pt>
                <c:pt idx="1">
                  <c:v>6.1449019770270639E-2</c:v>
                </c:pt>
                <c:pt idx="2">
                  <c:v>0.24363892412027349</c:v>
                </c:pt>
                <c:pt idx="3">
                  <c:v>0.5433978183103797</c:v>
                </c:pt>
                <c:pt idx="4">
                  <c:v>0.95763713410874873</c:v>
                </c:pt>
                <c:pt idx="5">
                  <c:v>1.4833494407818528</c:v>
                </c:pt>
                <c:pt idx="6">
                  <c:v>2.1176063135911254</c:v>
                </c:pt>
                <c:pt idx="7">
                  <c:v>2.8575562582848844</c:v>
                </c:pt>
                <c:pt idx="8">
                  <c:v>3.7004226901139785</c:v>
                </c:pt>
                <c:pt idx="9">
                  <c:v>4.6435019659397376</c:v>
                </c:pt>
                <c:pt idx="10">
                  <c:v>5.6841614680385888</c:v>
                </c:pt>
                <c:pt idx="11">
                  <c:v>6.8198377382457318</c:v>
                </c:pt>
                <c:pt idx="12">
                  <c:v>8.04803466111548</c:v>
                </c:pt>
                <c:pt idx="13">
                  <c:v>9.3663216948102352</c:v>
                </c:pt>
                <c:pt idx="14">
                  <c:v>10.772332148464629</c:v>
                </c:pt>
                <c:pt idx="15">
                  <c:v>12.263761504803794</c:v>
                </c:pt>
                <c:pt idx="16">
                  <c:v>13.838365786826662</c:v>
                </c:pt>
                <c:pt idx="17">
                  <c:v>15.49395996739719</c:v>
                </c:pt>
                <c:pt idx="18">
                  <c:v>17.228416420615897</c:v>
                </c:pt>
                <c:pt idx="19">
                  <c:v>19.039663413874326</c:v>
                </c:pt>
                <c:pt idx="20">
                  <c:v>20.925683639523545</c:v>
                </c:pt>
                <c:pt idx="21">
                  <c:v>22.884512785116307</c:v>
                </c:pt>
                <c:pt idx="22">
                  <c:v>24.914238141209001</c:v>
                </c:pt>
                <c:pt idx="23">
                  <c:v>27.012997245737406</c:v>
                </c:pt>
                <c:pt idx="24">
                  <c:v>29.17897656400466</c:v>
                </c:pt>
                <c:pt idx="25">
                  <c:v>31.410410203346547</c:v>
                </c:pt>
                <c:pt idx="26">
                  <c:v>33.705578661562825</c:v>
                </c:pt>
                <c:pt idx="27">
                  <c:v>36.062807608227487</c:v>
                </c:pt>
                <c:pt idx="28">
                  <c:v>38.480466698014489</c:v>
                </c:pt>
                <c:pt idx="29">
                  <c:v>40.956968415197508</c:v>
                </c:pt>
                <c:pt idx="30">
                  <c:v>43.490766948505168</c:v>
                </c:pt>
                <c:pt idx="31">
                  <c:v>46.080357095534112</c:v>
                </c:pt>
                <c:pt idx="32">
                  <c:v>48.724273195943255</c:v>
                </c:pt>
                <c:pt idx="33">
                  <c:v>51.421088092673543</c:v>
                </c:pt>
                <c:pt idx="34">
                  <c:v>54.169412120456577</c:v>
                </c:pt>
                <c:pt idx="35">
                  <c:v>56.967892120895357</c:v>
                </c:pt>
                <c:pt idx="36">
                  <c:v>59.815210483419357</c:v>
                </c:pt>
                <c:pt idx="37">
                  <c:v>62.710084211433646</c:v>
                </c:pt>
                <c:pt idx="38">
                  <c:v>65.65126401300067</c:v>
                </c:pt>
                <c:pt idx="39">
                  <c:v>68.637533415410132</c:v>
                </c:pt>
                <c:pt idx="40">
                  <c:v>71.667707903009259</c:v>
                </c:pt>
                <c:pt idx="41">
                  <c:v>74.740634077682387</c:v>
                </c:pt>
                <c:pt idx="42">
                  <c:v>77.855188841385242</c:v>
                </c:pt>
                <c:pt idx="43">
                  <c:v>81.010278600154081</c:v>
                </c:pt>
                <c:pt idx="44">
                  <c:v>84.204838489025676</c:v>
                </c:pt>
                <c:pt idx="45">
                  <c:v>87.437831617318992</c:v>
                </c:pt>
                <c:pt idx="46">
                  <c:v>90.708248333743398</c:v>
                </c:pt>
                <c:pt idx="47">
                  <c:v>94.015105510812802</c:v>
                </c:pt>
                <c:pt idx="48">
                  <c:v>97.357445848058319</c:v>
                </c:pt>
                <c:pt idx="49">
                  <c:v>100.73433719354566</c:v>
                </c:pt>
                <c:pt idx="50">
                  <c:v>104.14487188321661</c:v>
                </c:pt>
                <c:pt idx="51">
                  <c:v>107.58816609758617</c:v>
                </c:pt>
                <c:pt idx="52">
                  <c:v>111.06335923533914</c:v>
                </c:pt>
                <c:pt idx="53">
                  <c:v>114.56961330338291</c:v>
                </c:pt>
                <c:pt idx="54">
                  <c:v>118.10611232292339</c:v>
                </c:pt>
                <c:pt idx="55">
                  <c:v>121.67206175114372</c:v>
                </c:pt>
                <c:pt idx="56">
                  <c:v>125.26668791807538</c:v>
                </c:pt>
                <c:pt idx="57">
                  <c:v>128.88923747826306</c:v>
                </c:pt>
                <c:pt idx="58">
                  <c:v>132.53897687683443</c:v>
                </c:pt>
                <c:pt idx="59">
                  <c:v>136.21519182959619</c:v>
                </c:pt>
                <c:pt idx="60">
                  <c:v>139.91718681678836</c:v>
                </c:pt>
                <c:pt idx="61">
                  <c:v>143.64428459013766</c:v>
                </c:pt>
                <c:pt idx="62">
                  <c:v>147.3958256928608</c:v>
                </c:pt>
                <c:pt idx="63">
                  <c:v>151.17116799227736</c:v>
                </c:pt>
                <c:pt idx="64">
                  <c:v>154.96968622470089</c:v>
                </c:pt>
                <c:pt idx="65">
                  <c:v>158.79077155228629</c:v>
                </c:pt>
                <c:pt idx="66">
                  <c:v>162.63383113151841</c:v>
                </c:pt>
                <c:pt idx="67">
                  <c:v>166.49828769303701</c:v>
                </c:pt>
                <c:pt idx="68">
                  <c:v>170.38357913249951</c:v>
                </c:pt>
                <c:pt idx="69">
                  <c:v>174.28915811219181</c:v>
                </c:pt>
                <c:pt idx="70">
                  <c:v>178.21449167310547</c:v>
                </c:pt>
                <c:pt idx="71">
                  <c:v>182.15906085720502</c:v>
                </c:pt>
                <c:pt idx="72">
                  <c:v>186.12236033961892</c:v>
                </c:pt>
                <c:pt idx="73">
                  <c:v>190.10389807049265</c:v>
                </c:pt>
                <c:pt idx="74">
                  <c:v>194.10319492625052</c:v>
                </c:pt>
                <c:pt idx="75">
                  <c:v>198.119784370019</c:v>
                </c:pt>
                <c:pt idx="76">
                  <c:v>202.15321212097072</c:v>
                </c:pt>
                <c:pt idx="77">
                  <c:v>206.20303583235494</c:v>
                </c:pt>
                <c:pt idx="78">
                  <c:v>210.26882477798623</c:v>
                </c:pt>
                <c:pt idx="79">
                  <c:v>214.35015954696911</c:v>
                </c:pt>
                <c:pt idx="80">
                  <c:v>218.44663174644231</c:v>
                </c:pt>
                <c:pt idx="81">
                  <c:v>222.5578437121325</c:v>
                </c:pt>
                <c:pt idx="82">
                  <c:v>226.68340822651103</c:v>
                </c:pt>
                <c:pt idx="83">
                  <c:v>230.82294824435553</c:v>
                </c:pt>
                <c:pt idx="84">
                  <c:v>234.97609662552051</c:v>
                </c:pt>
                <c:pt idx="85">
                  <c:v>239.14249587472858</c:v>
                </c:pt>
                <c:pt idx="86">
                  <c:v>243.32179788819707</c:v>
                </c:pt>
                <c:pt idx="87">
                  <c:v>247.51366370692114</c:v>
                </c:pt>
                <c:pt idx="88">
                  <c:v>251.71776327643798</c:v>
                </c:pt>
                <c:pt idx="89">
                  <c:v>255.93377521290216</c:v>
                </c:pt>
                <c:pt idx="90">
                  <c:v>260.16138657530638</c:v>
                </c:pt>
                <c:pt idx="91">
                  <c:v>264.40029264368553</c:v>
                </c:pt>
                <c:pt idx="92">
                  <c:v>268.65019670314814</c:v>
                </c:pt>
                <c:pt idx="93">
                  <c:v>272.91080983358086</c:v>
                </c:pt>
                <c:pt idx="94">
                  <c:v>277.18185070487755</c:v>
                </c:pt>
                <c:pt idx="95">
                  <c:v>281.46304537754781</c:v>
                </c:pt>
                <c:pt idx="96">
                  <c:v>285.75412710856364</c:v>
                </c:pt>
                <c:pt idx="97">
                  <c:v>290.05483616230623</c:v>
                </c:pt>
                <c:pt idx="98">
                  <c:v>294.36491962647989</c:v>
                </c:pt>
                <c:pt idx="99">
                  <c:v>298.68413123286126</c:v>
                </c:pt>
                <c:pt idx="100">
                  <c:v>303.01223118275777</c:v>
                </c:pt>
                <c:pt idx="101">
                  <c:v>307.34898597705177</c:v>
                </c:pt>
                <c:pt idx="102">
                  <c:v>311.6941682507084</c:v>
                </c:pt>
                <c:pt idx="103">
                  <c:v>316.04755661163199</c:v>
                </c:pt>
                <c:pt idx="104">
                  <c:v>320.40893548375567</c:v>
                </c:pt>
                <c:pt idx="105">
                  <c:v>324.77809495425203</c:v>
                </c:pt>
                <c:pt idx="106">
                  <c:v>329.15483062475909</c:v>
                </c:pt>
                <c:pt idx="107">
                  <c:v>333.53894346651344</c:v>
                </c:pt>
                <c:pt idx="108">
                  <c:v>337.93023967928923</c:v>
                </c:pt>
                <c:pt idx="109">
                  <c:v>342.32853055404382</c:v>
                </c:pt>
                <c:pt idx="110">
                  <c:v>346.73363233917041</c:v>
                </c:pt>
                <c:pt idx="111">
                  <c:v>351.14536611026551</c:v>
                </c:pt>
                <c:pt idx="112">
                  <c:v>355.56355764331624</c:v>
                </c:pt>
                <c:pt idx="113">
                  <c:v>359.98803729122039</c:v>
                </c:pt>
                <c:pt idx="114">
                  <c:v>364.41863986355003</c:v>
                </c:pt>
                <c:pt idx="115">
                  <c:v>368.85520450947257</c:v>
                </c:pt>
                <c:pt idx="116">
                  <c:v>373.29757460374964</c:v>
                </c:pt>
                <c:pt idx="117">
                  <c:v>377.74559763572847</c:v>
                </c:pt>
                <c:pt idx="118">
                  <c:v>382.19912510125147</c:v>
                </c:pt>
                <c:pt idx="119">
                  <c:v>386.65801239740421</c:v>
                </c:pt>
                <c:pt idx="120">
                  <c:v>391.12211872002865</c:v>
                </c:pt>
                <c:pt idx="121">
                  <c:v>395.59130696392936</c:v>
                </c:pt>
                <c:pt idx="122">
                  <c:v>400.0654436256998</c:v>
                </c:pt>
                <c:pt idx="123">
                  <c:v>404.54439870910352</c:v>
                </c:pt>
                <c:pt idx="124">
                  <c:v>409.02804563293887</c:v>
                </c:pt>
                <c:pt idx="125">
                  <c:v>413.51626114132608</c:v>
                </c:pt>
                <c:pt idx="126">
                  <c:v>418.00892521634927</c:v>
                </c:pt>
                <c:pt idx="127">
                  <c:v>422.5059209929949</c:v>
                </c:pt>
                <c:pt idx="128">
                  <c:v>427.00713467632414</c:v>
                </c:pt>
                <c:pt idx="129">
                  <c:v>431.51245546082083</c:v>
                </c:pt>
                <c:pt idx="130">
                  <c:v>436.02177545185901</c:v>
                </c:pt>
                <c:pt idx="131">
                  <c:v>440.53498958923285</c:v>
                </c:pt>
                <c:pt idx="132">
                  <c:v>445.05199557269555</c:v>
                </c:pt>
                <c:pt idx="133">
                  <c:v>449.57269378945489</c:v>
                </c:pt>
                <c:pt idx="134">
                  <c:v>454.09698724357258</c:v>
                </c:pt>
                <c:pt idx="135">
                  <c:v>458.62478148721954</c:v>
                </c:pt>
                <c:pt idx="136">
                  <c:v>463.15598455373549</c:v>
                </c:pt>
                <c:pt idx="137">
                  <c:v>467.69050689244847</c:v>
                </c:pt>
                <c:pt idx="138">
                  <c:v>472.22826130520667</c:v>
                </c:pt>
                <c:pt idx="139">
                  <c:v>476.76916288457608</c:v>
                </c:pt>
                <c:pt idx="140">
                  <c:v>481.31312895366375</c:v>
                </c:pt>
                <c:pt idx="141">
                  <c:v>485.86007900751986</c:v>
                </c:pt>
                <c:pt idx="142">
                  <c:v>490.40993465608136</c:v>
                </c:pt>
                <c:pt idx="143">
                  <c:v>494.96261956861235</c:v>
                </c:pt>
                <c:pt idx="144">
                  <c:v>499.51805941960532</c:v>
                </c:pt>
                <c:pt idx="145">
                  <c:v>504.0761818361039</c:v>
                </c:pt>
                <c:pt idx="146">
                  <c:v>508.63691634640753</c:v>
                </c:pt>
                <c:pt idx="147">
                  <c:v>513.20019433012646</c:v>
                </c:pt>
                <c:pt idx="148">
                  <c:v>517.76594896954612</c:v>
                </c:pt>
                <c:pt idx="149">
                  <c:v>522.33411520227094</c:v>
                </c:pt>
                <c:pt idx="150">
                  <c:v>526.90462967511166</c:v>
                </c:pt>
                <c:pt idx="151">
                  <c:v>531.47743069918374</c:v>
                </c:pt>
                <c:pt idx="152">
                  <c:v>536.05245820618632</c:v>
                </c:pt>
                <c:pt idx="153">
                  <c:v>540.62965370582799</c:v>
                </c:pt>
                <c:pt idx="154">
                  <c:v>545.20896024437275</c:v>
                </c:pt>
                <c:pt idx="155">
                  <c:v>549.79032236427474</c:v>
                </c:pt>
                <c:pt idx="156">
                  <c:v>554.37368606487155</c:v>
                </c:pt>
                <c:pt idx="157">
                  <c:v>558.95899876411329</c:v>
                </c:pt>
                <c:pt idx="158">
                  <c:v>563.54620926129337</c:v>
                </c:pt>
                <c:pt idx="159">
                  <c:v>568.13526770076191</c:v>
                </c:pt>
                <c:pt idx="160">
                  <c:v>572.72612553658973</c:v>
                </c:pt>
                <c:pt idx="161">
                  <c:v>577.31873549816191</c:v>
                </c:pt>
                <c:pt idx="162">
                  <c:v>581.91305155667544</c:v>
                </c:pt>
                <c:pt idx="163">
                  <c:v>586.50902889251529</c:v>
                </c:pt>
                <c:pt idx="164">
                  <c:v>591.10662386349031</c:v>
                </c:pt>
                <c:pt idx="165">
                  <c:v>595.70579397390065</c:v>
                </c:pt>
                <c:pt idx="166">
                  <c:v>600.3064978444196</c:v>
                </c:pt>
                <c:pt idx="167">
                  <c:v>604.90869518276656</c:v>
                </c:pt>
                <c:pt idx="168">
                  <c:v>609.51234675514957</c:v>
                </c:pt>
                <c:pt idx="169">
                  <c:v>614.11741435845875</c:v>
                </c:pt>
                <c:pt idx="170">
                  <c:v>618.7238607931896</c:v>
                </c:pt>
                <c:pt idx="171">
                  <c:v>623.33164983707877</c:v>
                </c:pt>
                <c:pt idx="172">
                  <c:v>627.9407462194315</c:v>
                </c:pt>
                <c:pt idx="173">
                  <c:v>632.55111559612249</c:v>
                </c:pt>
                <c:pt idx="174">
                  <c:v>637.16272452525686</c:v>
                </c:pt>
                <c:pt idx="175">
                  <c:v>641.77554044346607</c:v>
                </c:pt>
                <c:pt idx="176">
                  <c:v>646.38953164283021</c:v>
                </c:pt>
                <c:pt idx="177">
                  <c:v>651.00466724840487</c:v>
                </c:pt>
                <c:pt idx="178">
                  <c:v>655.62091719633838</c:v>
                </c:pt>
                <c:pt idx="179">
                  <c:v>660.23825221256459</c:v>
                </c:pt>
                <c:pt idx="180">
                  <c:v>664.85664379205434</c:v>
                </c:pt>
                <c:pt idx="181">
                  <c:v>669.47606417861334</c:v>
                </c:pt>
                <c:pt idx="182">
                  <c:v>674.09648634520977</c:v>
                </c:pt>
                <c:pt idx="183">
                  <c:v>678.71788397481885</c:v>
                </c:pt>
                <c:pt idx="184">
                  <c:v>683.34023144177138</c:v>
                </c:pt>
                <c:pt idx="185">
                  <c:v>687.96350379359103</c:v>
                </c:pt>
                <c:pt idx="186">
                  <c:v>692.58767673330908</c:v>
                </c:pt>
                <c:pt idx="187">
                  <c:v>697.21272660224543</c:v>
                </c:pt>
                <c:pt idx="188">
                  <c:v>701.83863036323896</c:v>
                </c:pt>
                <c:pt idx="189">
                  <c:v>706.46536558432126</c:v>
                </c:pt>
                <c:pt idx="190">
                  <c:v>711.09291042281757</c:v>
                </c:pt>
                <c:pt idx="191">
                  <c:v>715.72124360986572</c:v>
                </c:pt>
                <c:pt idx="192">
                  <c:v>720.35034443534232</c:v>
                </c:pt>
                <c:pt idx="193">
                  <c:v>724.98019273318425</c:v>
                </c:pt>
                <c:pt idx="194">
                  <c:v>729.61076886709623</c:v>
                </c:pt>
                <c:pt idx="195">
                  <c:v>734.24205371663356</c:v>
                </c:pt>
                <c:pt idx="196">
                  <c:v>738.87402866365096</c:v>
                </c:pt>
                <c:pt idx="197">
                  <c:v>743.50667557910617</c:v>
                </c:pt>
                <c:pt idx="198">
                  <c:v>748.13997681021181</c:v>
                </c:pt>
                <c:pt idx="199">
                  <c:v>752.7739151679242</c:v>
                </c:pt>
                <c:pt idx="200">
                  <c:v>757.40847391475984</c:v>
                </c:pt>
                <c:pt idx="201">
                  <c:v>762.04363675293393</c:v>
                </c:pt>
                <c:pt idx="202">
                  <c:v>766.67938781280816</c:v>
                </c:pt>
                <c:pt idx="203">
                  <c:v>771.31571164164382</c:v>
                </c:pt>
                <c:pt idx="204">
                  <c:v>775.9525931926504</c:v>
                </c:pt>
                <c:pt idx="205">
                  <c:v>780.59001781431959</c:v>
                </c:pt>
                <c:pt idx="206">
                  <c:v>785.22797124004285</c:v>
                </c:pt>
                <c:pt idx="207">
                  <c:v>789.86643957799868</c:v>
                </c:pt>
                <c:pt idx="208">
                  <c:v>794.5054093013074</c:v>
                </c:pt>
                <c:pt idx="209">
                  <c:v>799.14486723844436</c:v>
                </c:pt>
                <c:pt idx="210">
                  <c:v>803.78480056390379</c:v>
                </c:pt>
                <c:pt idx="211">
                  <c:v>808.42519678911026</c:v>
                </c:pt>
                <c:pt idx="212">
                  <c:v>813.06604375356528</c:v>
                </c:pt>
                <c:pt idx="213">
                  <c:v>817.70732961623048</c:v>
                </c:pt>
                <c:pt idx="214">
                  <c:v>822.34904284713502</c:v>
                </c:pt>
                <c:pt idx="215">
                  <c:v>826.99117221920267</c:v>
                </c:pt>
                <c:pt idx="216">
                  <c:v>831.63370680029618</c:v>
                </c:pt>
                <c:pt idx="217">
                  <c:v>836.27663594546777</c:v>
                </c:pt>
                <c:pt idx="218">
                  <c:v>840.91994928941563</c:v>
                </c:pt>
                <c:pt idx="219">
                  <c:v>845.563636739137</c:v>
                </c:pt>
                <c:pt idx="220">
                  <c:v>850.20768846677481</c:v>
                </c:pt>
                <c:pt idx="221">
                  <c:v>854.85209490265299</c:v>
                </c:pt>
                <c:pt idx="222">
                  <c:v>859.4968467284923</c:v>
                </c:pt>
                <c:pt idx="223">
                  <c:v>864.14193487080843</c:v>
                </c:pt>
                <c:pt idx="224">
                  <c:v>868.78735049447891</c:v>
                </c:pt>
                <c:pt idx="225">
                  <c:v>873.43308499648253</c:v>
                </c:pt>
                <c:pt idx="226">
                  <c:v>878.07912999980192</c:v>
                </c:pt>
                <c:pt idx="227">
                  <c:v>882.72547734748559</c:v>
                </c:pt>
                <c:pt idx="228">
                  <c:v>887.37211909686846</c:v>
                </c:pt>
                <c:pt idx="229">
                  <c:v>892.01904751394</c:v>
                </c:pt>
                <c:pt idx="230">
                  <c:v>896.66625506786477</c:v>
                </c:pt>
                <c:pt idx="231">
                  <c:v>901.31373442564461</c:v>
                </c:pt>
                <c:pt idx="232">
                  <c:v>905.96147844692075</c:v>
                </c:pt>
                <c:pt idx="233">
                  <c:v>910.6094801789136</c:v>
                </c:pt>
                <c:pt idx="234">
                  <c:v>915.25773285149523</c:v>
                </c:pt>
                <c:pt idx="235">
                  <c:v>919.90622987238999</c:v>
                </c:pt>
                <c:pt idx="236">
                  <c:v>924.55496482250408</c:v>
                </c:pt>
                <c:pt idx="237">
                  <c:v>929.20393145137405</c:v>
                </c:pt>
                <c:pt idx="238">
                  <c:v>933.85312367273832</c:v>
                </c:pt>
                <c:pt idx="239">
                  <c:v>938.5025355602229</c:v>
                </c:pt>
                <c:pt idx="240">
                  <c:v>943.15216134314107</c:v>
                </c:pt>
                <c:pt idx="241">
                  <c:v>947.80199540240346</c:v>
                </c:pt>
                <c:pt idx="242">
                  <c:v>952.45203226653598</c:v>
                </c:pt>
                <c:pt idx="243">
                  <c:v>957.10226660780165</c:v>
                </c:pt>
                <c:pt idx="244">
                  <c:v>961.75269323842383</c:v>
                </c:pt>
                <c:pt idx="245">
                  <c:v>966.40330710691114</c:v>
                </c:pt>
                <c:pt idx="246">
                  <c:v>971.05410329447534</c:v>
                </c:pt>
                <c:pt idx="247">
                  <c:v>975.70507701154656</c:v>
                </c:pt>
                <c:pt idx="248">
                  <c:v>980.35622359437787</c:v>
                </c:pt>
                <c:pt idx="249">
                  <c:v>985.00753850174101</c:v>
                </c:pt>
                <c:pt idx="250">
                  <c:v>989.6590173117055</c:v>
                </c:pt>
                <c:pt idx="251">
                  <c:v>994.31065571850729</c:v>
                </c:pt>
                <c:pt idx="252">
                  <c:v>998.96244952949587</c:v>
                </c:pt>
                <c:pt idx="253">
                  <c:v>1003.6143946621619</c:v>
                </c:pt>
                <c:pt idx="254">
                  <c:v>1008.2664871412455</c:v>
                </c:pt>
                <c:pt idx="255">
                  <c:v>1012.9187230959175</c:v>
                </c:pt>
                <c:pt idx="256">
                  <c:v>1017.5710987570368</c:v>
                </c:pt>
                <c:pt idx="257">
                  <c:v>1022.2236104544779</c:v>
                </c:pt>
                <c:pt idx="258">
                  <c:v>1026.876254614531</c:v>
                </c:pt>
                <c:pt idx="259">
                  <c:v>1031.529027757369</c:v>
                </c:pt>
                <c:pt idx="260">
                  <c:v>1036.1819264945798</c:v>
                </c:pt>
                <c:pt idx="261">
                  <c:v>1040.8349475267662</c:v>
                </c:pt>
                <c:pt idx="262">
                  <c:v>1045.4880876412074</c:v>
                </c:pt>
                <c:pt idx="263">
                  <c:v>1050.141343709581</c:v>
                </c:pt>
                <c:pt idx="264">
                  <c:v>1054.7947126857468</c:v>
                </c:pt>
                <c:pt idx="265">
                  <c:v>1059.4481916035877</c:v>
                </c:pt>
                <c:pt idx="266">
                  <c:v>1064.1017775749069</c:v>
                </c:pt>
                <c:pt idx="267">
                  <c:v>1068.7554677873813</c:v>
                </c:pt>
                <c:pt idx="268">
                  <c:v>1073.4092595025684</c:v>
                </c:pt>
                <c:pt idx="269">
                  <c:v>1078.0631500539657</c:v>
                </c:pt>
                <c:pt idx="270">
                  <c:v>1082.7171368451193</c:v>
                </c:pt>
                <c:pt idx="271">
                  <c:v>1087.3712173477859</c:v>
                </c:pt>
                <c:pt idx="272">
                  <c:v>1092.0253891001398</c:v>
                </c:pt>
                <c:pt idx="273">
                  <c:v>1096.679649705027</c:v>
                </c:pt>
                <c:pt idx="274">
                  <c:v>1101.3339968282687</c:v>
                </c:pt>
                <c:pt idx="275">
                  <c:v>1105.9884281970049</c:v>
                </c:pt>
                <c:pt idx="276">
                  <c:v>1110.6429415980842</c:v>
                </c:pt>
                <c:pt idx="277">
                  <c:v>1115.2975348764955</c:v>
                </c:pt>
                <c:pt idx="278">
                  <c:v>1119.9522059338401</c:v>
                </c:pt>
                <c:pt idx="279">
                  <c:v>1124.6069527268455</c:v>
                </c:pt>
                <c:pt idx="280">
                  <c:v>1129.261773265916</c:v>
                </c:pt>
                <c:pt idx="281">
                  <c:v>1133.9166656137222</c:v>
                </c:pt>
                <c:pt idx="282">
                  <c:v>1138.5716278838304</c:v>
                </c:pt>
                <c:pt idx="283">
                  <c:v>1143.2266582393636</c:v>
                </c:pt>
                <c:pt idx="284">
                  <c:v>1147.8817548916995</c:v>
                </c:pt>
                <c:pt idx="285">
                  <c:v>1152.5369160992036</c:v>
                </c:pt>
                <c:pt idx="286">
                  <c:v>1157.1921401659952</c:v>
                </c:pt>
                <c:pt idx="287">
                  <c:v>1161.8474254407436</c:v>
                </c:pt>
                <c:pt idx="288">
                  <c:v>1166.5027703154999</c:v>
                </c:pt>
                <c:pt idx="289">
                  <c:v>1171.1581732245568</c:v>
                </c:pt>
                <c:pt idx="290">
                  <c:v>1175.8136326433371</c:v>
                </c:pt>
                <c:pt idx="291">
                  <c:v>1180.4691470873163</c:v>
                </c:pt>
                <c:pt idx="292">
                  <c:v>1185.1247151109674</c:v>
                </c:pt>
                <c:pt idx="293">
                  <c:v>1189.7803353067391</c:v>
                </c:pt>
                <c:pt idx="294">
                  <c:v>1194.4360063040551</c:v>
                </c:pt>
                <c:pt idx="295">
                  <c:v>1199.0917267683462</c:v>
                </c:pt>
                <c:pt idx="296">
                  <c:v>1203.7474954001018</c:v>
                </c:pt>
                <c:pt idx="297">
                  <c:v>1208.4033109339503</c:v>
                </c:pt>
                <c:pt idx="298">
                  <c:v>1213.0591721377605</c:v>
                </c:pt>
                <c:pt idx="299">
                  <c:v>1217.7150778117714</c:v>
                </c:pt>
                <c:pt idx="300">
                  <c:v>1222.3710267877386</c:v>
                </c:pt>
                <c:pt idx="301">
                  <c:v>1227.0270179281085</c:v>
                </c:pt>
                <c:pt idx="302">
                  <c:v>1231.6830501252114</c:v>
                </c:pt>
                <c:pt idx="303">
                  <c:v>1236.339122300476</c:v>
                </c:pt>
                <c:pt idx="304">
                  <c:v>1240.9952334036655</c:v>
                </c:pt>
                <c:pt idx="305">
                  <c:v>1245.6513824121328</c:v>
                </c:pt>
                <c:pt idx="306">
                  <c:v>1250.307568330097</c:v>
                </c:pt>
                <c:pt idx="307">
                  <c:v>1254.963790187935</c:v>
                </c:pt>
                <c:pt idx="308">
                  <c:v>1259.6200470414974</c:v>
                </c:pt>
                <c:pt idx="309">
                  <c:v>1264.2763379714377</c:v>
                </c:pt>
                <c:pt idx="310">
                  <c:v>1268.9326620825598</c:v>
                </c:pt>
                <c:pt idx="311">
                  <c:v>1273.5890185031856</c:v>
                </c:pt>
                <c:pt idx="312">
                  <c:v>1278.245406384536</c:v>
                </c:pt>
                <c:pt idx="313">
                  <c:v>1282.9018249001299</c:v>
                </c:pt>
                <c:pt idx="314">
                  <c:v>1287.5582732451969</c:v>
                </c:pt>
                <c:pt idx="315">
                  <c:v>1292.2147506361093</c:v>
                </c:pt>
                <c:pt idx="316">
                  <c:v>1296.8712563098252</c:v>
                </c:pt>
                <c:pt idx="317">
                  <c:v>1301.527789523348</c:v>
                </c:pt>
                <c:pt idx="318">
                  <c:v>1306.1843495531991</c:v>
                </c:pt>
                <c:pt idx="319">
                  <c:v>1310.8409356949071</c:v>
                </c:pt>
                <c:pt idx="320">
                  <c:v>1315.4975472625072</c:v>
                </c:pt>
                <c:pt idx="321">
                  <c:v>1320.1541835880532</c:v>
                </c:pt>
                <c:pt idx="322">
                  <c:v>1324.8108440211481</c:v>
                </c:pt>
                <c:pt idx="323">
                  <c:v>1329.4675279284806</c:v>
                </c:pt>
                <c:pt idx="324">
                  <c:v>1334.1242346933757</c:v>
                </c:pt>
                <c:pt idx="325">
                  <c:v>1338.7809637153593</c:v>
                </c:pt>
                <c:pt idx="326">
                  <c:v>1343.4377144097318</c:v>
                </c:pt>
                <c:pt idx="327">
                  <c:v>1348.0944862071549</c:v>
                </c:pt>
                <c:pt idx="328">
                  <c:v>1352.7512785532444</c:v>
                </c:pt>
                <c:pt idx="329">
                  <c:v>1357.4080909081822</c:v>
                </c:pt>
                <c:pt idx="330">
                  <c:v>1362.0649227463307</c:v>
                </c:pt>
                <c:pt idx="331">
                  <c:v>1366.7217735558606</c:v>
                </c:pt>
                <c:pt idx="332">
                  <c:v>1371.3786428383885</c:v>
                </c:pt>
                <c:pt idx="333">
                  <c:v>1376.0355301086245</c:v>
                </c:pt>
                <c:pt idx="334">
                  <c:v>1380.6924348940263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A0-4A69-B565-46AEC6FF082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Rekap!$X$2:$X$336</c:f>
              <c:numCache>
                <c:formatCode>General</c:formatCode>
                <c:ptCount val="335"/>
                <c:pt idx="0">
                  <c:v>0</c:v>
                </c:pt>
                <c:pt idx="1">
                  <c:v>3.3000000000000002E-2</c:v>
                </c:pt>
                <c:pt idx="2">
                  <c:v>6.6000000000000003E-2</c:v>
                </c:pt>
                <c:pt idx="3">
                  <c:v>9.9000000000000005E-2</c:v>
                </c:pt>
                <c:pt idx="4">
                  <c:v>0.13200000000000001</c:v>
                </c:pt>
                <c:pt idx="5">
                  <c:v>0.16500000000000001</c:v>
                </c:pt>
                <c:pt idx="6">
                  <c:v>0.19800000000000001</c:v>
                </c:pt>
                <c:pt idx="7">
                  <c:v>0.23100000000000001</c:v>
                </c:pt>
                <c:pt idx="8">
                  <c:v>0.26400000000000001</c:v>
                </c:pt>
                <c:pt idx="9">
                  <c:v>0.29699999999999999</c:v>
                </c:pt>
                <c:pt idx="10">
                  <c:v>0.33</c:v>
                </c:pt>
                <c:pt idx="11">
                  <c:v>0.36299999999999999</c:v>
                </c:pt>
                <c:pt idx="12">
                  <c:v>0.39600000000000002</c:v>
                </c:pt>
                <c:pt idx="13">
                  <c:v>0.42899999999999999</c:v>
                </c:pt>
                <c:pt idx="14">
                  <c:v>0.46200000000000002</c:v>
                </c:pt>
                <c:pt idx="15">
                  <c:v>0.495</c:v>
                </c:pt>
                <c:pt idx="16">
                  <c:v>0.52800000000000002</c:v>
                </c:pt>
                <c:pt idx="17">
                  <c:v>0.56100000000000005</c:v>
                </c:pt>
                <c:pt idx="18">
                  <c:v>0.59399999999999997</c:v>
                </c:pt>
                <c:pt idx="19">
                  <c:v>0.627</c:v>
                </c:pt>
                <c:pt idx="20">
                  <c:v>0.66</c:v>
                </c:pt>
                <c:pt idx="21">
                  <c:v>0.69299999999999995</c:v>
                </c:pt>
                <c:pt idx="22">
                  <c:v>0.72599999999999998</c:v>
                </c:pt>
                <c:pt idx="23">
                  <c:v>0.75900000000000001</c:v>
                </c:pt>
                <c:pt idx="24">
                  <c:v>0.79200000000000004</c:v>
                </c:pt>
                <c:pt idx="25">
                  <c:v>0.82499999999999996</c:v>
                </c:pt>
                <c:pt idx="26">
                  <c:v>0.85799999999999998</c:v>
                </c:pt>
                <c:pt idx="27">
                  <c:v>0.89100000000000001</c:v>
                </c:pt>
                <c:pt idx="28">
                  <c:v>0.92400000000000004</c:v>
                </c:pt>
                <c:pt idx="29">
                  <c:v>0.95699999999999996</c:v>
                </c:pt>
                <c:pt idx="30">
                  <c:v>0.99</c:v>
                </c:pt>
                <c:pt idx="31">
                  <c:v>1.0229999999999999</c:v>
                </c:pt>
                <c:pt idx="32">
                  <c:v>1.056</c:v>
                </c:pt>
                <c:pt idx="33">
                  <c:v>1.089</c:v>
                </c:pt>
                <c:pt idx="34">
                  <c:v>1.1220000000000001</c:v>
                </c:pt>
                <c:pt idx="35">
                  <c:v>1.155</c:v>
                </c:pt>
                <c:pt idx="36">
                  <c:v>1.1879999999999999</c:v>
                </c:pt>
                <c:pt idx="37">
                  <c:v>1.2210000000000001</c:v>
                </c:pt>
                <c:pt idx="38">
                  <c:v>1.254</c:v>
                </c:pt>
                <c:pt idx="39">
                  <c:v>1.2869999999999999</c:v>
                </c:pt>
                <c:pt idx="40">
                  <c:v>1.32</c:v>
                </c:pt>
                <c:pt idx="41">
                  <c:v>1.353</c:v>
                </c:pt>
                <c:pt idx="42">
                  <c:v>1.3859999999999999</c:v>
                </c:pt>
                <c:pt idx="43">
                  <c:v>1.419</c:v>
                </c:pt>
                <c:pt idx="44">
                  <c:v>1.452</c:v>
                </c:pt>
                <c:pt idx="45">
                  <c:v>1.4850000000000001</c:v>
                </c:pt>
                <c:pt idx="46">
                  <c:v>1.518</c:v>
                </c:pt>
                <c:pt idx="47">
                  <c:v>1.5509999999999999</c:v>
                </c:pt>
                <c:pt idx="48">
                  <c:v>1.5840000000000001</c:v>
                </c:pt>
                <c:pt idx="49">
                  <c:v>1.617</c:v>
                </c:pt>
                <c:pt idx="50">
                  <c:v>1.65</c:v>
                </c:pt>
                <c:pt idx="51">
                  <c:v>1.6830000000000001</c:v>
                </c:pt>
                <c:pt idx="52">
                  <c:v>1.716</c:v>
                </c:pt>
                <c:pt idx="53">
                  <c:v>1.7490000000000001</c:v>
                </c:pt>
                <c:pt idx="54">
                  <c:v>1.782</c:v>
                </c:pt>
                <c:pt idx="55">
                  <c:v>1.8149999999999999</c:v>
                </c:pt>
                <c:pt idx="56">
                  <c:v>1.8480000000000001</c:v>
                </c:pt>
                <c:pt idx="57">
                  <c:v>1.881</c:v>
                </c:pt>
                <c:pt idx="58">
                  <c:v>1.9139999999999999</c:v>
                </c:pt>
                <c:pt idx="59">
                  <c:v>1.9470000000000001</c:v>
                </c:pt>
                <c:pt idx="60">
                  <c:v>1.98</c:v>
                </c:pt>
                <c:pt idx="61">
                  <c:v>2.0129999999999999</c:v>
                </c:pt>
                <c:pt idx="62">
                  <c:v>2.0459999999999998</c:v>
                </c:pt>
                <c:pt idx="63">
                  <c:v>2.0790000000000002</c:v>
                </c:pt>
                <c:pt idx="64">
                  <c:v>2.1120000000000001</c:v>
                </c:pt>
                <c:pt idx="65">
                  <c:v>2.145</c:v>
                </c:pt>
                <c:pt idx="66">
                  <c:v>2.1779999999999999</c:v>
                </c:pt>
                <c:pt idx="67">
                  <c:v>2.2109999999999999</c:v>
                </c:pt>
                <c:pt idx="68">
                  <c:v>2.2440000000000002</c:v>
                </c:pt>
                <c:pt idx="69">
                  <c:v>2.2770000000000001</c:v>
                </c:pt>
                <c:pt idx="70">
                  <c:v>2.31</c:v>
                </c:pt>
                <c:pt idx="71">
                  <c:v>2.343</c:v>
                </c:pt>
                <c:pt idx="72">
                  <c:v>2.3759999999999999</c:v>
                </c:pt>
                <c:pt idx="73">
                  <c:v>2.4089999999999998</c:v>
                </c:pt>
                <c:pt idx="74">
                  <c:v>2.4420000000000002</c:v>
                </c:pt>
                <c:pt idx="75">
                  <c:v>2.4750000000000001</c:v>
                </c:pt>
                <c:pt idx="76">
                  <c:v>2.508</c:v>
                </c:pt>
                <c:pt idx="77">
                  <c:v>2.5409999999999999</c:v>
                </c:pt>
                <c:pt idx="78">
                  <c:v>2.5739999999999998</c:v>
                </c:pt>
                <c:pt idx="79">
                  <c:v>2.6070000000000002</c:v>
                </c:pt>
                <c:pt idx="80">
                  <c:v>2.64</c:v>
                </c:pt>
                <c:pt idx="81">
                  <c:v>2.673</c:v>
                </c:pt>
                <c:pt idx="82">
                  <c:v>2.706</c:v>
                </c:pt>
                <c:pt idx="83">
                  <c:v>2.7389999999999999</c:v>
                </c:pt>
                <c:pt idx="84">
                  <c:v>2.7719999999999998</c:v>
                </c:pt>
                <c:pt idx="85">
                  <c:v>2.8050000000000002</c:v>
                </c:pt>
                <c:pt idx="86">
                  <c:v>2.8380000000000001</c:v>
                </c:pt>
                <c:pt idx="87">
                  <c:v>2.871</c:v>
                </c:pt>
                <c:pt idx="88">
                  <c:v>2.9039999999999999</c:v>
                </c:pt>
                <c:pt idx="89">
                  <c:v>2.9369999999999998</c:v>
                </c:pt>
                <c:pt idx="90">
                  <c:v>2.97</c:v>
                </c:pt>
                <c:pt idx="91">
                  <c:v>3.0030000000000001</c:v>
                </c:pt>
                <c:pt idx="92">
                  <c:v>3.036</c:v>
                </c:pt>
                <c:pt idx="93">
                  <c:v>3.069</c:v>
                </c:pt>
                <c:pt idx="94">
                  <c:v>3.1019999999999999</c:v>
                </c:pt>
                <c:pt idx="95">
                  <c:v>3.1349999999999998</c:v>
                </c:pt>
                <c:pt idx="96">
                  <c:v>3.1680000000000001</c:v>
                </c:pt>
                <c:pt idx="97">
                  <c:v>3.2010000000000001</c:v>
                </c:pt>
                <c:pt idx="98">
                  <c:v>3.234</c:v>
                </c:pt>
                <c:pt idx="99">
                  <c:v>3.2669999999999999</c:v>
                </c:pt>
                <c:pt idx="100">
                  <c:v>3.3</c:v>
                </c:pt>
                <c:pt idx="101">
                  <c:v>3.3330000000000002</c:v>
                </c:pt>
                <c:pt idx="102">
                  <c:v>3.3660000000000001</c:v>
                </c:pt>
                <c:pt idx="103">
                  <c:v>3.399</c:v>
                </c:pt>
                <c:pt idx="104">
                  <c:v>3.4319999999999999</c:v>
                </c:pt>
                <c:pt idx="105">
                  <c:v>3.4649999999999999</c:v>
                </c:pt>
                <c:pt idx="106">
                  <c:v>3.4980000000000002</c:v>
                </c:pt>
                <c:pt idx="107">
                  <c:v>3.5310000000000001</c:v>
                </c:pt>
                <c:pt idx="108">
                  <c:v>3.5640000000000001</c:v>
                </c:pt>
                <c:pt idx="109">
                  <c:v>3.597</c:v>
                </c:pt>
                <c:pt idx="110">
                  <c:v>3.63</c:v>
                </c:pt>
                <c:pt idx="111">
                  <c:v>3.6629999999999998</c:v>
                </c:pt>
                <c:pt idx="112">
                  <c:v>3.6960000000000002</c:v>
                </c:pt>
                <c:pt idx="113">
                  <c:v>3.7290000000000001</c:v>
                </c:pt>
                <c:pt idx="114">
                  <c:v>3.762</c:v>
                </c:pt>
                <c:pt idx="115">
                  <c:v>3.7949999999999999</c:v>
                </c:pt>
                <c:pt idx="116">
                  <c:v>3.8279999999999998</c:v>
                </c:pt>
                <c:pt idx="117">
                  <c:v>3.8610000000000002</c:v>
                </c:pt>
                <c:pt idx="118">
                  <c:v>3.8940000000000001</c:v>
                </c:pt>
                <c:pt idx="119">
                  <c:v>3.927</c:v>
                </c:pt>
                <c:pt idx="120">
                  <c:v>3.96</c:v>
                </c:pt>
                <c:pt idx="121">
                  <c:v>3.9929999999999999</c:v>
                </c:pt>
                <c:pt idx="122">
                  <c:v>4.0259999999999998</c:v>
                </c:pt>
                <c:pt idx="123">
                  <c:v>4.0590000000000002</c:v>
                </c:pt>
                <c:pt idx="124">
                  <c:v>4.0919999999999996</c:v>
                </c:pt>
                <c:pt idx="125">
                  <c:v>4.125</c:v>
                </c:pt>
                <c:pt idx="126">
                  <c:v>4.1580000000000004</c:v>
                </c:pt>
                <c:pt idx="127">
                  <c:v>4.1909999999999998</c:v>
                </c:pt>
                <c:pt idx="128">
                  <c:v>4.2240000000000002</c:v>
                </c:pt>
                <c:pt idx="129">
                  <c:v>4.2569999999999997</c:v>
                </c:pt>
                <c:pt idx="130">
                  <c:v>4.29</c:v>
                </c:pt>
                <c:pt idx="131">
                  <c:v>4.3230000000000004</c:v>
                </c:pt>
                <c:pt idx="132">
                  <c:v>4.3559999999999999</c:v>
                </c:pt>
                <c:pt idx="133">
                  <c:v>4.3890000000000002</c:v>
                </c:pt>
                <c:pt idx="134">
                  <c:v>4.4219999999999997</c:v>
                </c:pt>
                <c:pt idx="135">
                  <c:v>4.4550000000000001</c:v>
                </c:pt>
                <c:pt idx="136">
                  <c:v>4.4880000000000004</c:v>
                </c:pt>
                <c:pt idx="137">
                  <c:v>4.5209999999999999</c:v>
                </c:pt>
                <c:pt idx="138">
                  <c:v>4.5540000000000003</c:v>
                </c:pt>
                <c:pt idx="139">
                  <c:v>4.5869999999999997</c:v>
                </c:pt>
                <c:pt idx="140">
                  <c:v>4.62</c:v>
                </c:pt>
                <c:pt idx="141">
                  <c:v>4.6529999999999996</c:v>
                </c:pt>
                <c:pt idx="142">
                  <c:v>4.6859999999999999</c:v>
                </c:pt>
                <c:pt idx="143">
                  <c:v>4.7190000000000003</c:v>
                </c:pt>
                <c:pt idx="144">
                  <c:v>4.7519999999999998</c:v>
                </c:pt>
                <c:pt idx="145">
                  <c:v>4.7850000000000001</c:v>
                </c:pt>
                <c:pt idx="146">
                  <c:v>4.8179999999999996</c:v>
                </c:pt>
                <c:pt idx="147">
                  <c:v>4.851</c:v>
                </c:pt>
                <c:pt idx="148">
                  <c:v>4.8840000000000003</c:v>
                </c:pt>
                <c:pt idx="149">
                  <c:v>4.9169999999999998</c:v>
                </c:pt>
                <c:pt idx="150">
                  <c:v>4.95</c:v>
                </c:pt>
                <c:pt idx="151">
                  <c:v>4.9829999999999997</c:v>
                </c:pt>
                <c:pt idx="152">
                  <c:v>5.016</c:v>
                </c:pt>
                <c:pt idx="153">
                  <c:v>5.0490000000000004</c:v>
                </c:pt>
                <c:pt idx="154">
                  <c:v>5.0819999999999999</c:v>
                </c:pt>
                <c:pt idx="155">
                  <c:v>5.1150000000000002</c:v>
                </c:pt>
                <c:pt idx="156">
                  <c:v>5.1479999999999997</c:v>
                </c:pt>
                <c:pt idx="157">
                  <c:v>5.181</c:v>
                </c:pt>
                <c:pt idx="158">
                  <c:v>5.2140000000000004</c:v>
                </c:pt>
                <c:pt idx="159">
                  <c:v>5.2469999999999999</c:v>
                </c:pt>
                <c:pt idx="160">
                  <c:v>5.28</c:v>
                </c:pt>
                <c:pt idx="161">
                  <c:v>5.3129999999999997</c:v>
                </c:pt>
                <c:pt idx="162">
                  <c:v>5.3460000000000001</c:v>
                </c:pt>
                <c:pt idx="163">
                  <c:v>5.3789999999999996</c:v>
                </c:pt>
                <c:pt idx="164">
                  <c:v>5.4119999999999999</c:v>
                </c:pt>
                <c:pt idx="165">
                  <c:v>5.4450000000000003</c:v>
                </c:pt>
                <c:pt idx="166">
                  <c:v>5.4779999999999998</c:v>
                </c:pt>
                <c:pt idx="167">
                  <c:v>5.5110000000000001</c:v>
                </c:pt>
                <c:pt idx="168">
                  <c:v>5.5439999999999996</c:v>
                </c:pt>
                <c:pt idx="169">
                  <c:v>5.577</c:v>
                </c:pt>
                <c:pt idx="170">
                  <c:v>5.61</c:v>
                </c:pt>
                <c:pt idx="171">
                  <c:v>5.6429999999999998</c:v>
                </c:pt>
                <c:pt idx="172">
                  <c:v>5.6760000000000002</c:v>
                </c:pt>
                <c:pt idx="173">
                  <c:v>5.7089999999999996</c:v>
                </c:pt>
                <c:pt idx="174">
                  <c:v>5.742</c:v>
                </c:pt>
                <c:pt idx="175">
                  <c:v>5.7750000000000004</c:v>
                </c:pt>
                <c:pt idx="176">
                  <c:v>5.8079999999999998</c:v>
                </c:pt>
                <c:pt idx="177">
                  <c:v>5.8410000000000002</c:v>
                </c:pt>
                <c:pt idx="178">
                  <c:v>5.8739999999999997</c:v>
                </c:pt>
                <c:pt idx="179">
                  <c:v>5.907</c:v>
                </c:pt>
                <c:pt idx="180">
                  <c:v>5.94</c:v>
                </c:pt>
                <c:pt idx="181">
                  <c:v>5.9729999999999999</c:v>
                </c:pt>
                <c:pt idx="182">
                  <c:v>6.0060000000000002</c:v>
                </c:pt>
                <c:pt idx="183">
                  <c:v>6.0389999999999997</c:v>
                </c:pt>
                <c:pt idx="184">
                  <c:v>6.0720000000000001</c:v>
                </c:pt>
                <c:pt idx="185">
                  <c:v>6.1050000000000004</c:v>
                </c:pt>
                <c:pt idx="186">
                  <c:v>6.1379999999999999</c:v>
                </c:pt>
                <c:pt idx="187">
                  <c:v>6.1710000000000003</c:v>
                </c:pt>
                <c:pt idx="188">
                  <c:v>6.2039999999999997</c:v>
                </c:pt>
                <c:pt idx="189">
                  <c:v>6.2370000000000001</c:v>
                </c:pt>
                <c:pt idx="190">
                  <c:v>6.27</c:v>
                </c:pt>
                <c:pt idx="191">
                  <c:v>6.3029999999999999</c:v>
                </c:pt>
                <c:pt idx="192">
                  <c:v>6.3360000000000003</c:v>
                </c:pt>
                <c:pt idx="193">
                  <c:v>6.3689999999999998</c:v>
                </c:pt>
                <c:pt idx="194">
                  <c:v>6.4020000000000001</c:v>
                </c:pt>
                <c:pt idx="195">
                  <c:v>6.4349999999999996</c:v>
                </c:pt>
                <c:pt idx="196">
                  <c:v>6.468</c:v>
                </c:pt>
                <c:pt idx="197">
                  <c:v>6.5010000000000003</c:v>
                </c:pt>
                <c:pt idx="198">
                  <c:v>6.5339999999999998</c:v>
                </c:pt>
                <c:pt idx="199">
                  <c:v>6.5670000000000002</c:v>
                </c:pt>
                <c:pt idx="200">
                  <c:v>6.6</c:v>
                </c:pt>
                <c:pt idx="201">
                  <c:v>6.633</c:v>
                </c:pt>
                <c:pt idx="202">
                  <c:v>6.6660000000000004</c:v>
                </c:pt>
                <c:pt idx="203">
                  <c:v>6.6989999999999998</c:v>
                </c:pt>
                <c:pt idx="204">
                  <c:v>6.7320000000000002</c:v>
                </c:pt>
                <c:pt idx="205">
                  <c:v>6.7649999999999997</c:v>
                </c:pt>
                <c:pt idx="206">
                  <c:v>6.798</c:v>
                </c:pt>
                <c:pt idx="207">
                  <c:v>6.8310000000000004</c:v>
                </c:pt>
                <c:pt idx="208">
                  <c:v>6.8639999999999999</c:v>
                </c:pt>
                <c:pt idx="209">
                  <c:v>6.8970000000000002</c:v>
                </c:pt>
                <c:pt idx="210">
                  <c:v>6.93</c:v>
                </c:pt>
                <c:pt idx="211">
                  <c:v>6.9630000000000001</c:v>
                </c:pt>
                <c:pt idx="212">
                  <c:v>6.9960000000000004</c:v>
                </c:pt>
                <c:pt idx="213">
                  <c:v>7.0289999999999999</c:v>
                </c:pt>
                <c:pt idx="214">
                  <c:v>7.0620000000000003</c:v>
                </c:pt>
                <c:pt idx="215">
                  <c:v>7.0949999999999998</c:v>
                </c:pt>
                <c:pt idx="216">
                  <c:v>7.1280000000000001</c:v>
                </c:pt>
                <c:pt idx="217">
                  <c:v>7.1609999999999996</c:v>
                </c:pt>
                <c:pt idx="218">
                  <c:v>7.194</c:v>
                </c:pt>
                <c:pt idx="219">
                  <c:v>7.2270000000000003</c:v>
                </c:pt>
                <c:pt idx="220">
                  <c:v>7.26</c:v>
                </c:pt>
                <c:pt idx="221">
                  <c:v>7.2930000000000001</c:v>
                </c:pt>
                <c:pt idx="222">
                  <c:v>7.3259999999999996</c:v>
                </c:pt>
                <c:pt idx="223">
                  <c:v>7.359</c:v>
                </c:pt>
                <c:pt idx="224">
                  <c:v>7.3920000000000003</c:v>
                </c:pt>
                <c:pt idx="225">
                  <c:v>7.4249999999999998</c:v>
                </c:pt>
                <c:pt idx="226">
                  <c:v>7.4580000000000002</c:v>
                </c:pt>
                <c:pt idx="227">
                  <c:v>7.4909999999999997</c:v>
                </c:pt>
                <c:pt idx="228">
                  <c:v>7.524</c:v>
                </c:pt>
                <c:pt idx="229">
                  <c:v>7.5570000000000004</c:v>
                </c:pt>
                <c:pt idx="230">
                  <c:v>7.59</c:v>
                </c:pt>
                <c:pt idx="231">
                  <c:v>7.6230000000000002</c:v>
                </c:pt>
                <c:pt idx="232">
                  <c:v>7.6559999999999997</c:v>
                </c:pt>
                <c:pt idx="233">
                  <c:v>7.6890000000000001</c:v>
                </c:pt>
                <c:pt idx="234">
                  <c:v>7.7220000000000004</c:v>
                </c:pt>
                <c:pt idx="235">
                  <c:v>7.7549999999999999</c:v>
                </c:pt>
                <c:pt idx="236">
                  <c:v>7.7880000000000003</c:v>
                </c:pt>
                <c:pt idx="237">
                  <c:v>7.8209999999999997</c:v>
                </c:pt>
                <c:pt idx="238">
                  <c:v>7.8540000000000001</c:v>
                </c:pt>
                <c:pt idx="239">
                  <c:v>7.8869999999999996</c:v>
                </c:pt>
                <c:pt idx="240">
                  <c:v>7.92</c:v>
                </c:pt>
                <c:pt idx="241">
                  <c:v>7.9530000000000003</c:v>
                </c:pt>
                <c:pt idx="242">
                  <c:v>7.9859999999999998</c:v>
                </c:pt>
                <c:pt idx="243">
                  <c:v>8.0190000000000001</c:v>
                </c:pt>
                <c:pt idx="244">
                  <c:v>8.0519999999999996</c:v>
                </c:pt>
                <c:pt idx="245">
                  <c:v>8.0850000000000009</c:v>
                </c:pt>
                <c:pt idx="246">
                  <c:v>8.1180000000000003</c:v>
                </c:pt>
                <c:pt idx="247">
                  <c:v>8.1509999999999998</c:v>
                </c:pt>
                <c:pt idx="248">
                  <c:v>8.1839999999999993</c:v>
                </c:pt>
                <c:pt idx="249">
                  <c:v>8.2170000000000005</c:v>
                </c:pt>
                <c:pt idx="250">
                  <c:v>8.25</c:v>
                </c:pt>
                <c:pt idx="251">
                  <c:v>8.2829999999999995</c:v>
                </c:pt>
                <c:pt idx="252">
                  <c:v>8.3160000000000007</c:v>
                </c:pt>
                <c:pt idx="253">
                  <c:v>8.3490000000000002</c:v>
                </c:pt>
                <c:pt idx="254">
                  <c:v>8.3819999999999997</c:v>
                </c:pt>
                <c:pt idx="255">
                  <c:v>8.4149999999999991</c:v>
                </c:pt>
                <c:pt idx="256">
                  <c:v>8.4480000000000004</c:v>
                </c:pt>
                <c:pt idx="257">
                  <c:v>8.4809999999999999</c:v>
                </c:pt>
                <c:pt idx="258">
                  <c:v>8.5139999999999993</c:v>
                </c:pt>
                <c:pt idx="259">
                  <c:v>8.5470000000000006</c:v>
                </c:pt>
                <c:pt idx="260">
                  <c:v>8.58</c:v>
                </c:pt>
                <c:pt idx="261">
                  <c:v>8.6129999999999995</c:v>
                </c:pt>
                <c:pt idx="262">
                  <c:v>8.6460000000000008</c:v>
                </c:pt>
                <c:pt idx="263">
                  <c:v>8.6790000000000003</c:v>
                </c:pt>
                <c:pt idx="264">
                  <c:v>8.7119999999999997</c:v>
                </c:pt>
                <c:pt idx="265">
                  <c:v>8.7449999999999992</c:v>
                </c:pt>
                <c:pt idx="266">
                  <c:v>8.7780000000000005</c:v>
                </c:pt>
                <c:pt idx="267">
                  <c:v>8.8109999999999999</c:v>
                </c:pt>
                <c:pt idx="268">
                  <c:v>8.8439999999999994</c:v>
                </c:pt>
                <c:pt idx="269">
                  <c:v>8.8770000000000007</c:v>
                </c:pt>
                <c:pt idx="270">
                  <c:v>8.91</c:v>
                </c:pt>
                <c:pt idx="271">
                  <c:v>8.9429999999999996</c:v>
                </c:pt>
                <c:pt idx="272">
                  <c:v>8.9760000000000009</c:v>
                </c:pt>
                <c:pt idx="273">
                  <c:v>9.0090000000000003</c:v>
                </c:pt>
                <c:pt idx="274">
                  <c:v>9.0419999999999998</c:v>
                </c:pt>
                <c:pt idx="275">
                  <c:v>9.0749999999999993</c:v>
                </c:pt>
                <c:pt idx="276">
                  <c:v>9.1080000000000005</c:v>
                </c:pt>
                <c:pt idx="277">
                  <c:v>9.141</c:v>
                </c:pt>
                <c:pt idx="278">
                  <c:v>9.1739999999999995</c:v>
                </c:pt>
                <c:pt idx="279">
                  <c:v>9.2070000000000007</c:v>
                </c:pt>
                <c:pt idx="280">
                  <c:v>9.24</c:v>
                </c:pt>
                <c:pt idx="281">
                  <c:v>9.2729999999999997</c:v>
                </c:pt>
                <c:pt idx="282">
                  <c:v>9.3059999999999992</c:v>
                </c:pt>
                <c:pt idx="283">
                  <c:v>9.3390000000000004</c:v>
                </c:pt>
                <c:pt idx="284">
                  <c:v>9.3719999999999999</c:v>
                </c:pt>
                <c:pt idx="285">
                  <c:v>9.4049999999999994</c:v>
                </c:pt>
                <c:pt idx="286">
                  <c:v>9.4380000000000006</c:v>
                </c:pt>
                <c:pt idx="287">
                  <c:v>9.4710000000000001</c:v>
                </c:pt>
                <c:pt idx="288">
                  <c:v>9.5039999999999996</c:v>
                </c:pt>
                <c:pt idx="289">
                  <c:v>9.5370000000000008</c:v>
                </c:pt>
                <c:pt idx="290">
                  <c:v>9.57</c:v>
                </c:pt>
                <c:pt idx="291">
                  <c:v>9.6029999999999998</c:v>
                </c:pt>
                <c:pt idx="292">
                  <c:v>9.6359999999999992</c:v>
                </c:pt>
                <c:pt idx="293">
                  <c:v>9.6690000000000005</c:v>
                </c:pt>
                <c:pt idx="294">
                  <c:v>9.702</c:v>
                </c:pt>
                <c:pt idx="295">
                  <c:v>9.7349999999999994</c:v>
                </c:pt>
                <c:pt idx="296">
                  <c:v>9.7680000000000007</c:v>
                </c:pt>
                <c:pt idx="297">
                  <c:v>9.8010000000000002</c:v>
                </c:pt>
                <c:pt idx="298">
                  <c:v>9.8339999999999996</c:v>
                </c:pt>
                <c:pt idx="299">
                  <c:v>9.8670000000000009</c:v>
                </c:pt>
                <c:pt idx="300">
                  <c:v>9.9</c:v>
                </c:pt>
                <c:pt idx="301">
                  <c:v>9.9329999999999998</c:v>
                </c:pt>
                <c:pt idx="302">
                  <c:v>9.9659999999999993</c:v>
                </c:pt>
                <c:pt idx="303">
                  <c:v>9.9990000000000006</c:v>
                </c:pt>
                <c:pt idx="304">
                  <c:v>10.032</c:v>
                </c:pt>
                <c:pt idx="305">
                  <c:v>10.065</c:v>
                </c:pt>
                <c:pt idx="306">
                  <c:v>10.098000000000001</c:v>
                </c:pt>
                <c:pt idx="307">
                  <c:v>10.131</c:v>
                </c:pt>
                <c:pt idx="308">
                  <c:v>10.164</c:v>
                </c:pt>
                <c:pt idx="309">
                  <c:v>10.196999999999999</c:v>
                </c:pt>
                <c:pt idx="310">
                  <c:v>10.23</c:v>
                </c:pt>
                <c:pt idx="311">
                  <c:v>10.263</c:v>
                </c:pt>
                <c:pt idx="312">
                  <c:v>10.295999999999999</c:v>
                </c:pt>
                <c:pt idx="313">
                  <c:v>10.329000000000001</c:v>
                </c:pt>
                <c:pt idx="314">
                  <c:v>10.362</c:v>
                </c:pt>
                <c:pt idx="315">
                  <c:v>10.395</c:v>
                </c:pt>
                <c:pt idx="316">
                  <c:v>10.428000000000001</c:v>
                </c:pt>
                <c:pt idx="317">
                  <c:v>10.461</c:v>
                </c:pt>
                <c:pt idx="318">
                  <c:v>10.494</c:v>
                </c:pt>
                <c:pt idx="319">
                  <c:v>10.526999999999999</c:v>
                </c:pt>
                <c:pt idx="320">
                  <c:v>10.56</c:v>
                </c:pt>
                <c:pt idx="321">
                  <c:v>10.593</c:v>
                </c:pt>
                <c:pt idx="322">
                  <c:v>10.625999999999999</c:v>
                </c:pt>
                <c:pt idx="323">
                  <c:v>10.659000000000001</c:v>
                </c:pt>
                <c:pt idx="324">
                  <c:v>10.692</c:v>
                </c:pt>
                <c:pt idx="325">
                  <c:v>10.725</c:v>
                </c:pt>
                <c:pt idx="326">
                  <c:v>10.757999999999999</c:v>
                </c:pt>
                <c:pt idx="327">
                  <c:v>10.791</c:v>
                </c:pt>
                <c:pt idx="328">
                  <c:v>10.824</c:v>
                </c:pt>
                <c:pt idx="329">
                  <c:v>10.856999999999999</c:v>
                </c:pt>
                <c:pt idx="330">
                  <c:v>10.89</c:v>
                </c:pt>
                <c:pt idx="331">
                  <c:v>10.923</c:v>
                </c:pt>
                <c:pt idx="332">
                  <c:v>10.956</c:v>
                </c:pt>
                <c:pt idx="333">
                  <c:v>10.989000000000001</c:v>
                </c:pt>
                <c:pt idx="334">
                  <c:v>11.022</c:v>
                </c:pt>
              </c:numCache>
            </c:numRef>
          </c:xVal>
          <c:yVal>
            <c:numRef>
              <c:f>Rekap!$AB$2:$AB$336</c:f>
              <c:numCache>
                <c:formatCode>General</c:formatCode>
                <c:ptCount val="335"/>
                <c:pt idx="0">
                  <c:v>0</c:v>
                </c:pt>
                <c:pt idx="1">
                  <c:v>8.1932026360360857E-2</c:v>
                </c:pt>
                <c:pt idx="2">
                  <c:v>0.32485189882703136</c:v>
                </c:pt>
                <c:pt idx="3">
                  <c:v>0.72453042441383964</c:v>
                </c:pt>
                <c:pt idx="4">
                  <c:v>1.2768495121449985</c:v>
                </c:pt>
                <c:pt idx="5">
                  <c:v>1.9777992543758041</c:v>
                </c:pt>
                <c:pt idx="6">
                  <c:v>2.8234750847881678</c:v>
                </c:pt>
                <c:pt idx="7">
                  <c:v>3.8100750110465134</c:v>
                </c:pt>
                <c:pt idx="8">
                  <c:v>4.9338969201519722</c:v>
                </c:pt>
                <c:pt idx="9">
                  <c:v>6.1913359545863171</c:v>
                </c:pt>
                <c:pt idx="10">
                  <c:v>7.5788819573847865</c:v>
                </c:pt>
                <c:pt idx="11">
                  <c:v>9.0931169843276436</c:v>
                </c:pt>
                <c:pt idx="12">
                  <c:v>10.730712881487309</c:v>
                </c:pt>
                <c:pt idx="13">
                  <c:v>12.488428926413649</c:v>
                </c:pt>
                <c:pt idx="14">
                  <c:v>14.363109531286174</c:v>
                </c:pt>
                <c:pt idx="15">
                  <c:v>16.351682006405063</c:v>
                </c:pt>
                <c:pt idx="16">
                  <c:v>18.451154382435551</c:v>
                </c:pt>
                <c:pt idx="17">
                  <c:v>20.658613289862924</c:v>
                </c:pt>
                <c:pt idx="18">
                  <c:v>22.971221894154532</c:v>
                </c:pt>
                <c:pt idx="19">
                  <c:v>25.38621788516577</c:v>
                </c:pt>
                <c:pt idx="20">
                  <c:v>27.900911519364733</c:v>
                </c:pt>
                <c:pt idx="21">
                  <c:v>30.512683713488414</c:v>
                </c:pt>
                <c:pt idx="22">
                  <c:v>33.218984188278675</c:v>
                </c:pt>
                <c:pt idx="23">
                  <c:v>36.017329660983215</c:v>
                </c:pt>
                <c:pt idx="24">
                  <c:v>38.905302085339557</c:v>
                </c:pt>
                <c:pt idx="25">
                  <c:v>41.880546937795401</c:v>
                </c:pt>
                <c:pt idx="26">
                  <c:v>44.94077154875044</c:v>
                </c:pt>
                <c:pt idx="27">
                  <c:v>48.083743477636652</c:v>
                </c:pt>
                <c:pt idx="28">
                  <c:v>51.307288930685999</c:v>
                </c:pt>
                <c:pt idx="29">
                  <c:v>54.609291220263351</c:v>
                </c:pt>
                <c:pt idx="30">
                  <c:v>57.98768926467357</c:v>
                </c:pt>
                <c:pt idx="31">
                  <c:v>61.44047612737883</c:v>
                </c:pt>
                <c:pt idx="32">
                  <c:v>64.96569759459102</c:v>
                </c:pt>
                <c:pt idx="33">
                  <c:v>68.561450790231405</c:v>
                </c:pt>
                <c:pt idx="34">
                  <c:v>72.225882827275441</c:v>
                </c:pt>
                <c:pt idx="35">
                  <c:v>75.957189494527157</c:v>
                </c:pt>
                <c:pt idx="36">
                  <c:v>79.753613977892485</c:v>
                </c:pt>
                <c:pt idx="37">
                  <c:v>83.613445615244871</c:v>
                </c:pt>
                <c:pt idx="38">
                  <c:v>87.535018684000917</c:v>
                </c:pt>
                <c:pt idx="39">
                  <c:v>91.516711220546867</c:v>
                </c:pt>
                <c:pt idx="40">
                  <c:v>95.556943870679021</c:v>
                </c:pt>
                <c:pt idx="41">
                  <c:v>99.654178770243206</c:v>
                </c:pt>
                <c:pt idx="42">
                  <c:v>103.80691845518035</c:v>
                </c:pt>
                <c:pt idx="43">
                  <c:v>108.01370480020546</c:v>
                </c:pt>
                <c:pt idx="44">
                  <c:v>112.27311798536758</c:v>
                </c:pt>
                <c:pt idx="45">
                  <c:v>116.58377548975868</c:v>
                </c:pt>
                <c:pt idx="46">
                  <c:v>120.94433111165789</c:v>
                </c:pt>
                <c:pt idx="47">
                  <c:v>125.35347401441709</c:v>
                </c:pt>
                <c:pt idx="48">
                  <c:v>129.80992779741109</c:v>
                </c:pt>
                <c:pt idx="49">
                  <c:v>134.31244959139423</c:v>
                </c:pt>
                <c:pt idx="50">
                  <c:v>138.85982917762215</c:v>
                </c:pt>
                <c:pt idx="51">
                  <c:v>143.45088813011492</c:v>
                </c:pt>
                <c:pt idx="52">
                  <c:v>148.08447898045222</c:v>
                </c:pt>
                <c:pt idx="53">
                  <c:v>152.75948440451057</c:v>
                </c:pt>
                <c:pt idx="54">
                  <c:v>157.47481643056454</c:v>
                </c:pt>
                <c:pt idx="55">
                  <c:v>162.22941566819165</c:v>
                </c:pt>
                <c:pt idx="56">
                  <c:v>167.02225055743386</c:v>
                </c:pt>
                <c:pt idx="57">
                  <c:v>171.85231663768411</c:v>
                </c:pt>
                <c:pt idx="58">
                  <c:v>176.71863583577928</c:v>
                </c:pt>
                <c:pt idx="59">
                  <c:v>181.62025577279496</c:v>
                </c:pt>
                <c:pt idx="60">
                  <c:v>186.55624908905119</c:v>
                </c:pt>
                <c:pt idx="61">
                  <c:v>191.52571278685025</c:v>
                </c:pt>
                <c:pt idx="62">
                  <c:v>196.52776759048112</c:v>
                </c:pt>
                <c:pt idx="63">
                  <c:v>201.56155732303651</c:v>
                </c:pt>
                <c:pt idx="64">
                  <c:v>206.6262482996012</c:v>
                </c:pt>
                <c:pt idx="65">
                  <c:v>211.72102873638173</c:v>
                </c:pt>
                <c:pt idx="66">
                  <c:v>216.84510817535792</c:v>
                </c:pt>
                <c:pt idx="67">
                  <c:v>221.99771692404937</c:v>
                </c:pt>
                <c:pt idx="68">
                  <c:v>227.1781055099994</c:v>
                </c:pt>
                <c:pt idx="69">
                  <c:v>232.38554414958912</c:v>
                </c:pt>
                <c:pt idx="70">
                  <c:v>237.61932223080734</c:v>
                </c:pt>
                <c:pt idx="71">
                  <c:v>242.87874780960675</c:v>
                </c:pt>
                <c:pt idx="72">
                  <c:v>248.16314711949192</c:v>
                </c:pt>
                <c:pt idx="73">
                  <c:v>253.47186409399023</c:v>
                </c:pt>
                <c:pt idx="74">
                  <c:v>258.80425990166742</c:v>
                </c:pt>
                <c:pt idx="75">
                  <c:v>264.15971249335871</c:v>
                </c:pt>
                <c:pt idx="76">
                  <c:v>269.53761616129435</c:v>
                </c:pt>
                <c:pt idx="77">
                  <c:v>274.93738110980667</c:v>
                </c:pt>
                <c:pt idx="78">
                  <c:v>280.35843303731502</c:v>
                </c:pt>
                <c:pt idx="79">
                  <c:v>285.80021272929218</c:v>
                </c:pt>
                <c:pt idx="80">
                  <c:v>291.2621756619231</c:v>
                </c:pt>
                <c:pt idx="81">
                  <c:v>296.74379161617674</c:v>
                </c:pt>
                <c:pt idx="82">
                  <c:v>302.24454430201473</c:v>
                </c:pt>
                <c:pt idx="83">
                  <c:v>307.76393099247406</c:v>
                </c:pt>
                <c:pt idx="84">
                  <c:v>313.30146216736074</c:v>
                </c:pt>
                <c:pt idx="85">
                  <c:v>318.85666116630483</c:v>
                </c:pt>
                <c:pt idx="86">
                  <c:v>324.42906385092948</c:v>
                </c:pt>
                <c:pt idx="87">
                  <c:v>330.01821827589487</c:v>
                </c:pt>
                <c:pt idx="88">
                  <c:v>335.62368436858401</c:v>
                </c:pt>
                <c:pt idx="89">
                  <c:v>341.24503361720292</c:v>
                </c:pt>
                <c:pt idx="90">
                  <c:v>346.88184876707521</c:v>
                </c:pt>
                <c:pt idx="91">
                  <c:v>352.53372352491408</c:v>
                </c:pt>
                <c:pt idx="92">
                  <c:v>358.20026227086424</c:v>
                </c:pt>
                <c:pt idx="93">
                  <c:v>363.8810797781079</c:v>
                </c:pt>
                <c:pt idx="94">
                  <c:v>369.57580093983682</c:v>
                </c:pt>
                <c:pt idx="95">
                  <c:v>375.2840605033972</c:v>
                </c:pt>
                <c:pt idx="96">
                  <c:v>381.00550281141824</c:v>
                </c:pt>
                <c:pt idx="97">
                  <c:v>386.73978154974174</c:v>
                </c:pt>
                <c:pt idx="98">
                  <c:v>392.48655950197326</c:v>
                </c:pt>
                <c:pt idx="99">
                  <c:v>398.24550831048174</c:v>
                </c:pt>
                <c:pt idx="100">
                  <c:v>404.01630824367703</c:v>
                </c:pt>
                <c:pt idx="101">
                  <c:v>409.79864796940245</c:v>
                </c:pt>
                <c:pt idx="102">
                  <c:v>415.59222433427794</c:v>
                </c:pt>
                <c:pt idx="103">
                  <c:v>421.39674214884269</c:v>
                </c:pt>
                <c:pt idx="104">
                  <c:v>427.21191397834093</c:v>
                </c:pt>
                <c:pt idx="105">
                  <c:v>433.03745993900276</c:v>
                </c:pt>
                <c:pt idx="106">
                  <c:v>438.87310749967889</c:v>
                </c:pt>
                <c:pt idx="107">
                  <c:v>444.71859128868465</c:v>
                </c:pt>
                <c:pt idx="108">
                  <c:v>450.57365290571903</c:v>
                </c:pt>
                <c:pt idx="109">
                  <c:v>456.43804073872519</c:v>
                </c:pt>
                <c:pt idx="110">
                  <c:v>462.31150978556065</c:v>
                </c:pt>
                <c:pt idx="111">
                  <c:v>468.19382148035407</c:v>
                </c:pt>
                <c:pt idx="112">
                  <c:v>474.08474352442175</c:v>
                </c:pt>
                <c:pt idx="113">
                  <c:v>479.98404972162729</c:v>
                </c:pt>
                <c:pt idx="114">
                  <c:v>485.8915198180668</c:v>
                </c:pt>
                <c:pt idx="115">
                  <c:v>491.80693934596354</c:v>
                </c:pt>
                <c:pt idx="116">
                  <c:v>497.73009947166622</c:v>
                </c:pt>
                <c:pt idx="117">
                  <c:v>503.66079684763804</c:v>
                </c:pt>
                <c:pt idx="118">
                  <c:v>509.59883346833533</c:v>
                </c:pt>
                <c:pt idx="119">
                  <c:v>515.54401652987235</c:v>
                </c:pt>
                <c:pt idx="120">
                  <c:v>521.49615829337165</c:v>
                </c:pt>
                <c:pt idx="121">
                  <c:v>527.45507595190588</c:v>
                </c:pt>
                <c:pt idx="122">
                  <c:v>533.42059150093314</c:v>
                </c:pt>
                <c:pt idx="123">
                  <c:v>539.3925316121381</c:v>
                </c:pt>
                <c:pt idx="124">
                  <c:v>545.37072751058531</c:v>
                </c:pt>
                <c:pt idx="125">
                  <c:v>551.35501485510156</c:v>
                </c:pt>
                <c:pt idx="126">
                  <c:v>557.34523362179914</c:v>
                </c:pt>
                <c:pt idx="127">
                  <c:v>563.34122799065995</c:v>
                </c:pt>
                <c:pt idx="128">
                  <c:v>569.34284623509893</c:v>
                </c:pt>
                <c:pt idx="129">
                  <c:v>575.34994061442785</c:v>
                </c:pt>
                <c:pt idx="130">
                  <c:v>581.36236726914547</c:v>
                </c:pt>
                <c:pt idx="131">
                  <c:v>587.37998611897729</c:v>
                </c:pt>
                <c:pt idx="132">
                  <c:v>593.4026607635941</c:v>
                </c:pt>
                <c:pt idx="133">
                  <c:v>599.43025838593996</c:v>
                </c:pt>
                <c:pt idx="134">
                  <c:v>605.46264965809689</c:v>
                </c:pt>
                <c:pt idx="135">
                  <c:v>611.49970864962609</c:v>
                </c:pt>
                <c:pt idx="136">
                  <c:v>617.5413127383141</c:v>
                </c:pt>
                <c:pt idx="137">
                  <c:v>623.58734252326474</c:v>
                </c:pt>
                <c:pt idx="138">
                  <c:v>629.63768174027564</c:v>
                </c:pt>
                <c:pt idx="139">
                  <c:v>635.69221717943481</c:v>
                </c:pt>
                <c:pt idx="140">
                  <c:v>641.75083860488508</c:v>
                </c:pt>
                <c:pt idx="141">
                  <c:v>647.81343867669329</c:v>
                </c:pt>
                <c:pt idx="142">
                  <c:v>653.87991287477519</c:v>
                </c:pt>
                <c:pt idx="143">
                  <c:v>659.95015942481655</c:v>
                </c:pt>
                <c:pt idx="144">
                  <c:v>666.02407922614054</c:v>
                </c:pt>
                <c:pt idx="145">
                  <c:v>672.10157578147198</c:v>
                </c:pt>
                <c:pt idx="146">
                  <c:v>678.18255512854353</c:v>
                </c:pt>
                <c:pt idx="147">
                  <c:v>684.26692577350207</c:v>
                </c:pt>
                <c:pt idx="148">
                  <c:v>690.3545986260616</c:v>
                </c:pt>
                <c:pt idx="149">
                  <c:v>696.44548693636125</c:v>
                </c:pt>
                <c:pt idx="150">
                  <c:v>702.53950623348237</c:v>
                </c:pt>
                <c:pt idx="151">
                  <c:v>708.63657426557847</c:v>
                </c:pt>
                <c:pt idx="152">
                  <c:v>714.73661094158183</c:v>
                </c:pt>
                <c:pt idx="153">
                  <c:v>720.83953827443747</c:v>
                </c:pt>
                <c:pt idx="154">
                  <c:v>726.94528032583048</c:v>
                </c:pt>
                <c:pt idx="155">
                  <c:v>733.0537631523664</c:v>
                </c:pt>
                <c:pt idx="156">
                  <c:v>739.16491475316218</c:v>
                </c:pt>
                <c:pt idx="157">
                  <c:v>745.27866501881772</c:v>
                </c:pt>
                <c:pt idx="158">
                  <c:v>751.39494568172461</c:v>
                </c:pt>
                <c:pt idx="159">
                  <c:v>757.51369026768259</c:v>
                </c:pt>
                <c:pt idx="160">
                  <c:v>763.63483404878639</c:v>
                </c:pt>
                <c:pt idx="161">
                  <c:v>769.75831399754929</c:v>
                </c:pt>
                <c:pt idx="162">
                  <c:v>775.88406874223404</c:v>
                </c:pt>
                <c:pt idx="163">
                  <c:v>782.01203852335391</c:v>
                </c:pt>
                <c:pt idx="164">
                  <c:v>788.14216515132057</c:v>
                </c:pt>
                <c:pt idx="165">
                  <c:v>794.27439196520095</c:v>
                </c:pt>
                <c:pt idx="166">
                  <c:v>800.40866379255965</c:v>
                </c:pt>
                <c:pt idx="167">
                  <c:v>806.54492691035557</c:v>
                </c:pt>
                <c:pt idx="168">
                  <c:v>812.68312900686612</c:v>
                </c:pt>
                <c:pt idx="169">
                  <c:v>818.8232191446117</c:v>
                </c:pt>
                <c:pt idx="170">
                  <c:v>824.96514772425292</c:v>
                </c:pt>
                <c:pt idx="171">
                  <c:v>831.10886644943855</c:v>
                </c:pt>
                <c:pt idx="172">
                  <c:v>837.25432829257545</c:v>
                </c:pt>
                <c:pt idx="173">
                  <c:v>843.4014874614968</c:v>
                </c:pt>
                <c:pt idx="174">
                  <c:v>849.55029936700919</c:v>
                </c:pt>
                <c:pt idx="175">
                  <c:v>855.70072059128825</c:v>
                </c:pt>
                <c:pt idx="176">
                  <c:v>861.85270885710702</c:v>
                </c:pt>
                <c:pt idx="177">
                  <c:v>868.00622299787335</c:v>
                </c:pt>
                <c:pt idx="178">
                  <c:v>874.16122292845137</c:v>
                </c:pt>
                <c:pt idx="179">
                  <c:v>880.31766961675294</c:v>
                </c:pt>
                <c:pt idx="180">
                  <c:v>886.47552505607257</c:v>
                </c:pt>
                <c:pt idx="181">
                  <c:v>892.63475223815124</c:v>
                </c:pt>
                <c:pt idx="182">
                  <c:v>898.79531512694643</c:v>
                </c:pt>
                <c:pt idx="183">
                  <c:v>904.95717863309187</c:v>
                </c:pt>
                <c:pt idx="184">
                  <c:v>911.1203085890287</c:v>
                </c:pt>
                <c:pt idx="185">
                  <c:v>917.28467172478815</c:v>
                </c:pt>
                <c:pt idx="186">
                  <c:v>923.45023564441226</c:v>
                </c:pt>
                <c:pt idx="187">
                  <c:v>929.61696880299405</c:v>
                </c:pt>
                <c:pt idx="188">
                  <c:v>935.78484048431869</c:v>
                </c:pt>
                <c:pt idx="189">
                  <c:v>941.95382077909517</c:v>
                </c:pt>
                <c:pt idx="190">
                  <c:v>948.12388056375687</c:v>
                </c:pt>
                <c:pt idx="191">
                  <c:v>954.29499147982108</c:v>
                </c:pt>
                <c:pt idx="192">
                  <c:v>960.46712591378991</c:v>
                </c:pt>
                <c:pt idx="193">
                  <c:v>966.64025697757916</c:v>
                </c:pt>
                <c:pt idx="194">
                  <c:v>972.81435848946171</c:v>
                </c:pt>
                <c:pt idx="195">
                  <c:v>978.98940495551153</c:v>
                </c:pt>
                <c:pt idx="196">
                  <c:v>985.16537155153469</c:v>
                </c:pt>
                <c:pt idx="197">
                  <c:v>991.34223410547497</c:v>
                </c:pt>
                <c:pt idx="198">
                  <c:v>997.51996908028252</c:v>
                </c:pt>
                <c:pt idx="199">
                  <c:v>1003.6985535572323</c:v>
                </c:pt>
                <c:pt idx="200">
                  <c:v>1009.87796521968</c:v>
                </c:pt>
                <c:pt idx="201">
                  <c:v>1016.0581823372454</c:v>
                </c:pt>
                <c:pt idx="202">
                  <c:v>1022.239183750411</c:v>
                </c:pt>
                <c:pt idx="203">
                  <c:v>1028.4209488555252</c:v>
                </c:pt>
                <c:pt idx="204">
                  <c:v>1034.6034575902006</c:v>
                </c:pt>
                <c:pt idx="205">
                  <c:v>1040.786690419093</c:v>
                </c:pt>
                <c:pt idx="206">
                  <c:v>1046.9706283200574</c:v>
                </c:pt>
                <c:pt idx="207">
                  <c:v>1053.1552527706651</c:v>
                </c:pt>
                <c:pt idx="208">
                  <c:v>1059.3405457350766</c:v>
                </c:pt>
                <c:pt idx="209">
                  <c:v>1065.5264896512592</c:v>
                </c:pt>
                <c:pt idx="210">
                  <c:v>1071.7130674185385</c:v>
                </c:pt>
                <c:pt idx="211">
                  <c:v>1077.9002623854803</c:v>
                </c:pt>
                <c:pt idx="212">
                  <c:v>1084.0880583380872</c:v>
                </c:pt>
                <c:pt idx="213">
                  <c:v>1090.2764394883075</c:v>
                </c:pt>
                <c:pt idx="214">
                  <c:v>1096.4653904628469</c:v>
                </c:pt>
                <c:pt idx="215">
                  <c:v>1102.6548962922705</c:v>
                </c:pt>
                <c:pt idx="216">
                  <c:v>1108.844942400395</c:v>
                </c:pt>
                <c:pt idx="217">
                  <c:v>1115.0355145939573</c:v>
                </c:pt>
                <c:pt idx="218">
                  <c:v>1121.2265990525543</c:v>
                </c:pt>
                <c:pt idx="219">
                  <c:v>1127.4181823188494</c:v>
                </c:pt>
                <c:pt idx="220">
                  <c:v>1133.6102512890334</c:v>
                </c:pt>
                <c:pt idx="221">
                  <c:v>1139.8027932035375</c:v>
                </c:pt>
                <c:pt idx="222">
                  <c:v>1145.9957956379899</c:v>
                </c:pt>
                <c:pt idx="223">
                  <c:v>1152.1892464944115</c:v>
                </c:pt>
                <c:pt idx="224">
                  <c:v>1158.3831339926387</c:v>
                </c:pt>
                <c:pt idx="225">
                  <c:v>1164.5774466619769</c:v>
                </c:pt>
                <c:pt idx="226">
                  <c:v>1170.7721733330693</c:v>
                </c:pt>
                <c:pt idx="227">
                  <c:v>1176.967303129981</c:v>
                </c:pt>
                <c:pt idx="228">
                  <c:v>1183.1628254624914</c:v>
                </c:pt>
                <c:pt idx="229">
                  <c:v>1189.3587300185868</c:v>
                </c:pt>
                <c:pt idx="230">
                  <c:v>1195.5550067571533</c:v>
                </c:pt>
                <c:pt idx="231">
                  <c:v>1201.7516459008596</c:v>
                </c:pt>
                <c:pt idx="232">
                  <c:v>1207.9486379292277</c:v>
                </c:pt>
                <c:pt idx="233">
                  <c:v>1214.145973571885</c:v>
                </c:pt>
                <c:pt idx="234">
                  <c:v>1220.3436438019937</c:v>
                </c:pt>
                <c:pt idx="235">
                  <c:v>1226.5416398298535</c:v>
                </c:pt>
                <c:pt idx="236">
                  <c:v>1232.7399530966723</c:v>
                </c:pt>
                <c:pt idx="237">
                  <c:v>1238.9385752684989</c:v>
                </c:pt>
                <c:pt idx="238">
                  <c:v>1245.137498230318</c:v>
                </c:pt>
                <c:pt idx="239">
                  <c:v>1251.3367140802973</c:v>
                </c:pt>
                <c:pt idx="240">
                  <c:v>1257.5362151241882</c:v>
                </c:pt>
                <c:pt idx="241">
                  <c:v>1263.7359938698714</c:v>
                </c:pt>
                <c:pt idx="242">
                  <c:v>1269.9360430220481</c:v>
                </c:pt>
                <c:pt idx="243">
                  <c:v>1276.1363554770689</c:v>
                </c:pt>
                <c:pt idx="244">
                  <c:v>1282.3369243178986</c:v>
                </c:pt>
                <c:pt idx="245">
                  <c:v>1288.5377428092152</c:v>
                </c:pt>
                <c:pt idx="246">
                  <c:v>1294.7388043926339</c:v>
                </c:pt>
                <c:pt idx="247">
                  <c:v>1300.9401026820624</c:v>
                </c:pt>
                <c:pt idx="248">
                  <c:v>1307.1416314591706</c:v>
                </c:pt>
                <c:pt idx="249">
                  <c:v>1313.3433846689882</c:v>
                </c:pt>
                <c:pt idx="250">
                  <c:v>1319.5453564156076</c:v>
                </c:pt>
                <c:pt idx="251">
                  <c:v>1325.7475409580099</c:v>
                </c:pt>
                <c:pt idx="252">
                  <c:v>1331.9499327059946</c:v>
                </c:pt>
                <c:pt idx="253">
                  <c:v>1338.1525262162161</c:v>
                </c:pt>
                <c:pt idx="254">
                  <c:v>1344.3553161883276</c:v>
                </c:pt>
                <c:pt idx="255">
                  <c:v>1350.5582974612234</c:v>
                </c:pt>
                <c:pt idx="256">
                  <c:v>1356.7614650093826</c:v>
                </c:pt>
                <c:pt idx="257">
                  <c:v>1362.9648139393041</c:v>
                </c:pt>
                <c:pt idx="258">
                  <c:v>1369.1683394860418</c:v>
                </c:pt>
                <c:pt idx="259">
                  <c:v>1375.3720370098256</c:v>
                </c:pt>
                <c:pt idx="260">
                  <c:v>1381.5759019927732</c:v>
                </c:pt>
                <c:pt idx="261">
                  <c:v>1387.7799300356885</c:v>
                </c:pt>
                <c:pt idx="262">
                  <c:v>1393.9841168549435</c:v>
                </c:pt>
                <c:pt idx="263">
                  <c:v>1400.1884582794414</c:v>
                </c:pt>
                <c:pt idx="264">
                  <c:v>1406.3929502476626</c:v>
                </c:pt>
                <c:pt idx="265">
                  <c:v>1412.5975888047838</c:v>
                </c:pt>
                <c:pt idx="266">
                  <c:v>1418.8023700998763</c:v>
                </c:pt>
                <c:pt idx="267">
                  <c:v>1425.0072903831754</c:v>
                </c:pt>
                <c:pt idx="268">
                  <c:v>1431.2123460034247</c:v>
                </c:pt>
                <c:pt idx="269">
                  <c:v>1437.4175334052877</c:v>
                </c:pt>
                <c:pt idx="270">
                  <c:v>1443.6228491268259</c:v>
                </c:pt>
                <c:pt idx="271">
                  <c:v>1449.8282897970482</c:v>
                </c:pt>
                <c:pt idx="272">
                  <c:v>1456.03385213352</c:v>
                </c:pt>
                <c:pt idx="273">
                  <c:v>1462.2395329400365</c:v>
                </c:pt>
                <c:pt idx="274">
                  <c:v>1468.4453291043585</c:v>
                </c:pt>
                <c:pt idx="275">
                  <c:v>1474.6512375960067</c:v>
                </c:pt>
                <c:pt idx="276">
                  <c:v>1480.8572554641125</c:v>
                </c:pt>
                <c:pt idx="277">
                  <c:v>1487.0633798353276</c:v>
                </c:pt>
                <c:pt idx="278">
                  <c:v>1493.2696079117873</c:v>
                </c:pt>
                <c:pt idx="279">
                  <c:v>1499.4759369691276</c:v>
                </c:pt>
                <c:pt idx="280">
                  <c:v>1505.6823643545547</c:v>
                </c:pt>
                <c:pt idx="281">
                  <c:v>1511.8888874849631</c:v>
                </c:pt>
                <c:pt idx="282">
                  <c:v>1518.0955038451075</c:v>
                </c:pt>
                <c:pt idx="283">
                  <c:v>1524.3022109858184</c:v>
                </c:pt>
                <c:pt idx="284">
                  <c:v>1530.5090065222662</c:v>
                </c:pt>
                <c:pt idx="285">
                  <c:v>1536.7158881322716</c:v>
                </c:pt>
                <c:pt idx="286">
                  <c:v>1542.9228535546604</c:v>
                </c:pt>
                <c:pt idx="287">
                  <c:v>1549.1299005876583</c:v>
                </c:pt>
                <c:pt idx="288">
                  <c:v>1555.3370270873334</c:v>
                </c:pt>
                <c:pt idx="289">
                  <c:v>1561.5442309660759</c:v>
                </c:pt>
                <c:pt idx="290">
                  <c:v>1567.7515101911165</c:v>
                </c:pt>
                <c:pt idx="291">
                  <c:v>1573.9588627830885</c:v>
                </c:pt>
                <c:pt idx="292">
                  <c:v>1580.1662868146234</c:v>
                </c:pt>
                <c:pt idx="293">
                  <c:v>1586.3737804089858</c:v>
                </c:pt>
                <c:pt idx="294">
                  <c:v>1592.5813417387403</c:v>
                </c:pt>
                <c:pt idx="295">
                  <c:v>1598.7889690244617</c:v>
                </c:pt>
                <c:pt idx="296">
                  <c:v>1604.9966605334694</c:v>
                </c:pt>
                <c:pt idx="297">
                  <c:v>1611.2044145786006</c:v>
                </c:pt>
                <c:pt idx="298">
                  <c:v>1617.4122295170143</c:v>
                </c:pt>
                <c:pt idx="299">
                  <c:v>1623.6201037490287</c:v>
                </c:pt>
                <c:pt idx="300">
                  <c:v>1629.8280357169851</c:v>
                </c:pt>
                <c:pt idx="301">
                  <c:v>1636.0360239041449</c:v>
                </c:pt>
                <c:pt idx="302">
                  <c:v>1642.2440668336153</c:v>
                </c:pt>
                <c:pt idx="303">
                  <c:v>1648.4521630673016</c:v>
                </c:pt>
                <c:pt idx="304">
                  <c:v>1654.6603112048874</c:v>
                </c:pt>
                <c:pt idx="305">
                  <c:v>1660.8685098828439</c:v>
                </c:pt>
                <c:pt idx="306">
                  <c:v>1667.076757773463</c:v>
                </c:pt>
                <c:pt idx="307">
                  <c:v>1673.2850535839139</c:v>
                </c:pt>
                <c:pt idx="308">
                  <c:v>1679.4933960553303</c:v>
                </c:pt>
                <c:pt idx="309">
                  <c:v>1685.701783961917</c:v>
                </c:pt>
                <c:pt idx="310">
                  <c:v>1691.91021611008</c:v>
                </c:pt>
                <c:pt idx="311">
                  <c:v>1698.1186913375811</c:v>
                </c:pt>
                <c:pt idx="312">
                  <c:v>1704.3272085127151</c:v>
                </c:pt>
                <c:pt idx="313">
                  <c:v>1710.5357665335068</c:v>
                </c:pt>
                <c:pt idx="314">
                  <c:v>1716.7443643269294</c:v>
                </c:pt>
                <c:pt idx="315">
                  <c:v>1722.9530008481461</c:v>
                </c:pt>
                <c:pt idx="316">
                  <c:v>1729.1616750797673</c:v>
                </c:pt>
                <c:pt idx="317">
                  <c:v>1735.3703860311309</c:v>
                </c:pt>
                <c:pt idx="318">
                  <c:v>1741.5791327375991</c:v>
                </c:pt>
                <c:pt idx="319">
                  <c:v>1747.7879142598765</c:v>
                </c:pt>
                <c:pt idx="320">
                  <c:v>1753.9967296833431</c:v>
                </c:pt>
                <c:pt idx="321">
                  <c:v>1760.2055781174047</c:v>
                </c:pt>
                <c:pt idx="322">
                  <c:v>1766.4144586948644</c:v>
                </c:pt>
                <c:pt idx="323">
                  <c:v>1772.6233705713078</c:v>
                </c:pt>
                <c:pt idx="324">
                  <c:v>1778.8323129245011</c:v>
                </c:pt>
                <c:pt idx="325">
                  <c:v>1785.0412849538127</c:v>
                </c:pt>
                <c:pt idx="326">
                  <c:v>1791.2502858796429</c:v>
                </c:pt>
                <c:pt idx="327">
                  <c:v>1797.4593149428733</c:v>
                </c:pt>
                <c:pt idx="328">
                  <c:v>1803.6683714043263</c:v>
                </c:pt>
                <c:pt idx="329">
                  <c:v>1809.8774545442432</c:v>
                </c:pt>
                <c:pt idx="330">
                  <c:v>1816.0865636617746</c:v>
                </c:pt>
                <c:pt idx="331">
                  <c:v>1822.2956980744812</c:v>
                </c:pt>
                <c:pt idx="332">
                  <c:v>1828.5048571178515</c:v>
                </c:pt>
                <c:pt idx="333">
                  <c:v>1834.714040144833</c:v>
                </c:pt>
                <c:pt idx="334">
                  <c:v>1840.9232465253685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A0-4A69-B565-46AEC6FF0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663360"/>
        <c:axId val="1126663720"/>
      </c:scatterChart>
      <c:valAx>
        <c:axId val="112666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63720"/>
        <c:crosses val="autoZero"/>
        <c:crossBetween val="midCat"/>
      </c:valAx>
      <c:valAx>
        <c:axId val="1126663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663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0.05'!$L$6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0.05'!$K$179:$K$1000</c:f>
              <c:numCache>
                <c:formatCode>General</c:formatCode>
                <c:ptCount val="822"/>
                <c:pt idx="0">
                  <c:v>179.96100000000001</c:v>
                </c:pt>
                <c:pt idx="1">
                  <c:v>179.59200000000001</c:v>
                </c:pt>
                <c:pt idx="2">
                  <c:v>182.01900000000001</c:v>
                </c:pt>
                <c:pt idx="3">
                  <c:v>181.65</c:v>
                </c:pt>
                <c:pt idx="4">
                  <c:v>181.035</c:v>
                </c:pt>
                <c:pt idx="5">
                  <c:v>180.54300000000001</c:v>
                </c:pt>
                <c:pt idx="6">
                  <c:v>180.297</c:v>
                </c:pt>
                <c:pt idx="7">
                  <c:v>180.54300000000001</c:v>
                </c:pt>
                <c:pt idx="8">
                  <c:v>181.035</c:v>
                </c:pt>
                <c:pt idx="9">
                  <c:v>181.89599999999999</c:v>
                </c:pt>
                <c:pt idx="10">
                  <c:v>179.96100000000001</c:v>
                </c:pt>
                <c:pt idx="11">
                  <c:v>180.57599999999999</c:v>
                </c:pt>
                <c:pt idx="12">
                  <c:v>181.191</c:v>
                </c:pt>
                <c:pt idx="13">
                  <c:v>181.68299999999999</c:v>
                </c:pt>
                <c:pt idx="14">
                  <c:v>182.17500000000001</c:v>
                </c:pt>
                <c:pt idx="15">
                  <c:v>182.42099999999999</c:v>
                </c:pt>
                <c:pt idx="16">
                  <c:v>182.667</c:v>
                </c:pt>
                <c:pt idx="17">
                  <c:v>182.42099999999999</c:v>
                </c:pt>
                <c:pt idx="18">
                  <c:v>182.17500000000001</c:v>
                </c:pt>
                <c:pt idx="19">
                  <c:v>181.929</c:v>
                </c:pt>
                <c:pt idx="20">
                  <c:v>181.80600000000001</c:v>
                </c:pt>
                <c:pt idx="21">
                  <c:v>181.80600000000001</c:v>
                </c:pt>
                <c:pt idx="22">
                  <c:v>182.05199999999999</c:v>
                </c:pt>
                <c:pt idx="23">
                  <c:v>182.54400000000001</c:v>
                </c:pt>
                <c:pt idx="24">
                  <c:v>181.47071999999901</c:v>
                </c:pt>
                <c:pt idx="25">
                  <c:v>181.59371999999999</c:v>
                </c:pt>
                <c:pt idx="26">
                  <c:v>181.73148</c:v>
                </c:pt>
                <c:pt idx="27">
                  <c:v>181.76231999999999</c:v>
                </c:pt>
                <c:pt idx="28">
                  <c:v>181.77839999999901</c:v>
                </c:pt>
                <c:pt idx="29">
                  <c:v>181.86204000000001</c:v>
                </c:pt>
                <c:pt idx="30">
                  <c:v>181.91615999999999</c:v>
                </c:pt>
                <c:pt idx="31">
                  <c:v>181.93583999999899</c:v>
                </c:pt>
                <c:pt idx="32">
                  <c:v>181.90631999999999</c:v>
                </c:pt>
                <c:pt idx="33">
                  <c:v>181.82267999999999</c:v>
                </c:pt>
                <c:pt idx="34">
                  <c:v>181.68492000000001</c:v>
                </c:pt>
                <c:pt idx="35">
                  <c:v>181.61964</c:v>
                </c:pt>
                <c:pt idx="36">
                  <c:v>181.53468000000001</c:v>
                </c:pt>
                <c:pt idx="37">
                  <c:v>181.44479999999999</c:v>
                </c:pt>
                <c:pt idx="38">
                  <c:v>181.35983999999999</c:v>
                </c:pt>
                <c:pt idx="39">
                  <c:v>181.29455999999999</c:v>
                </c:pt>
                <c:pt idx="40">
                  <c:v>181.26372000000001</c:v>
                </c:pt>
                <c:pt idx="41">
                  <c:v>181.26732000000001</c:v>
                </c:pt>
                <c:pt idx="42">
                  <c:v>181.3152</c:v>
                </c:pt>
                <c:pt idx="43">
                  <c:v>181.39751999999999</c:v>
                </c:pt>
                <c:pt idx="44">
                  <c:v>181.50443999999999</c:v>
                </c:pt>
                <c:pt idx="45">
                  <c:v>181.62611999999999</c:v>
                </c:pt>
                <c:pt idx="46">
                  <c:v>181.75272000000001</c:v>
                </c:pt>
                <c:pt idx="47">
                  <c:v>181.86456000000001</c:v>
                </c:pt>
                <c:pt idx="48">
                  <c:v>181.96163999999999</c:v>
                </c:pt>
                <c:pt idx="49">
                  <c:v>182.03052</c:v>
                </c:pt>
                <c:pt idx="50">
                  <c:v>182.10432</c:v>
                </c:pt>
                <c:pt idx="51">
                  <c:v>182.19288</c:v>
                </c:pt>
                <c:pt idx="52">
                  <c:v>182.30112</c:v>
                </c:pt>
                <c:pt idx="53">
                  <c:v>182.44871999999901</c:v>
                </c:pt>
                <c:pt idx="54">
                  <c:v>182.548439999999</c:v>
                </c:pt>
                <c:pt idx="55">
                  <c:v>182.69243999999901</c:v>
                </c:pt>
                <c:pt idx="56">
                  <c:v>182.87088</c:v>
                </c:pt>
                <c:pt idx="57">
                  <c:v>183.07884000000001</c:v>
                </c:pt>
                <c:pt idx="58">
                  <c:v>183.31139999999999</c:v>
                </c:pt>
                <c:pt idx="59">
                  <c:v>183.55871999999999</c:v>
                </c:pt>
                <c:pt idx="60">
                  <c:v>183.80604</c:v>
                </c:pt>
                <c:pt idx="61">
                  <c:v>184.04352</c:v>
                </c:pt>
                <c:pt idx="62">
                  <c:v>184.25639999999899</c:v>
                </c:pt>
                <c:pt idx="63">
                  <c:v>184.43975999999901</c:v>
                </c:pt>
                <c:pt idx="64">
                  <c:v>184.58376000000001</c:v>
                </c:pt>
                <c:pt idx="65">
                  <c:v>184.68348</c:v>
                </c:pt>
                <c:pt idx="66">
                  <c:v>184.73676</c:v>
                </c:pt>
                <c:pt idx="67">
                  <c:v>184.73808</c:v>
                </c:pt>
                <c:pt idx="68">
                  <c:v>184.70988</c:v>
                </c:pt>
                <c:pt idx="69">
                  <c:v>184.66200000000001</c:v>
                </c:pt>
                <c:pt idx="70">
                  <c:v>184.60427999999999</c:v>
                </c:pt>
                <c:pt idx="71">
                  <c:v>184.54656</c:v>
                </c:pt>
                <c:pt idx="72">
                  <c:v>184.49376000000001</c:v>
                </c:pt>
                <c:pt idx="73">
                  <c:v>184.43603999999999</c:v>
                </c:pt>
                <c:pt idx="74">
                  <c:v>184.38684000000001</c:v>
                </c:pt>
                <c:pt idx="75">
                  <c:v>184.29336000000001</c:v>
                </c:pt>
                <c:pt idx="76">
                  <c:v>184.17527999999899</c:v>
                </c:pt>
                <c:pt idx="77">
                  <c:v>184.00813714285701</c:v>
                </c:pt>
                <c:pt idx="79">
                  <c:v>183.81639428571401</c:v>
                </c:pt>
                <c:pt idx="80">
                  <c:v>183.60989142857099</c:v>
                </c:pt>
                <c:pt idx="81">
                  <c:v>183.37733142857101</c:v>
                </c:pt>
                <c:pt idx="82">
                  <c:v>183.13493142857101</c:v>
                </c:pt>
                <c:pt idx="83">
                  <c:v>182.88269142857101</c:v>
                </c:pt>
                <c:pt idx="84">
                  <c:v>182.633931428571</c:v>
                </c:pt>
                <c:pt idx="85">
                  <c:v>182.365491428571</c:v>
                </c:pt>
                <c:pt idx="86">
                  <c:v>182.08721142857101</c:v>
                </c:pt>
                <c:pt idx="87">
                  <c:v>181.80401142857099</c:v>
                </c:pt>
                <c:pt idx="88">
                  <c:v>181.52573142857099</c:v>
                </c:pt>
                <c:pt idx="89">
                  <c:v>181.25729142857099</c:v>
                </c:pt>
                <c:pt idx="90">
                  <c:v>180.988851428571</c:v>
                </c:pt>
                <c:pt idx="91">
                  <c:v>180.720411428571</c:v>
                </c:pt>
                <c:pt idx="92">
                  <c:v>180.459051428571</c:v>
                </c:pt>
                <c:pt idx="93">
                  <c:v>180.22505142857099</c:v>
                </c:pt>
                <c:pt idx="94">
                  <c:v>180.015651428571</c:v>
                </c:pt>
                <c:pt idx="95">
                  <c:v>179.83577142857101</c:v>
                </c:pt>
                <c:pt idx="96">
                  <c:v>179.675571428571</c:v>
                </c:pt>
                <c:pt idx="97">
                  <c:v>179.520291428571</c:v>
                </c:pt>
                <c:pt idx="98">
                  <c:v>179.37977142857099</c:v>
                </c:pt>
                <c:pt idx="99">
                  <c:v>179.254011428571</c:v>
                </c:pt>
                <c:pt idx="100">
                  <c:v>179.15777142857101</c:v>
                </c:pt>
                <c:pt idx="101">
                  <c:v>179.12333142857099</c:v>
                </c:pt>
                <c:pt idx="102">
                  <c:v>179.12825142857099</c:v>
                </c:pt>
                <c:pt idx="103">
                  <c:v>179.192074285714</c:v>
                </c:pt>
                <c:pt idx="104">
                  <c:v>179.300177142857</c:v>
                </c:pt>
                <c:pt idx="105">
                  <c:v>179.44750285714201</c:v>
                </c:pt>
                <c:pt idx="106">
                  <c:v>179.640702857142</c:v>
                </c:pt>
                <c:pt idx="107">
                  <c:v>179.87818285714201</c:v>
                </c:pt>
                <c:pt idx="108">
                  <c:v>180.164862857142</c:v>
                </c:pt>
                <c:pt idx="109">
                  <c:v>180.48742285714201</c:v>
                </c:pt>
                <c:pt idx="110">
                  <c:v>180.869022857142</c:v>
                </c:pt>
                <c:pt idx="111">
                  <c:v>181.299685714285</c:v>
                </c:pt>
                <c:pt idx="112">
                  <c:v>181.774628571428</c:v>
                </c:pt>
                <c:pt idx="113">
                  <c:v>182.280548571428</c:v>
                </c:pt>
                <c:pt idx="114">
                  <c:v>182.796308571428</c:v>
                </c:pt>
                <c:pt idx="115">
                  <c:v>183.316988571428</c:v>
                </c:pt>
                <c:pt idx="116">
                  <c:v>183.84750857142799</c:v>
                </c:pt>
                <c:pt idx="117">
                  <c:v>184.38294857142799</c:v>
                </c:pt>
                <c:pt idx="118">
                  <c:v>184.93314857142801</c:v>
                </c:pt>
                <c:pt idx="119">
                  <c:v>185.49318857142799</c:v>
                </c:pt>
                <c:pt idx="120">
                  <c:v>186.05322857142801</c:v>
                </c:pt>
                <c:pt idx="121">
                  <c:v>186.61326857142799</c:v>
                </c:pt>
                <c:pt idx="122">
                  <c:v>187.17822857142801</c:v>
                </c:pt>
                <c:pt idx="123">
                  <c:v>187.728428571428</c:v>
                </c:pt>
                <c:pt idx="124">
                  <c:v>188.26386857142799</c:v>
                </c:pt>
                <c:pt idx="125">
                  <c:v>188.77470857142799</c:v>
                </c:pt>
                <c:pt idx="126">
                  <c:v>189.266228571428</c:v>
                </c:pt>
                <c:pt idx="127">
                  <c:v>189.72822857142799</c:v>
                </c:pt>
                <c:pt idx="128">
                  <c:v>190.17546857142801</c:v>
                </c:pt>
                <c:pt idx="129">
                  <c:v>190.61466857142801</c:v>
                </c:pt>
                <c:pt idx="130">
                  <c:v>191.04416571428499</c:v>
                </c:pt>
                <c:pt idx="131">
                  <c:v>191.46860571428499</c:v>
                </c:pt>
                <c:pt idx="132">
                  <c:v>191.878285714285</c:v>
                </c:pt>
                <c:pt idx="133">
                  <c:v>192.27812571428501</c:v>
                </c:pt>
                <c:pt idx="134">
                  <c:v>192.663205714285</c:v>
                </c:pt>
                <c:pt idx="135">
                  <c:v>193.03844571428499</c:v>
                </c:pt>
                <c:pt idx="136">
                  <c:v>193.40398285714201</c:v>
                </c:pt>
                <c:pt idx="137">
                  <c:v>193.75476</c:v>
                </c:pt>
                <c:pt idx="138">
                  <c:v>194.09424000000001</c:v>
                </c:pt>
                <c:pt idx="139">
                  <c:v>194.43863999999999</c:v>
                </c:pt>
                <c:pt idx="140">
                  <c:v>194.79288</c:v>
                </c:pt>
                <c:pt idx="141">
                  <c:v>195.16368</c:v>
                </c:pt>
                <c:pt idx="142">
                  <c:v>195.53904</c:v>
                </c:pt>
                <c:pt idx="143">
                  <c:v>195.91788</c:v>
                </c:pt>
                <c:pt idx="144">
                  <c:v>196.27849714285699</c:v>
                </c:pt>
                <c:pt idx="145">
                  <c:v>196.63911428571399</c:v>
                </c:pt>
                <c:pt idx="146">
                  <c:v>196.99481142857101</c:v>
                </c:pt>
                <c:pt idx="147">
                  <c:v>197.35542857142801</c:v>
                </c:pt>
                <c:pt idx="148">
                  <c:v>197.725748571428</c:v>
                </c:pt>
                <c:pt idx="149">
                  <c:v>198.10098857142799</c:v>
                </c:pt>
                <c:pt idx="150">
                  <c:v>198.500828571428</c:v>
                </c:pt>
                <c:pt idx="151">
                  <c:v>198.89754857142799</c:v>
                </c:pt>
                <c:pt idx="152">
                  <c:v>199.309028571428</c:v>
                </c:pt>
                <c:pt idx="153">
                  <c:v>199.72542857142801</c:v>
                </c:pt>
                <c:pt idx="154">
                  <c:v>200.13510857142799</c:v>
                </c:pt>
                <c:pt idx="155">
                  <c:v>200.554628571428</c:v>
                </c:pt>
                <c:pt idx="156">
                  <c:v>200.983988571428</c:v>
                </c:pt>
                <c:pt idx="157">
                  <c:v>201.423188571428</c:v>
                </c:pt>
                <c:pt idx="158">
                  <c:v>201.867171428571</c:v>
                </c:pt>
                <c:pt idx="159">
                  <c:v>202.31753142857099</c:v>
                </c:pt>
                <c:pt idx="160">
                  <c:v>202.777731428571</c:v>
                </c:pt>
                <c:pt idx="161">
                  <c:v>203.24141142857101</c:v>
                </c:pt>
                <c:pt idx="162">
                  <c:v>203.71457142857099</c:v>
                </c:pt>
                <c:pt idx="163">
                  <c:v>204.209211428571</c:v>
                </c:pt>
                <c:pt idx="164">
                  <c:v>204.694011428571</c:v>
                </c:pt>
                <c:pt idx="165">
                  <c:v>205.17881142857101</c:v>
                </c:pt>
                <c:pt idx="166">
                  <c:v>205.64705142857099</c:v>
                </c:pt>
                <c:pt idx="167">
                  <c:v>206.115651428571</c:v>
                </c:pt>
                <c:pt idx="168">
                  <c:v>206.56601142857099</c:v>
                </c:pt>
                <c:pt idx="169">
                  <c:v>207.01983428571401</c:v>
                </c:pt>
                <c:pt idx="170">
                  <c:v>207.46381714285701</c:v>
                </c:pt>
                <c:pt idx="171">
                  <c:v>207.91416000000001</c:v>
                </c:pt>
                <c:pt idx="172">
                  <c:v>208.35814285714201</c:v>
                </c:pt>
                <c:pt idx="173">
                  <c:v>208.80718285714201</c:v>
                </c:pt>
                <c:pt idx="174">
                  <c:v>209.25622285714201</c:v>
                </c:pt>
                <c:pt idx="175">
                  <c:v>209.69542285714201</c:v>
                </c:pt>
                <c:pt idx="176">
                  <c:v>210.12970285714201</c:v>
                </c:pt>
                <c:pt idx="177">
                  <c:v>210.54922285714201</c:v>
                </c:pt>
                <c:pt idx="178">
                  <c:v>210.96874285714199</c:v>
                </c:pt>
                <c:pt idx="179">
                  <c:v>211.38682285714199</c:v>
                </c:pt>
                <c:pt idx="180">
                  <c:v>211.816182857142</c:v>
                </c:pt>
                <c:pt idx="181">
                  <c:v>212.240622857142</c:v>
                </c:pt>
                <c:pt idx="182">
                  <c:v>212.665062857142</c:v>
                </c:pt>
                <c:pt idx="183">
                  <c:v>213.08472</c:v>
                </c:pt>
                <c:pt idx="184">
                  <c:v>213.49799999999999</c:v>
                </c:pt>
                <c:pt idx="185">
                  <c:v>213.90288000000001</c:v>
                </c:pt>
                <c:pt idx="186">
                  <c:v>214.29792</c:v>
                </c:pt>
                <c:pt idx="187">
                  <c:v>214.69477714285699</c:v>
                </c:pt>
                <c:pt idx="188">
                  <c:v>215.07985714285701</c:v>
                </c:pt>
                <c:pt idx="189">
                  <c:v>215.47477714285699</c:v>
                </c:pt>
                <c:pt idx="190">
                  <c:v>215.884457142857</c:v>
                </c:pt>
                <c:pt idx="191">
                  <c:v>216.30397714285701</c:v>
                </c:pt>
                <c:pt idx="192">
                  <c:v>216.73812000000001</c:v>
                </c:pt>
                <c:pt idx="193">
                  <c:v>217.19623999999999</c:v>
                </c:pt>
                <c:pt idx="194">
                  <c:v>217.66495999999901</c:v>
                </c:pt>
                <c:pt idx="195">
                  <c:v>218.14352</c:v>
                </c:pt>
                <c:pt idx="196">
                  <c:v>218.62556000000001</c:v>
                </c:pt>
                <c:pt idx="197">
                  <c:v>219.121039999999</c:v>
                </c:pt>
                <c:pt idx="198">
                  <c:v>219.62495999999999</c:v>
                </c:pt>
                <c:pt idx="199">
                  <c:v>220.16734285714199</c:v>
                </c:pt>
                <c:pt idx="200">
                  <c:v>220.71956571428501</c:v>
                </c:pt>
                <c:pt idx="201">
                  <c:v>221.281628571428</c:v>
                </c:pt>
                <c:pt idx="202">
                  <c:v>221.85353142857099</c:v>
                </c:pt>
                <c:pt idx="203">
                  <c:v>222.43673142857099</c:v>
                </c:pt>
                <c:pt idx="204">
                  <c:v>223.016451428571</c:v>
                </c:pt>
                <c:pt idx="205">
                  <c:v>223.59965142857101</c:v>
                </c:pt>
                <c:pt idx="206">
                  <c:v>224.18285142857101</c:v>
                </c:pt>
                <c:pt idx="207">
                  <c:v>224.76113142857099</c:v>
                </c:pt>
                <c:pt idx="208">
                  <c:v>225.34925142857099</c:v>
                </c:pt>
                <c:pt idx="209">
                  <c:v>225.953931428571</c:v>
                </c:pt>
                <c:pt idx="210">
                  <c:v>226.58981142857101</c:v>
                </c:pt>
                <c:pt idx="211">
                  <c:v>227.236971428571</c:v>
                </c:pt>
                <c:pt idx="212">
                  <c:v>227.862994285714</c:v>
                </c:pt>
                <c:pt idx="213">
                  <c:v>228.49899428571399</c:v>
                </c:pt>
                <c:pt idx="214">
                  <c:v>229.13007428571399</c:v>
                </c:pt>
                <c:pt idx="215">
                  <c:v>229.77939428571401</c:v>
                </c:pt>
                <c:pt idx="216">
                  <c:v>230.44491428571399</c:v>
                </c:pt>
                <c:pt idx="217">
                  <c:v>231.10073142857101</c:v>
                </c:pt>
                <c:pt idx="218">
                  <c:v>231.73257142857099</c:v>
                </c:pt>
                <c:pt idx="219">
                  <c:v>232.36497142857101</c:v>
                </c:pt>
                <c:pt idx="220">
                  <c:v>233.01718857142799</c:v>
                </c:pt>
                <c:pt idx="221">
                  <c:v>233.679108571428</c:v>
                </c:pt>
                <c:pt idx="222">
                  <c:v>234.33886857142801</c:v>
                </c:pt>
                <c:pt idx="223">
                  <c:v>235.000028571428</c:v>
                </c:pt>
                <c:pt idx="224">
                  <c:v>235.63748571428499</c:v>
                </c:pt>
                <c:pt idx="225">
                  <c:v>236.287542857142</c:v>
                </c:pt>
                <c:pt idx="226">
                  <c:v>236.95451999999901</c:v>
                </c:pt>
                <c:pt idx="227">
                  <c:v>237.63133714285701</c:v>
                </c:pt>
                <c:pt idx="228">
                  <c:v>238.31161714285699</c:v>
                </c:pt>
                <c:pt idx="229">
                  <c:v>239.00665714285699</c:v>
                </c:pt>
                <c:pt idx="230">
                  <c:v>239.690057142857</c:v>
                </c:pt>
                <c:pt idx="231">
                  <c:v>240.391337142857</c:v>
                </c:pt>
                <c:pt idx="232">
                  <c:v>241.09261714285699</c:v>
                </c:pt>
                <c:pt idx="233">
                  <c:v>241.78405714285699</c:v>
                </c:pt>
                <c:pt idx="234">
                  <c:v>242.46877714285699</c:v>
                </c:pt>
                <c:pt idx="235">
                  <c:v>243.133817142857</c:v>
                </c:pt>
                <c:pt idx="236">
                  <c:v>243.805577142857</c:v>
                </c:pt>
                <c:pt idx="237">
                  <c:v>244.501937142857</c:v>
                </c:pt>
                <c:pt idx="238">
                  <c:v>245.193377142857</c:v>
                </c:pt>
                <c:pt idx="239">
                  <c:v>245.899577142857</c:v>
                </c:pt>
                <c:pt idx="240">
                  <c:v>246.58405714285701</c:v>
                </c:pt>
                <c:pt idx="241">
                  <c:v>247.25089714285701</c:v>
                </c:pt>
                <c:pt idx="242">
                  <c:v>247.898057142857</c:v>
                </c:pt>
                <c:pt idx="243">
                  <c:v>248.53537714285699</c:v>
                </c:pt>
                <c:pt idx="244">
                  <c:v>249.14677714285699</c:v>
                </c:pt>
                <c:pt idx="245">
                  <c:v>249.71867999999901</c:v>
                </c:pt>
                <c:pt idx="246">
                  <c:v>250.275959999999</c:v>
                </c:pt>
                <c:pt idx="247">
                  <c:v>250.823399999999</c:v>
                </c:pt>
                <c:pt idx="248">
                  <c:v>251.356079999999</c:v>
                </c:pt>
                <c:pt idx="249">
                  <c:v>251.888759999999</c:v>
                </c:pt>
                <c:pt idx="250">
                  <c:v>252.41376</c:v>
                </c:pt>
                <c:pt idx="251">
                  <c:v>252.92184</c:v>
                </c:pt>
                <c:pt idx="252">
                  <c:v>253.41515999999999</c:v>
                </c:pt>
                <c:pt idx="253">
                  <c:v>253.88879999999901</c:v>
                </c:pt>
                <c:pt idx="254">
                  <c:v>254.34768</c:v>
                </c:pt>
                <c:pt idx="255">
                  <c:v>254.79671999999999</c:v>
                </c:pt>
                <c:pt idx="256">
                  <c:v>255.23952</c:v>
                </c:pt>
                <c:pt idx="257">
                  <c:v>255.68723999999901</c:v>
                </c:pt>
                <c:pt idx="258">
                  <c:v>256.13627999999898</c:v>
                </c:pt>
                <c:pt idx="259">
                  <c:v>256.60575999999998</c:v>
                </c:pt>
                <c:pt idx="260">
                  <c:v>257.05659999999898</c:v>
                </c:pt>
                <c:pt idx="261">
                  <c:v>257.48103999999898</c:v>
                </c:pt>
                <c:pt idx="262">
                  <c:v>257.88087999999902</c:v>
                </c:pt>
                <c:pt idx="263">
                  <c:v>258.25611999999899</c:v>
                </c:pt>
                <c:pt idx="264">
                  <c:v>258.61167999999901</c:v>
                </c:pt>
                <c:pt idx="265">
                  <c:v>258.94771428571403</c:v>
                </c:pt>
                <c:pt idx="266">
                  <c:v>259.27867428571398</c:v>
                </c:pt>
                <c:pt idx="267">
                  <c:v>259.60963428571398</c:v>
                </c:pt>
                <c:pt idx="268">
                  <c:v>259.93567428571401</c:v>
                </c:pt>
                <c:pt idx="269">
                  <c:v>260.26171428571399</c:v>
                </c:pt>
                <c:pt idx="270">
                  <c:v>260.57791428571397</c:v>
                </c:pt>
                <c:pt idx="271">
                  <c:v>260.87949142857099</c:v>
                </c:pt>
                <c:pt idx="272">
                  <c:v>261.17601142857097</c:v>
                </c:pt>
                <c:pt idx="273">
                  <c:v>261.47253142857102</c:v>
                </c:pt>
                <c:pt idx="274">
                  <c:v>261.76413142857098</c:v>
                </c:pt>
                <c:pt idx="275">
                  <c:v>262.05081142857102</c:v>
                </c:pt>
                <c:pt idx="276">
                  <c:v>262.33257142857099</c:v>
                </c:pt>
                <c:pt idx="277">
                  <c:v>262.61849142857102</c:v>
                </c:pt>
                <c:pt idx="278">
                  <c:v>262.90301142857101</c:v>
                </c:pt>
                <c:pt idx="279">
                  <c:v>263.189691428571</c:v>
                </c:pt>
                <c:pt idx="280">
                  <c:v>263.46341142857102</c:v>
                </c:pt>
                <c:pt idx="281">
                  <c:v>263.72057142857102</c:v>
                </c:pt>
                <c:pt idx="282">
                  <c:v>263.962971428571</c:v>
                </c:pt>
                <c:pt idx="283">
                  <c:v>264.18437142857101</c:v>
                </c:pt>
                <c:pt idx="284">
                  <c:v>264.370571428571</c:v>
                </c:pt>
                <c:pt idx="285">
                  <c:v>264.53293142857098</c:v>
                </c:pt>
                <c:pt idx="286">
                  <c:v>264.69109142857099</c:v>
                </c:pt>
                <c:pt idx="287">
                  <c:v>264.84347428571402</c:v>
                </c:pt>
                <c:pt idx="288">
                  <c:v>264.98615428571401</c:v>
                </c:pt>
                <c:pt idx="289">
                  <c:v>265.118994285714</c:v>
                </c:pt>
                <c:pt idx="290">
                  <c:v>265.250102857142</c:v>
                </c:pt>
                <c:pt idx="291">
                  <c:v>265.37934285714198</c:v>
                </c:pt>
                <c:pt idx="292">
                  <c:v>265.51350285714199</c:v>
                </c:pt>
                <c:pt idx="293">
                  <c:v>265.65750285714199</c:v>
                </c:pt>
                <c:pt idx="294">
                  <c:v>265.801502857142</c:v>
                </c:pt>
                <c:pt idx="295">
                  <c:v>265.945502857142</c:v>
                </c:pt>
                <c:pt idx="296">
                  <c:v>266.07460571428498</c:v>
                </c:pt>
                <c:pt idx="297">
                  <c:v>266.18208571428499</c:v>
                </c:pt>
                <c:pt idx="298">
                  <c:v>266.27052571428499</c:v>
                </c:pt>
                <c:pt idx="299">
                  <c:v>266.32740571428502</c:v>
                </c:pt>
                <c:pt idx="300">
                  <c:v>266.36184571428498</c:v>
                </c:pt>
                <c:pt idx="301">
                  <c:v>266.37168571428498</c:v>
                </c:pt>
                <c:pt idx="302">
                  <c:v>266.362605714285</c:v>
                </c:pt>
                <c:pt idx="303">
                  <c:v>266.33524571428501</c:v>
                </c:pt>
                <c:pt idx="304">
                  <c:v>266.281125714285</c:v>
                </c:pt>
                <c:pt idx="305">
                  <c:v>266.21716571428499</c:v>
                </c:pt>
                <c:pt idx="306">
                  <c:v>266.13352571428499</c:v>
                </c:pt>
                <c:pt idx="307">
                  <c:v>266.04496571428501</c:v>
                </c:pt>
                <c:pt idx="308">
                  <c:v>265.96132571428501</c:v>
                </c:pt>
                <c:pt idx="309">
                  <c:v>265.87276571428498</c:v>
                </c:pt>
                <c:pt idx="310">
                  <c:v>265.78912571428498</c:v>
                </c:pt>
                <c:pt idx="311">
                  <c:v>265.71044571428502</c:v>
                </c:pt>
                <c:pt idx="312">
                  <c:v>265.62216000000001</c:v>
                </c:pt>
                <c:pt idx="313">
                  <c:v>265.52868000000001</c:v>
                </c:pt>
                <c:pt idx="314">
                  <c:v>265.42043999999999</c:v>
                </c:pt>
                <c:pt idx="315">
                  <c:v>265.287737142857</c:v>
                </c:pt>
                <c:pt idx="316">
                  <c:v>265.124057142857</c:v>
                </c:pt>
                <c:pt idx="317">
                  <c:v>264.94561714285697</c:v>
                </c:pt>
                <c:pt idx="318">
                  <c:v>264.75733714285701</c:v>
                </c:pt>
                <c:pt idx="319">
                  <c:v>264.55921714285699</c:v>
                </c:pt>
                <c:pt idx="320">
                  <c:v>264.35617714285701</c:v>
                </c:pt>
                <c:pt idx="321">
                  <c:v>264.14329714285702</c:v>
                </c:pt>
                <c:pt idx="322">
                  <c:v>263.92771428571399</c:v>
                </c:pt>
                <c:pt idx="323">
                  <c:v>263.70657142857101</c:v>
                </c:pt>
                <c:pt idx="324">
                  <c:v>263.487468571428</c:v>
                </c:pt>
                <c:pt idx="325">
                  <c:v>263.25982857142799</c:v>
                </c:pt>
                <c:pt idx="326">
                  <c:v>263.02234857142798</c:v>
                </c:pt>
                <c:pt idx="327">
                  <c:v>262.76830857142801</c:v>
                </c:pt>
                <c:pt idx="328">
                  <c:v>262.50934857142801</c:v>
                </c:pt>
                <c:pt idx="329">
                  <c:v>262.25710857142798</c:v>
                </c:pt>
                <c:pt idx="330">
                  <c:v>261.99502857142801</c:v>
                </c:pt>
                <c:pt idx="331">
                  <c:v>261.72802857142801</c:v>
                </c:pt>
                <c:pt idx="332">
                  <c:v>261.45118857142802</c:v>
                </c:pt>
                <c:pt idx="333">
                  <c:v>261.15466857142798</c:v>
                </c:pt>
                <c:pt idx="334">
                  <c:v>260.84830857142799</c:v>
                </c:pt>
                <c:pt idx="335">
                  <c:v>260.53210857142801</c:v>
                </c:pt>
                <c:pt idx="336">
                  <c:v>260.19546857142802</c:v>
                </c:pt>
                <c:pt idx="337">
                  <c:v>259.849611428571</c:v>
                </c:pt>
                <c:pt idx="338">
                  <c:v>259.49405142857103</c:v>
                </c:pt>
                <c:pt idx="339">
                  <c:v>259.138491428571</c:v>
                </c:pt>
                <c:pt idx="340">
                  <c:v>258.78293142857098</c:v>
                </c:pt>
                <c:pt idx="341">
                  <c:v>258.42245142857098</c:v>
                </c:pt>
                <c:pt idx="342">
                  <c:v>258.05213142857099</c:v>
                </c:pt>
                <c:pt idx="343">
                  <c:v>257.662131428571</c:v>
                </c:pt>
                <c:pt idx="344">
                  <c:v>257.26229142857102</c:v>
                </c:pt>
                <c:pt idx="345">
                  <c:v>256.85261142857098</c:v>
                </c:pt>
                <c:pt idx="346">
                  <c:v>256.442931428571</c:v>
                </c:pt>
                <c:pt idx="347">
                  <c:v>256.018354285714</c:v>
                </c:pt>
                <c:pt idx="348">
                  <c:v>255.583937142857</c:v>
                </c:pt>
                <c:pt idx="349">
                  <c:v>255.1446</c:v>
                </c:pt>
                <c:pt idx="350">
                  <c:v>254.69195999999999</c:v>
                </c:pt>
                <c:pt idx="351">
                  <c:v>254.22948</c:v>
                </c:pt>
                <c:pt idx="352">
                  <c:v>253.78355999999999</c:v>
                </c:pt>
                <c:pt idx="353">
                  <c:v>253.34747999999999</c:v>
                </c:pt>
                <c:pt idx="355">
                  <c:v>252.90468000000001</c:v>
                </c:pt>
                <c:pt idx="356">
                  <c:v>252.47172</c:v>
                </c:pt>
                <c:pt idx="357">
                  <c:v>252.03384</c:v>
                </c:pt>
                <c:pt idx="358">
                  <c:v>251.58611999999999</c:v>
                </c:pt>
                <c:pt idx="359">
                  <c:v>251.142</c:v>
                </c:pt>
                <c:pt idx="360">
                  <c:v>250.68312</c:v>
                </c:pt>
                <c:pt idx="361">
                  <c:v>250.21440000000001</c:v>
                </c:pt>
                <c:pt idx="362">
                  <c:v>249.73584</c:v>
                </c:pt>
                <c:pt idx="363">
                  <c:v>249.25236000000001</c:v>
                </c:pt>
                <c:pt idx="364">
                  <c:v>248.76888</c:v>
                </c:pt>
                <c:pt idx="365">
                  <c:v>248.27555999999899</c:v>
                </c:pt>
                <c:pt idx="366">
                  <c:v>247.7766</c:v>
                </c:pt>
                <c:pt idx="367">
                  <c:v>247.27011428571399</c:v>
                </c:pt>
                <c:pt idx="368">
                  <c:v>246.76217142857101</c:v>
                </c:pt>
                <c:pt idx="369">
                  <c:v>246.25769142857101</c:v>
                </c:pt>
                <c:pt idx="370">
                  <c:v>245.75813142857101</c:v>
                </c:pt>
                <c:pt idx="371">
                  <c:v>245.263491428571</c:v>
                </c:pt>
                <c:pt idx="372">
                  <c:v>244.77869142857099</c:v>
                </c:pt>
                <c:pt idx="373">
                  <c:v>244.30865142857101</c:v>
                </c:pt>
                <c:pt idx="374">
                  <c:v>243.85337142857099</c:v>
                </c:pt>
                <c:pt idx="375">
                  <c:v>243.39809142857101</c:v>
                </c:pt>
                <c:pt idx="376">
                  <c:v>242.94773142857099</c:v>
                </c:pt>
                <c:pt idx="377">
                  <c:v>242.507211428571</c:v>
                </c:pt>
                <c:pt idx="378">
                  <c:v>242.05193142857101</c:v>
                </c:pt>
                <c:pt idx="379">
                  <c:v>241.576971428571</c:v>
                </c:pt>
                <c:pt idx="380">
                  <c:v>241.09709142857099</c:v>
                </c:pt>
                <c:pt idx="381">
                  <c:v>240.59753142857099</c:v>
                </c:pt>
                <c:pt idx="382">
                  <c:v>240.08321142857099</c:v>
                </c:pt>
                <c:pt idx="383">
                  <c:v>239.559051428571</c:v>
                </c:pt>
                <c:pt idx="384">
                  <c:v>239.026371428571</c:v>
                </c:pt>
                <c:pt idx="385">
                  <c:v>238.50209142857099</c:v>
                </c:pt>
                <c:pt idx="386">
                  <c:v>237.98909142857099</c:v>
                </c:pt>
                <c:pt idx="388">
                  <c:v>237.495771428571</c:v>
                </c:pt>
                <c:pt idx="389">
                  <c:v>237.01229142857099</c:v>
                </c:pt>
                <c:pt idx="390">
                  <c:v>236.533731428571</c:v>
                </c:pt>
                <c:pt idx="391">
                  <c:v>236.06993142857101</c:v>
                </c:pt>
                <c:pt idx="392">
                  <c:v>235.62653142857101</c:v>
                </c:pt>
                <c:pt idx="393">
                  <c:v>235.21033714285699</c:v>
                </c:pt>
                <c:pt idx="394">
                  <c:v>234.81035999999901</c:v>
                </c:pt>
                <c:pt idx="395">
                  <c:v>234.42659999999901</c:v>
                </c:pt>
                <c:pt idx="396">
                  <c:v>234.04775999999899</c:v>
                </c:pt>
                <c:pt idx="397">
                  <c:v>233.66891999999899</c:v>
                </c:pt>
                <c:pt idx="398">
                  <c:v>233.280239999999</c:v>
                </c:pt>
                <c:pt idx="399">
                  <c:v>232.86695999999901</c:v>
                </c:pt>
                <c:pt idx="400">
                  <c:v>232.42415999999901</c:v>
                </c:pt>
                <c:pt idx="401">
                  <c:v>231.966599999999</c:v>
                </c:pt>
                <c:pt idx="402">
                  <c:v>231.51264</c:v>
                </c:pt>
                <c:pt idx="403">
                  <c:v>231.05375999999899</c:v>
                </c:pt>
                <c:pt idx="404">
                  <c:v>230.59487999999999</c:v>
                </c:pt>
                <c:pt idx="405">
                  <c:v>230.145839999999</c:v>
                </c:pt>
                <c:pt idx="406">
                  <c:v>229.696799999999</c:v>
                </c:pt>
                <c:pt idx="407">
                  <c:v>229.300559999999</c:v>
                </c:pt>
                <c:pt idx="408">
                  <c:v>228.93875999999901</c:v>
                </c:pt>
                <c:pt idx="409">
                  <c:v>228.54875999999899</c:v>
                </c:pt>
                <c:pt idx="410">
                  <c:v>228.163679999999</c:v>
                </c:pt>
                <c:pt idx="411">
                  <c:v>227.76035999999999</c:v>
                </c:pt>
                <c:pt idx="412">
                  <c:v>227.35560000000001</c:v>
                </c:pt>
                <c:pt idx="413">
                  <c:v>226.92624000000001</c:v>
                </c:pt>
                <c:pt idx="414">
                  <c:v>226.48703999999901</c:v>
                </c:pt>
                <c:pt idx="415">
                  <c:v>226.03308000000001</c:v>
                </c:pt>
                <c:pt idx="416">
                  <c:v>225.57419999999999</c:v>
                </c:pt>
                <c:pt idx="417">
                  <c:v>225.10056</c:v>
                </c:pt>
                <c:pt idx="418">
                  <c:v>225.10056</c:v>
                </c:pt>
                <c:pt idx="419">
                  <c:v>225.10056</c:v>
                </c:pt>
                <c:pt idx="420">
                  <c:v>225.10056</c:v>
                </c:pt>
                <c:pt idx="421">
                  <c:v>225.10056</c:v>
                </c:pt>
                <c:pt idx="422">
                  <c:v>225.10056</c:v>
                </c:pt>
                <c:pt idx="423">
                  <c:v>225.10056</c:v>
                </c:pt>
                <c:pt idx="424">
                  <c:v>225.10056</c:v>
                </c:pt>
                <c:pt idx="425">
                  <c:v>225.10056</c:v>
                </c:pt>
                <c:pt idx="426">
                  <c:v>225.10056</c:v>
                </c:pt>
                <c:pt idx="427">
                  <c:v>225.10056</c:v>
                </c:pt>
                <c:pt idx="428">
                  <c:v>225.10056</c:v>
                </c:pt>
                <c:pt idx="429">
                  <c:v>225.10056</c:v>
                </c:pt>
                <c:pt idx="430">
                  <c:v>225.10056</c:v>
                </c:pt>
                <c:pt idx="431">
                  <c:v>225.10056</c:v>
                </c:pt>
                <c:pt idx="432">
                  <c:v>225.10056</c:v>
                </c:pt>
                <c:pt idx="433">
                  <c:v>225.10056</c:v>
                </c:pt>
                <c:pt idx="434">
                  <c:v>225.10056</c:v>
                </c:pt>
                <c:pt idx="435">
                  <c:v>225.10056</c:v>
                </c:pt>
                <c:pt idx="436">
                  <c:v>225.10056</c:v>
                </c:pt>
                <c:pt idx="437">
                  <c:v>225.10056</c:v>
                </c:pt>
                <c:pt idx="438">
                  <c:v>225.10056</c:v>
                </c:pt>
                <c:pt idx="439">
                  <c:v>225.10056</c:v>
                </c:pt>
                <c:pt idx="440">
                  <c:v>225.10056</c:v>
                </c:pt>
                <c:pt idx="441">
                  <c:v>225.10056</c:v>
                </c:pt>
                <c:pt idx="442">
                  <c:v>225.10056</c:v>
                </c:pt>
                <c:pt idx="443">
                  <c:v>225.10056</c:v>
                </c:pt>
                <c:pt idx="444">
                  <c:v>225.10056</c:v>
                </c:pt>
                <c:pt idx="445">
                  <c:v>225.10056</c:v>
                </c:pt>
                <c:pt idx="446">
                  <c:v>225.10056</c:v>
                </c:pt>
                <c:pt idx="447">
                  <c:v>225.10056</c:v>
                </c:pt>
                <c:pt idx="448">
                  <c:v>225.10056</c:v>
                </c:pt>
                <c:pt idx="449">
                  <c:v>225.10056</c:v>
                </c:pt>
                <c:pt idx="450">
                  <c:v>225.10056</c:v>
                </c:pt>
                <c:pt idx="451">
                  <c:v>225.10056</c:v>
                </c:pt>
                <c:pt idx="452">
                  <c:v>225.10056</c:v>
                </c:pt>
                <c:pt idx="453">
                  <c:v>225.10056</c:v>
                </c:pt>
                <c:pt idx="454">
                  <c:v>225.10056</c:v>
                </c:pt>
                <c:pt idx="455">
                  <c:v>225.10056</c:v>
                </c:pt>
                <c:pt idx="456">
                  <c:v>225.10056</c:v>
                </c:pt>
                <c:pt idx="457">
                  <c:v>225.10056</c:v>
                </c:pt>
                <c:pt idx="458">
                  <c:v>225.10056</c:v>
                </c:pt>
                <c:pt idx="459">
                  <c:v>225.10056</c:v>
                </c:pt>
                <c:pt idx="460">
                  <c:v>225.10056</c:v>
                </c:pt>
                <c:pt idx="461">
                  <c:v>225.10056</c:v>
                </c:pt>
                <c:pt idx="462">
                  <c:v>225.10056</c:v>
                </c:pt>
                <c:pt idx="463">
                  <c:v>225.10056</c:v>
                </c:pt>
                <c:pt idx="464">
                  <c:v>225.10056</c:v>
                </c:pt>
                <c:pt idx="465">
                  <c:v>225.10056</c:v>
                </c:pt>
                <c:pt idx="466">
                  <c:v>225.10056</c:v>
                </c:pt>
                <c:pt idx="467">
                  <c:v>225.10056</c:v>
                </c:pt>
                <c:pt idx="468">
                  <c:v>225.10056</c:v>
                </c:pt>
                <c:pt idx="469">
                  <c:v>225.10056</c:v>
                </c:pt>
                <c:pt idx="470">
                  <c:v>225.10056</c:v>
                </c:pt>
                <c:pt idx="471">
                  <c:v>225.10056</c:v>
                </c:pt>
                <c:pt idx="472">
                  <c:v>225.10056</c:v>
                </c:pt>
                <c:pt idx="473">
                  <c:v>225.10056</c:v>
                </c:pt>
                <c:pt idx="474">
                  <c:v>225.10056</c:v>
                </c:pt>
                <c:pt idx="475">
                  <c:v>225.10056</c:v>
                </c:pt>
                <c:pt idx="476">
                  <c:v>225.10056</c:v>
                </c:pt>
                <c:pt idx="477">
                  <c:v>225.10056</c:v>
                </c:pt>
                <c:pt idx="478">
                  <c:v>225.10056</c:v>
                </c:pt>
                <c:pt idx="479">
                  <c:v>225.10056</c:v>
                </c:pt>
                <c:pt idx="480">
                  <c:v>225.10056</c:v>
                </c:pt>
                <c:pt idx="481">
                  <c:v>225.10056</c:v>
                </c:pt>
                <c:pt idx="482">
                  <c:v>225.10056</c:v>
                </c:pt>
                <c:pt idx="483">
                  <c:v>225.10056</c:v>
                </c:pt>
                <c:pt idx="484">
                  <c:v>225.10056</c:v>
                </c:pt>
                <c:pt idx="485">
                  <c:v>225.10056</c:v>
                </c:pt>
                <c:pt idx="486">
                  <c:v>225.10056</c:v>
                </c:pt>
                <c:pt idx="487">
                  <c:v>225.10056</c:v>
                </c:pt>
                <c:pt idx="488">
                  <c:v>225.10056</c:v>
                </c:pt>
                <c:pt idx="489">
                  <c:v>225.10056</c:v>
                </c:pt>
                <c:pt idx="490">
                  <c:v>225.10056</c:v>
                </c:pt>
                <c:pt idx="491">
                  <c:v>225.10056</c:v>
                </c:pt>
                <c:pt idx="492">
                  <c:v>225.10056</c:v>
                </c:pt>
                <c:pt idx="493">
                  <c:v>225.10056</c:v>
                </c:pt>
                <c:pt idx="494">
                  <c:v>225.10056</c:v>
                </c:pt>
                <c:pt idx="495">
                  <c:v>225.10056</c:v>
                </c:pt>
                <c:pt idx="496">
                  <c:v>225.10056</c:v>
                </c:pt>
                <c:pt idx="497">
                  <c:v>225.10056</c:v>
                </c:pt>
                <c:pt idx="498">
                  <c:v>225.10056</c:v>
                </c:pt>
                <c:pt idx="499">
                  <c:v>225.10056</c:v>
                </c:pt>
                <c:pt idx="500">
                  <c:v>225.10056</c:v>
                </c:pt>
                <c:pt idx="501">
                  <c:v>225.10056</c:v>
                </c:pt>
                <c:pt idx="502">
                  <c:v>225.10056</c:v>
                </c:pt>
              </c:numCache>
            </c:numRef>
          </c:xVal>
          <c:yVal>
            <c:numRef>
              <c:f>'Maju 0.05'!$L$179:$L$1000</c:f>
              <c:numCache>
                <c:formatCode>General</c:formatCode>
                <c:ptCount val="822"/>
                <c:pt idx="0">
                  <c:v>43.323</c:v>
                </c:pt>
                <c:pt idx="1">
                  <c:v>42.798999999999999</c:v>
                </c:pt>
                <c:pt idx="2">
                  <c:v>41.750999999999998</c:v>
                </c:pt>
                <c:pt idx="3">
                  <c:v>41.226999999999997</c:v>
                </c:pt>
                <c:pt idx="4">
                  <c:v>40.965000000000003</c:v>
                </c:pt>
                <c:pt idx="5">
                  <c:v>40.834000000000003</c:v>
                </c:pt>
                <c:pt idx="6">
                  <c:v>40.965000000000003</c:v>
                </c:pt>
                <c:pt idx="7">
                  <c:v>41.226999999999997</c:v>
                </c:pt>
                <c:pt idx="8">
                  <c:v>41.488999999999997</c:v>
                </c:pt>
                <c:pt idx="9">
                  <c:v>41.750999999999998</c:v>
                </c:pt>
                <c:pt idx="10">
                  <c:v>42.93</c:v>
                </c:pt>
                <c:pt idx="11">
                  <c:v>43.323</c:v>
                </c:pt>
                <c:pt idx="12">
                  <c:v>43.716000000000001</c:v>
                </c:pt>
                <c:pt idx="13">
                  <c:v>44.24</c:v>
                </c:pt>
                <c:pt idx="14">
                  <c:v>44.764000000000003</c:v>
                </c:pt>
                <c:pt idx="15">
                  <c:v>45.025999999999897</c:v>
                </c:pt>
                <c:pt idx="16">
                  <c:v>45.287999999999997</c:v>
                </c:pt>
                <c:pt idx="17">
                  <c:v>45.55</c:v>
                </c:pt>
                <c:pt idx="18">
                  <c:v>45.811999999999998</c:v>
                </c:pt>
                <c:pt idx="19">
                  <c:v>45.680999999999997</c:v>
                </c:pt>
                <c:pt idx="20">
                  <c:v>45.418999999999997</c:v>
                </c:pt>
                <c:pt idx="21">
                  <c:v>45.025999999999897</c:v>
                </c:pt>
                <c:pt idx="22">
                  <c:v>44.502000000000002</c:v>
                </c:pt>
                <c:pt idx="23">
                  <c:v>44.24</c:v>
                </c:pt>
                <c:pt idx="24">
                  <c:v>43.427799999999898</c:v>
                </c:pt>
                <c:pt idx="25">
                  <c:v>43.4435199999999</c:v>
                </c:pt>
                <c:pt idx="26">
                  <c:v>43.464479999999902</c:v>
                </c:pt>
                <c:pt idx="27">
                  <c:v>43.51164</c:v>
                </c:pt>
                <c:pt idx="28">
                  <c:v>43.564039999999999</c:v>
                </c:pt>
                <c:pt idx="29">
                  <c:v>43.5745199999999</c:v>
                </c:pt>
                <c:pt idx="30">
                  <c:v>43.569279999999999</c:v>
                </c:pt>
                <c:pt idx="31">
                  <c:v>43.532600000000002</c:v>
                </c:pt>
                <c:pt idx="32">
                  <c:v>43.474959999999903</c:v>
                </c:pt>
                <c:pt idx="33">
                  <c:v>43.396359999999902</c:v>
                </c:pt>
                <c:pt idx="34">
                  <c:v>43.296799999999898</c:v>
                </c:pt>
                <c:pt idx="35">
                  <c:v>43.150079999999903</c:v>
                </c:pt>
                <c:pt idx="36">
                  <c:v>42.982399999999998</c:v>
                </c:pt>
                <c:pt idx="37">
                  <c:v>42.798999999999999</c:v>
                </c:pt>
                <c:pt idx="38">
                  <c:v>42.599879999999899</c:v>
                </c:pt>
                <c:pt idx="39">
                  <c:v>42.385039999999897</c:v>
                </c:pt>
                <c:pt idx="40">
                  <c:v>42.164959999999901</c:v>
                </c:pt>
                <c:pt idx="41">
                  <c:v>41.944879999999898</c:v>
                </c:pt>
                <c:pt idx="42">
                  <c:v>41.714320000000001</c:v>
                </c:pt>
                <c:pt idx="43">
                  <c:v>41.473279999999903</c:v>
                </c:pt>
                <c:pt idx="44">
                  <c:v>41.232239999999898</c:v>
                </c:pt>
                <c:pt idx="45">
                  <c:v>40.9911999999999</c:v>
                </c:pt>
                <c:pt idx="46">
                  <c:v>40.760639999999903</c:v>
                </c:pt>
                <c:pt idx="47">
                  <c:v>40.540559999999999</c:v>
                </c:pt>
                <c:pt idx="48">
                  <c:v>40.325719999999997</c:v>
                </c:pt>
                <c:pt idx="49">
                  <c:v>40.121360000000003</c:v>
                </c:pt>
                <c:pt idx="50">
                  <c:v>39.911760000000001</c:v>
                </c:pt>
                <c:pt idx="51">
                  <c:v>39.7074</c:v>
                </c:pt>
                <c:pt idx="52">
                  <c:v>39.508279999999999</c:v>
                </c:pt>
                <c:pt idx="53">
                  <c:v>39.31964</c:v>
                </c:pt>
                <c:pt idx="54">
                  <c:v>39.178159999999998</c:v>
                </c:pt>
                <c:pt idx="55">
                  <c:v>39.057639999999999</c:v>
                </c:pt>
                <c:pt idx="56">
                  <c:v>38.958080000000002</c:v>
                </c:pt>
                <c:pt idx="57">
                  <c:v>38.869</c:v>
                </c:pt>
                <c:pt idx="58">
                  <c:v>38.795639999999999</c:v>
                </c:pt>
                <c:pt idx="59">
                  <c:v>38.74324</c:v>
                </c:pt>
                <c:pt idx="60">
                  <c:v>38.706560000000003</c:v>
                </c:pt>
                <c:pt idx="61">
                  <c:v>38.701319999999903</c:v>
                </c:pt>
                <c:pt idx="62">
                  <c:v>38.717039999999997</c:v>
                </c:pt>
                <c:pt idx="63">
                  <c:v>38.753720000000001</c:v>
                </c:pt>
                <c:pt idx="64">
                  <c:v>38.811360000000001</c:v>
                </c:pt>
                <c:pt idx="65">
                  <c:v>38.895200000000003</c:v>
                </c:pt>
                <c:pt idx="66">
                  <c:v>38.686799999999998</c:v>
                </c:pt>
                <c:pt idx="67">
                  <c:v>38.034799999999997</c:v>
                </c:pt>
                <c:pt idx="68">
                  <c:v>37.408999999999999</c:v>
                </c:pt>
                <c:pt idx="69">
                  <c:v>36.809399999999997</c:v>
                </c:pt>
                <c:pt idx="70">
                  <c:v>36.241239999999998</c:v>
                </c:pt>
                <c:pt idx="71">
                  <c:v>35.699279999999902</c:v>
                </c:pt>
                <c:pt idx="72">
                  <c:v>35.183519999999902</c:v>
                </c:pt>
                <c:pt idx="73">
                  <c:v>34.683479999999903</c:v>
                </c:pt>
                <c:pt idx="74">
                  <c:v>34.193919999999899</c:v>
                </c:pt>
                <c:pt idx="75">
                  <c:v>33.730559999999997</c:v>
                </c:pt>
                <c:pt idx="76">
                  <c:v>33.282919999999997</c:v>
                </c:pt>
                <c:pt idx="77">
                  <c:v>32.9538742857142</c:v>
                </c:pt>
                <c:pt idx="79">
                  <c:v>32.619588571428501</c:v>
                </c:pt>
                <c:pt idx="80">
                  <c:v>32.269582857142801</c:v>
                </c:pt>
                <c:pt idx="81">
                  <c:v>31.769542857142799</c:v>
                </c:pt>
                <c:pt idx="82">
                  <c:v>31.248542857142802</c:v>
                </c:pt>
                <c:pt idx="83">
                  <c:v>30.706582857142799</c:v>
                </c:pt>
                <c:pt idx="84">
                  <c:v>30.300262857142801</c:v>
                </c:pt>
                <c:pt idx="85">
                  <c:v>29.872982857142802</c:v>
                </c:pt>
                <c:pt idx="86">
                  <c:v>29.4247428571428</c:v>
                </c:pt>
                <c:pt idx="87">
                  <c:v>28.950302857142798</c:v>
                </c:pt>
                <c:pt idx="88">
                  <c:v>28.460142857142799</c:v>
                </c:pt>
                <c:pt idx="89">
                  <c:v>27.949022857142801</c:v>
                </c:pt>
                <c:pt idx="90">
                  <c:v>27.427422857142801</c:v>
                </c:pt>
                <c:pt idx="91">
                  <c:v>26.884862857142799</c:v>
                </c:pt>
                <c:pt idx="92">
                  <c:v>26.639782857142801</c:v>
                </c:pt>
                <c:pt idx="93">
                  <c:v>26.843542857142801</c:v>
                </c:pt>
                <c:pt idx="94">
                  <c:v>27.0158628571428</c:v>
                </c:pt>
                <c:pt idx="95">
                  <c:v>27.156742857142799</c:v>
                </c:pt>
                <c:pt idx="96">
                  <c:v>27.271422857142799</c:v>
                </c:pt>
                <c:pt idx="97">
                  <c:v>27.3651428571428</c:v>
                </c:pt>
                <c:pt idx="98">
                  <c:v>27.437902857142799</c:v>
                </c:pt>
                <c:pt idx="99">
                  <c:v>27.5001828571428</c:v>
                </c:pt>
                <c:pt idx="100">
                  <c:v>27.562462857142801</c:v>
                </c:pt>
                <c:pt idx="101">
                  <c:v>27.739622857142798</c:v>
                </c:pt>
                <c:pt idx="102">
                  <c:v>27.916782857142799</c:v>
                </c:pt>
                <c:pt idx="103">
                  <c:v>27.991068571428499</c:v>
                </c:pt>
                <c:pt idx="104">
                  <c:v>28.081074285714202</c:v>
                </c:pt>
                <c:pt idx="105">
                  <c:v>28.060114285714199</c:v>
                </c:pt>
                <c:pt idx="106">
                  <c:v>28.070594285714201</c:v>
                </c:pt>
                <c:pt idx="107">
                  <c:v>28.112514285714202</c:v>
                </c:pt>
                <c:pt idx="108">
                  <c:v>28.180634285714198</c:v>
                </c:pt>
                <c:pt idx="109">
                  <c:v>28.1131142857142</c:v>
                </c:pt>
                <c:pt idx="110">
                  <c:v>28.066554285714201</c:v>
                </c:pt>
                <c:pt idx="111">
                  <c:v>27.932839999999999</c:v>
                </c:pt>
                <c:pt idx="112">
                  <c:v>27.809605714285698</c:v>
                </c:pt>
                <c:pt idx="113">
                  <c:v>27.815445714285701</c:v>
                </c:pt>
                <c:pt idx="114">
                  <c:v>27.8160457142857</c:v>
                </c:pt>
                <c:pt idx="115">
                  <c:v>27.7956857142857</c:v>
                </c:pt>
                <c:pt idx="116">
                  <c:v>27.759605714285701</c:v>
                </c:pt>
                <c:pt idx="117">
                  <c:v>27.6973257142857</c:v>
                </c:pt>
                <c:pt idx="118">
                  <c:v>27.619325714285701</c:v>
                </c:pt>
                <c:pt idx="119">
                  <c:v>27.5308457142857</c:v>
                </c:pt>
                <c:pt idx="120">
                  <c:v>27.437125714285699</c:v>
                </c:pt>
                <c:pt idx="121">
                  <c:v>27.3329257142857</c:v>
                </c:pt>
                <c:pt idx="122">
                  <c:v>27.2130057142857</c:v>
                </c:pt>
                <c:pt idx="123">
                  <c:v>27.087845714285699</c:v>
                </c:pt>
                <c:pt idx="124">
                  <c:v>26.9469657142857</c:v>
                </c:pt>
                <c:pt idx="125">
                  <c:v>26.779885714285701</c:v>
                </c:pt>
                <c:pt idx="126">
                  <c:v>26.876325714285699</c:v>
                </c:pt>
                <c:pt idx="127">
                  <c:v>26.951805714285701</c:v>
                </c:pt>
                <c:pt idx="128">
                  <c:v>27.001085714285701</c:v>
                </c:pt>
                <c:pt idx="129">
                  <c:v>27.428765714285699</c:v>
                </c:pt>
                <c:pt idx="130">
                  <c:v>27.9778914285714</c:v>
                </c:pt>
                <c:pt idx="131">
                  <c:v>28.629891428571401</c:v>
                </c:pt>
                <c:pt idx="132">
                  <c:v>29.266171428571401</c:v>
                </c:pt>
                <c:pt idx="133">
                  <c:v>29.881491428571401</c:v>
                </c:pt>
                <c:pt idx="134">
                  <c:v>30.475851428571399</c:v>
                </c:pt>
                <c:pt idx="135">
                  <c:v>31.044011428571402</c:v>
                </c:pt>
                <c:pt idx="136">
                  <c:v>31.6783657142857</c:v>
                </c:pt>
                <c:pt idx="137">
                  <c:v>32.276039999999902</c:v>
                </c:pt>
                <c:pt idx="138">
                  <c:v>32.70796</c:v>
                </c:pt>
                <c:pt idx="139">
                  <c:v>33.103199999999902</c:v>
                </c:pt>
                <c:pt idx="140">
                  <c:v>33.461759999999998</c:v>
                </c:pt>
                <c:pt idx="141">
                  <c:v>34.1829999999999</c:v>
                </c:pt>
                <c:pt idx="142">
                  <c:v>35.115559999999903</c:v>
                </c:pt>
                <c:pt idx="143">
                  <c:v>36.162799999999997</c:v>
                </c:pt>
                <c:pt idx="144">
                  <c:v>37.333874285714202</c:v>
                </c:pt>
                <c:pt idx="145">
                  <c:v>38.468268571428503</c:v>
                </c:pt>
                <c:pt idx="146">
                  <c:v>39.597422857142803</c:v>
                </c:pt>
                <c:pt idx="147">
                  <c:v>40.721337142857102</c:v>
                </c:pt>
                <c:pt idx="148">
                  <c:v>41.7318971428571</c:v>
                </c:pt>
                <c:pt idx="149">
                  <c:v>42.747697142857099</c:v>
                </c:pt>
                <c:pt idx="150">
                  <c:v>43.763497142857098</c:v>
                </c:pt>
                <c:pt idx="151">
                  <c:v>44.374697142857102</c:v>
                </c:pt>
                <c:pt idx="152">
                  <c:v>44.985897142857098</c:v>
                </c:pt>
                <c:pt idx="153">
                  <c:v>45.607577142857103</c:v>
                </c:pt>
                <c:pt idx="154">
                  <c:v>45.8351371428571</c:v>
                </c:pt>
                <c:pt idx="155">
                  <c:v>46.062697142857097</c:v>
                </c:pt>
                <c:pt idx="156">
                  <c:v>46.290257142857101</c:v>
                </c:pt>
                <c:pt idx="157">
                  <c:v>46.507337142857097</c:v>
                </c:pt>
                <c:pt idx="158">
                  <c:v>46.605822857142797</c:v>
                </c:pt>
                <c:pt idx="159">
                  <c:v>46.812422857142799</c:v>
                </c:pt>
                <c:pt idx="160">
                  <c:v>47.003302857142799</c:v>
                </c:pt>
                <c:pt idx="161">
                  <c:v>47.350782857142804</c:v>
                </c:pt>
                <c:pt idx="162">
                  <c:v>47.930542857142797</c:v>
                </c:pt>
                <c:pt idx="163">
                  <c:v>48.888702857142803</c:v>
                </c:pt>
                <c:pt idx="164">
                  <c:v>49.862582857142797</c:v>
                </c:pt>
                <c:pt idx="165">
                  <c:v>50.836462857142799</c:v>
                </c:pt>
                <c:pt idx="166">
                  <c:v>51.410982857142798</c:v>
                </c:pt>
                <c:pt idx="167">
                  <c:v>51.742742857142801</c:v>
                </c:pt>
                <c:pt idx="168">
                  <c:v>51.9231428571428</c:v>
                </c:pt>
                <c:pt idx="169">
                  <c:v>51.9535085714285</c:v>
                </c:pt>
                <c:pt idx="170">
                  <c:v>51.989114285714201</c:v>
                </c:pt>
                <c:pt idx="171">
                  <c:v>52.635399999999997</c:v>
                </c:pt>
                <c:pt idx="172">
                  <c:v>53.422565714285703</c:v>
                </c:pt>
                <c:pt idx="173">
                  <c:v>54.286405714285699</c:v>
                </c:pt>
                <c:pt idx="174">
                  <c:v>55.103085714285697</c:v>
                </c:pt>
                <c:pt idx="175">
                  <c:v>55.888325714285699</c:v>
                </c:pt>
                <c:pt idx="176">
                  <c:v>56.621165714285702</c:v>
                </c:pt>
                <c:pt idx="177">
                  <c:v>57.3068457142857</c:v>
                </c:pt>
                <c:pt idx="178">
                  <c:v>57.940125714285699</c:v>
                </c:pt>
                <c:pt idx="179">
                  <c:v>58.688085714285698</c:v>
                </c:pt>
                <c:pt idx="180">
                  <c:v>60.015285714285703</c:v>
                </c:pt>
                <c:pt idx="181">
                  <c:v>61.300565714285703</c:v>
                </c:pt>
                <c:pt idx="182">
                  <c:v>62.543925714285699</c:v>
                </c:pt>
                <c:pt idx="183">
                  <c:v>63.863959999999999</c:v>
                </c:pt>
                <c:pt idx="184">
                  <c:v>65.028720000000007</c:v>
                </c:pt>
                <c:pt idx="185">
                  <c:v>66.793679999999995</c:v>
                </c:pt>
                <c:pt idx="186">
                  <c:v>68.537679999999995</c:v>
                </c:pt>
                <c:pt idx="187">
                  <c:v>70.131314285714197</c:v>
                </c:pt>
                <c:pt idx="188">
                  <c:v>71.206994285714202</c:v>
                </c:pt>
                <c:pt idx="189">
                  <c:v>72.240754285714203</c:v>
                </c:pt>
                <c:pt idx="190">
                  <c:v>73.258794285714202</c:v>
                </c:pt>
                <c:pt idx="191">
                  <c:v>74.2611142857142</c:v>
                </c:pt>
                <c:pt idx="192">
                  <c:v>75.366308571428505</c:v>
                </c:pt>
                <c:pt idx="193">
                  <c:v>76.613908571428496</c:v>
                </c:pt>
                <c:pt idx="194">
                  <c:v>78.362548571428505</c:v>
                </c:pt>
                <c:pt idx="195">
                  <c:v>80.090228571428497</c:v>
                </c:pt>
                <c:pt idx="196">
                  <c:v>81.160068571428496</c:v>
                </c:pt>
                <c:pt idx="197">
                  <c:v>82.344588571428503</c:v>
                </c:pt>
                <c:pt idx="198">
                  <c:v>83.722188571428603</c:v>
                </c:pt>
                <c:pt idx="199">
                  <c:v>85.257914285714193</c:v>
                </c:pt>
                <c:pt idx="200">
                  <c:v>86.777919999999995</c:v>
                </c:pt>
                <c:pt idx="201">
                  <c:v>88.287445714285695</c:v>
                </c:pt>
                <c:pt idx="202">
                  <c:v>89.786491428571395</c:v>
                </c:pt>
                <c:pt idx="203">
                  <c:v>91.398891428571403</c:v>
                </c:pt>
                <c:pt idx="204">
                  <c:v>92.833731428571397</c:v>
                </c:pt>
                <c:pt idx="205">
                  <c:v>94.425171428571403</c:v>
                </c:pt>
                <c:pt idx="206">
                  <c:v>96.000891428571407</c:v>
                </c:pt>
                <c:pt idx="207">
                  <c:v>97.566131428571396</c:v>
                </c:pt>
                <c:pt idx="208">
                  <c:v>99.115651428571397</c:v>
                </c:pt>
                <c:pt idx="209">
                  <c:v>101.048811428571</c:v>
                </c:pt>
                <c:pt idx="210">
                  <c:v>102.71825142857099</c:v>
                </c:pt>
                <c:pt idx="211">
                  <c:v>104.210131428571</c:v>
                </c:pt>
                <c:pt idx="212">
                  <c:v>105.609617142857</c:v>
                </c:pt>
                <c:pt idx="213">
                  <c:v>107.064817142857</c:v>
                </c:pt>
                <c:pt idx="214">
                  <c:v>108.546217142857</c:v>
                </c:pt>
                <c:pt idx="215">
                  <c:v>110.137057142857</c:v>
                </c:pt>
                <c:pt idx="216">
                  <c:v>112.34381714285701</c:v>
                </c:pt>
                <c:pt idx="217">
                  <c:v>114.400542857142</c:v>
                </c:pt>
                <c:pt idx="218">
                  <c:v>116.278182857142</c:v>
                </c:pt>
                <c:pt idx="219">
                  <c:v>117.63382285714199</c:v>
                </c:pt>
                <c:pt idx="220">
                  <c:v>119.64862857142801</c:v>
                </c:pt>
                <c:pt idx="221">
                  <c:v>121.766308571428</c:v>
                </c:pt>
                <c:pt idx="222">
                  <c:v>123.565548571428</c:v>
                </c:pt>
                <c:pt idx="223">
                  <c:v>125.12978857142799</c:v>
                </c:pt>
                <c:pt idx="224">
                  <c:v>126.504462857142</c:v>
                </c:pt>
                <c:pt idx="225">
                  <c:v>128.35941714285701</c:v>
                </c:pt>
                <c:pt idx="226">
                  <c:v>130.50661142857101</c:v>
                </c:pt>
                <c:pt idx="227">
                  <c:v>132.64856571428501</c:v>
                </c:pt>
                <c:pt idx="228">
                  <c:v>134.65620571428499</c:v>
                </c:pt>
                <c:pt idx="229">
                  <c:v>136.65860571428499</c:v>
                </c:pt>
                <c:pt idx="230">
                  <c:v>138.277365714285</c:v>
                </c:pt>
                <c:pt idx="231">
                  <c:v>140.30596571428501</c:v>
                </c:pt>
                <c:pt idx="232">
                  <c:v>142.318845714285</c:v>
                </c:pt>
                <c:pt idx="233">
                  <c:v>144.321245714285</c:v>
                </c:pt>
                <c:pt idx="234">
                  <c:v>145.91904571428501</c:v>
                </c:pt>
                <c:pt idx="235">
                  <c:v>147.553525714285</c:v>
                </c:pt>
                <c:pt idx="236">
                  <c:v>149.57164571428501</c:v>
                </c:pt>
                <c:pt idx="237">
                  <c:v>151.553085714285</c:v>
                </c:pt>
                <c:pt idx="238">
                  <c:v>153.565965714285</c:v>
                </c:pt>
                <c:pt idx="239">
                  <c:v>155.531685714285</c:v>
                </c:pt>
                <c:pt idx="240">
                  <c:v>157.988165714285</c:v>
                </c:pt>
                <c:pt idx="241">
                  <c:v>159.96436571428501</c:v>
                </c:pt>
                <c:pt idx="242">
                  <c:v>161.945805714285</c:v>
                </c:pt>
                <c:pt idx="243">
                  <c:v>163.92200571428501</c:v>
                </c:pt>
                <c:pt idx="244">
                  <c:v>165.872005714285</c:v>
                </c:pt>
                <c:pt idx="245">
                  <c:v>167.14187999999999</c:v>
                </c:pt>
                <c:pt idx="246">
                  <c:v>169.09187999999901</c:v>
                </c:pt>
                <c:pt idx="247">
                  <c:v>171.03664000000001</c:v>
                </c:pt>
                <c:pt idx="248">
                  <c:v>172.97615999999999</c:v>
                </c:pt>
                <c:pt idx="249">
                  <c:v>174.91567999999901</c:v>
                </c:pt>
                <c:pt idx="250">
                  <c:v>177.16316</c:v>
                </c:pt>
                <c:pt idx="251">
                  <c:v>179.10792000000001</c:v>
                </c:pt>
                <c:pt idx="252">
                  <c:v>181.04743999999999</c:v>
                </c:pt>
                <c:pt idx="253">
                  <c:v>182.98696000000001</c:v>
                </c:pt>
                <c:pt idx="254">
                  <c:v>184.92124000000001</c:v>
                </c:pt>
                <c:pt idx="255">
                  <c:v>186.8398</c:v>
                </c:pt>
                <c:pt idx="256">
                  <c:v>188.73740000000001</c:v>
                </c:pt>
                <c:pt idx="257">
                  <c:v>190.64024000000001</c:v>
                </c:pt>
                <c:pt idx="258">
                  <c:v>192.56404000000001</c:v>
                </c:pt>
                <c:pt idx="259">
                  <c:v>194.96268000000001</c:v>
                </c:pt>
                <c:pt idx="260">
                  <c:v>197.22819999999999</c:v>
                </c:pt>
                <c:pt idx="261">
                  <c:v>199.10484</c:v>
                </c:pt>
                <c:pt idx="262">
                  <c:v>200.99196000000001</c:v>
                </c:pt>
                <c:pt idx="263">
                  <c:v>202.88955999999999</c:v>
                </c:pt>
                <c:pt idx="264">
                  <c:v>204.79764</c:v>
                </c:pt>
                <c:pt idx="265">
                  <c:v>206.21363428571399</c:v>
                </c:pt>
                <c:pt idx="266">
                  <c:v>208.168874285714</c:v>
                </c:pt>
                <c:pt idx="267">
                  <c:v>210.134594285714</c:v>
                </c:pt>
                <c:pt idx="268">
                  <c:v>212.11603428571399</c:v>
                </c:pt>
                <c:pt idx="269">
                  <c:v>214.113194285714</c:v>
                </c:pt>
                <c:pt idx="270">
                  <c:v>216.12083428571401</c:v>
                </c:pt>
                <c:pt idx="271">
                  <c:v>218.02036000000001</c:v>
                </c:pt>
                <c:pt idx="272">
                  <c:v>220.05420000000001</c:v>
                </c:pt>
                <c:pt idx="273">
                  <c:v>222.10375999999999</c:v>
                </c:pt>
                <c:pt idx="274">
                  <c:v>224.16904</c:v>
                </c:pt>
                <c:pt idx="275">
                  <c:v>225.45132000000001</c:v>
                </c:pt>
                <c:pt idx="276">
                  <c:v>226.75980000000001</c:v>
                </c:pt>
                <c:pt idx="277">
                  <c:v>228.38692</c:v>
                </c:pt>
                <c:pt idx="278">
                  <c:v>230.26476</c:v>
                </c:pt>
                <c:pt idx="279">
                  <c:v>232.49771999999999</c:v>
                </c:pt>
                <c:pt idx="280">
                  <c:v>234.36276000000001</c:v>
                </c:pt>
                <c:pt idx="281">
                  <c:v>235.8494</c:v>
                </c:pt>
                <c:pt idx="282">
                  <c:v>237.37796</c:v>
                </c:pt>
                <c:pt idx="283">
                  <c:v>238.94319999999999</c:v>
                </c:pt>
                <c:pt idx="284">
                  <c:v>240.04931999999999</c:v>
                </c:pt>
                <c:pt idx="285">
                  <c:v>240.90492</c:v>
                </c:pt>
                <c:pt idx="286">
                  <c:v>242.1104</c:v>
                </c:pt>
                <c:pt idx="287">
                  <c:v>243.71948571428501</c:v>
                </c:pt>
                <c:pt idx="288">
                  <c:v>245.47336571428499</c:v>
                </c:pt>
                <c:pt idx="289">
                  <c:v>247.25868571428501</c:v>
                </c:pt>
                <c:pt idx="290">
                  <c:v>248.84349714285699</c:v>
                </c:pt>
                <c:pt idx="291">
                  <c:v>249.89297714285701</c:v>
                </c:pt>
                <c:pt idx="292">
                  <c:v>250.984377142857</c:v>
                </c:pt>
                <c:pt idx="293">
                  <c:v>252.11245714285701</c:v>
                </c:pt>
                <c:pt idx="294">
                  <c:v>253.27721714285701</c:v>
                </c:pt>
                <c:pt idx="295">
                  <c:v>254.478657142857</c:v>
                </c:pt>
                <c:pt idx="296">
                  <c:v>255.03665142857099</c:v>
                </c:pt>
                <c:pt idx="297">
                  <c:v>255.517971428571</c:v>
                </c:pt>
                <c:pt idx="298">
                  <c:v>256.21877142857102</c:v>
                </c:pt>
                <c:pt idx="299">
                  <c:v>257.27469142857097</c:v>
                </c:pt>
                <c:pt idx="300">
                  <c:v>258.67525142857102</c:v>
                </c:pt>
                <c:pt idx="301">
                  <c:v>260.10725142857098</c:v>
                </c:pt>
                <c:pt idx="302">
                  <c:v>261.27825142857102</c:v>
                </c:pt>
                <c:pt idx="303">
                  <c:v>262.25617142857101</c:v>
                </c:pt>
                <c:pt idx="304">
                  <c:v>262.93137142857103</c:v>
                </c:pt>
                <c:pt idx="305">
                  <c:v>263.61705142857102</c:v>
                </c:pt>
                <c:pt idx="306">
                  <c:v>264.32893142857102</c:v>
                </c:pt>
                <c:pt idx="307">
                  <c:v>265.05129142857101</c:v>
                </c:pt>
                <c:pt idx="308">
                  <c:v>265.77365142857099</c:v>
                </c:pt>
                <c:pt idx="309">
                  <c:v>266.527451428571</c:v>
                </c:pt>
                <c:pt idx="310">
                  <c:v>267.29173142857098</c:v>
                </c:pt>
                <c:pt idx="311">
                  <c:v>268.28053142857101</c:v>
                </c:pt>
                <c:pt idx="312">
                  <c:v>269.05529142857102</c:v>
                </c:pt>
                <c:pt idx="313">
                  <c:v>269.84577142857103</c:v>
                </c:pt>
                <c:pt idx="314">
                  <c:v>270.65197142857102</c:v>
                </c:pt>
                <c:pt idx="315">
                  <c:v>271.57676571428499</c:v>
                </c:pt>
                <c:pt idx="316">
                  <c:v>272.39344571428501</c:v>
                </c:pt>
                <c:pt idx="317">
                  <c:v>273.22584571428501</c:v>
                </c:pt>
                <c:pt idx="318">
                  <c:v>274.07920571428502</c:v>
                </c:pt>
                <c:pt idx="319">
                  <c:v>274.94828571428502</c:v>
                </c:pt>
                <c:pt idx="320">
                  <c:v>275.82784571428499</c:v>
                </c:pt>
                <c:pt idx="321">
                  <c:v>276.71788571428499</c:v>
                </c:pt>
                <c:pt idx="322">
                  <c:v>277.72127999999998</c:v>
                </c:pt>
                <c:pt idx="323">
                  <c:v>278.55235428571399</c:v>
                </c:pt>
                <c:pt idx="324">
                  <c:v>279.07546857142802</c:v>
                </c:pt>
                <c:pt idx="325">
                  <c:v>279.16678857142801</c:v>
                </c:pt>
                <c:pt idx="326">
                  <c:v>279.43042857142802</c:v>
                </c:pt>
                <c:pt idx="327">
                  <c:v>279.952548571428</c:v>
                </c:pt>
                <c:pt idx="328">
                  <c:v>280.47466857142803</c:v>
                </c:pt>
                <c:pt idx="329">
                  <c:v>281.417108571428</c:v>
                </c:pt>
                <c:pt idx="330">
                  <c:v>282.37002857142801</c:v>
                </c:pt>
                <c:pt idx="331">
                  <c:v>283.338668571428</c:v>
                </c:pt>
                <c:pt idx="332">
                  <c:v>284.32302857142798</c:v>
                </c:pt>
                <c:pt idx="333">
                  <c:v>285.32310857142801</c:v>
                </c:pt>
                <c:pt idx="334">
                  <c:v>286.34414857142798</c:v>
                </c:pt>
                <c:pt idx="335">
                  <c:v>287.38090857142799</c:v>
                </c:pt>
                <c:pt idx="336">
                  <c:v>287.90614857142799</c:v>
                </c:pt>
                <c:pt idx="337">
                  <c:v>288.29422285714202</c:v>
                </c:pt>
                <c:pt idx="338">
                  <c:v>288.58466285714201</c:v>
                </c:pt>
                <c:pt idx="339">
                  <c:v>288.89082285714198</c:v>
                </c:pt>
                <c:pt idx="340">
                  <c:v>289.21794285714202</c:v>
                </c:pt>
                <c:pt idx="341">
                  <c:v>289.56078285714199</c:v>
                </c:pt>
                <c:pt idx="342">
                  <c:v>289.90886285714203</c:v>
                </c:pt>
                <c:pt idx="343">
                  <c:v>290.26742285714198</c:v>
                </c:pt>
                <c:pt idx="344">
                  <c:v>290.64170285714198</c:v>
                </c:pt>
                <c:pt idx="345">
                  <c:v>291.04742285714201</c:v>
                </c:pt>
                <c:pt idx="346">
                  <c:v>291.479342857142</c:v>
                </c:pt>
                <c:pt idx="347">
                  <c:v>291.829348571428</c:v>
                </c:pt>
                <c:pt idx="348">
                  <c:v>292.20555428571402</c:v>
                </c:pt>
                <c:pt idx="349">
                  <c:v>292.60271999999998</c:v>
                </c:pt>
                <c:pt idx="350">
                  <c:v>293.14467999999999</c:v>
                </c:pt>
                <c:pt idx="351">
                  <c:v>293.53528</c:v>
                </c:pt>
                <c:pt idx="352">
                  <c:v>293.68835999999999</c:v>
                </c:pt>
                <c:pt idx="353">
                  <c:v>293.86763999999999</c:v>
                </c:pt>
                <c:pt idx="355">
                  <c:v>293.65279999999899</c:v>
                </c:pt>
                <c:pt idx="356">
                  <c:v>293.45891999999998</c:v>
                </c:pt>
                <c:pt idx="357">
                  <c:v>293.27551999999997</c:v>
                </c:pt>
                <c:pt idx="358">
                  <c:v>293.1026</c:v>
                </c:pt>
                <c:pt idx="359">
                  <c:v>292.91395999999997</c:v>
                </c:pt>
                <c:pt idx="360">
                  <c:v>292.72531999999899</c:v>
                </c:pt>
                <c:pt idx="361">
                  <c:v>292.53667999999902</c:v>
                </c:pt>
                <c:pt idx="362">
                  <c:v>292.348039999999</c:v>
                </c:pt>
                <c:pt idx="363">
                  <c:v>292.164639999999</c:v>
                </c:pt>
                <c:pt idx="364">
                  <c:v>291.98123999999899</c:v>
                </c:pt>
                <c:pt idx="365">
                  <c:v>291.78735999999901</c:v>
                </c:pt>
                <c:pt idx="366">
                  <c:v>291.90667999999903</c:v>
                </c:pt>
                <c:pt idx="367">
                  <c:v>292.38244571428498</c:v>
                </c:pt>
                <c:pt idx="368">
                  <c:v>293.07443999999998</c:v>
                </c:pt>
                <c:pt idx="369">
                  <c:v>293.62687999999901</c:v>
                </c:pt>
                <c:pt idx="370">
                  <c:v>294.16359999999997</c:v>
                </c:pt>
                <c:pt idx="371">
                  <c:v>294.67935999999997</c:v>
                </c:pt>
                <c:pt idx="372">
                  <c:v>295.16891999999899</c:v>
                </c:pt>
                <c:pt idx="373">
                  <c:v>295.63227999999998</c:v>
                </c:pt>
                <c:pt idx="374">
                  <c:v>296.06943999999999</c:v>
                </c:pt>
                <c:pt idx="375">
                  <c:v>296.48039999999997</c:v>
                </c:pt>
                <c:pt idx="376">
                  <c:v>296.87039999999899</c:v>
                </c:pt>
                <c:pt idx="377">
                  <c:v>297.23419999999999</c:v>
                </c:pt>
                <c:pt idx="378">
                  <c:v>297.57704000000001</c:v>
                </c:pt>
                <c:pt idx="379">
                  <c:v>297.90415999999999</c:v>
                </c:pt>
                <c:pt idx="380">
                  <c:v>298.21555999999998</c:v>
                </c:pt>
                <c:pt idx="381">
                  <c:v>298.50599999999997</c:v>
                </c:pt>
                <c:pt idx="382">
                  <c:v>298.78595999999999</c:v>
                </c:pt>
                <c:pt idx="383">
                  <c:v>299.05020000000002</c:v>
                </c:pt>
                <c:pt idx="384">
                  <c:v>299.31443999999999</c:v>
                </c:pt>
                <c:pt idx="385">
                  <c:v>299.73003999999997</c:v>
                </c:pt>
                <c:pt idx="386">
                  <c:v>300.37791999999899</c:v>
                </c:pt>
                <c:pt idx="388">
                  <c:v>301.41467999999998</c:v>
                </c:pt>
                <c:pt idx="389">
                  <c:v>302.43571999999898</c:v>
                </c:pt>
                <c:pt idx="390">
                  <c:v>303.45151999999899</c:v>
                </c:pt>
                <c:pt idx="391">
                  <c:v>304.4778</c:v>
                </c:pt>
                <c:pt idx="392">
                  <c:v>305.19087999999903</c:v>
                </c:pt>
                <c:pt idx="393">
                  <c:v>305.55799428571402</c:v>
                </c:pt>
                <c:pt idx="394">
                  <c:v>305.71935999999999</c:v>
                </c:pt>
                <c:pt idx="395">
                  <c:v>306.036</c:v>
                </c:pt>
                <c:pt idx="396">
                  <c:v>306.38932</c:v>
                </c:pt>
                <c:pt idx="397">
                  <c:v>306.77931999999998</c:v>
                </c:pt>
                <c:pt idx="398">
                  <c:v>307.20599999999899</c:v>
                </c:pt>
                <c:pt idx="399">
                  <c:v>307.66412000000003</c:v>
                </c:pt>
                <c:pt idx="400">
                  <c:v>308.15892000000002</c:v>
                </c:pt>
                <c:pt idx="401">
                  <c:v>308.68516</c:v>
                </c:pt>
                <c:pt idx="402">
                  <c:v>309.22188</c:v>
                </c:pt>
                <c:pt idx="403">
                  <c:v>309.78480000000002</c:v>
                </c:pt>
                <c:pt idx="404">
                  <c:v>310.37392</c:v>
                </c:pt>
                <c:pt idx="405">
                  <c:v>310.97352000000001</c:v>
                </c:pt>
                <c:pt idx="406">
                  <c:v>311.59931999999998</c:v>
                </c:pt>
                <c:pt idx="407">
                  <c:v>312.24608000000001</c:v>
                </c:pt>
                <c:pt idx="408">
                  <c:v>312.92428000000001</c:v>
                </c:pt>
                <c:pt idx="409">
                  <c:v>313.66012000000001</c:v>
                </c:pt>
                <c:pt idx="410">
                  <c:v>314.44312000000002</c:v>
                </c:pt>
                <c:pt idx="411">
                  <c:v>315.13240000000002</c:v>
                </c:pt>
                <c:pt idx="412">
                  <c:v>315.62083999999999</c:v>
                </c:pt>
                <c:pt idx="413">
                  <c:v>315.76756</c:v>
                </c:pt>
                <c:pt idx="414">
                  <c:v>315.977159999999</c:v>
                </c:pt>
                <c:pt idx="415">
                  <c:v>316.24964</c:v>
                </c:pt>
                <c:pt idx="416">
                  <c:v>316.58499999999998</c:v>
                </c:pt>
                <c:pt idx="417">
                  <c:v>316.98324000000002</c:v>
                </c:pt>
                <c:pt idx="418">
                  <c:v>316.98324000000002</c:v>
                </c:pt>
                <c:pt idx="419">
                  <c:v>316.98324000000002</c:v>
                </c:pt>
                <c:pt idx="420">
                  <c:v>316.98324000000002</c:v>
                </c:pt>
                <c:pt idx="421">
                  <c:v>316.98324000000002</c:v>
                </c:pt>
                <c:pt idx="422">
                  <c:v>316.98324000000002</c:v>
                </c:pt>
                <c:pt idx="423">
                  <c:v>316.98324000000002</c:v>
                </c:pt>
                <c:pt idx="424">
                  <c:v>316.98324000000002</c:v>
                </c:pt>
                <c:pt idx="425">
                  <c:v>316.98324000000002</c:v>
                </c:pt>
                <c:pt idx="426">
                  <c:v>316.98324000000002</c:v>
                </c:pt>
                <c:pt idx="427">
                  <c:v>316.98324000000002</c:v>
                </c:pt>
                <c:pt idx="428">
                  <c:v>316.98324000000002</c:v>
                </c:pt>
                <c:pt idx="429">
                  <c:v>316.98324000000002</c:v>
                </c:pt>
                <c:pt idx="430">
                  <c:v>316.98324000000002</c:v>
                </c:pt>
                <c:pt idx="431">
                  <c:v>316.98324000000002</c:v>
                </c:pt>
                <c:pt idx="432">
                  <c:v>316.98324000000002</c:v>
                </c:pt>
                <c:pt idx="433">
                  <c:v>316.98324000000002</c:v>
                </c:pt>
                <c:pt idx="434">
                  <c:v>316.98324000000002</c:v>
                </c:pt>
                <c:pt idx="435">
                  <c:v>316.98324000000002</c:v>
                </c:pt>
                <c:pt idx="436">
                  <c:v>316.98324000000002</c:v>
                </c:pt>
                <c:pt idx="437">
                  <c:v>316.98324000000002</c:v>
                </c:pt>
                <c:pt idx="438">
                  <c:v>316.98324000000002</c:v>
                </c:pt>
                <c:pt idx="439">
                  <c:v>316.98324000000002</c:v>
                </c:pt>
                <c:pt idx="440">
                  <c:v>316.98324000000002</c:v>
                </c:pt>
                <c:pt idx="441">
                  <c:v>316.98324000000002</c:v>
                </c:pt>
                <c:pt idx="442">
                  <c:v>316.98324000000002</c:v>
                </c:pt>
                <c:pt idx="443">
                  <c:v>316.98324000000002</c:v>
                </c:pt>
                <c:pt idx="444">
                  <c:v>316.98324000000002</c:v>
                </c:pt>
                <c:pt idx="445">
                  <c:v>316.98324000000002</c:v>
                </c:pt>
                <c:pt idx="446">
                  <c:v>316.98324000000002</c:v>
                </c:pt>
                <c:pt idx="447">
                  <c:v>316.98324000000002</c:v>
                </c:pt>
                <c:pt idx="448">
                  <c:v>316.98324000000002</c:v>
                </c:pt>
                <c:pt idx="449">
                  <c:v>316.98324000000002</c:v>
                </c:pt>
                <c:pt idx="450">
                  <c:v>316.98324000000002</c:v>
                </c:pt>
                <c:pt idx="451">
                  <c:v>316.98324000000002</c:v>
                </c:pt>
                <c:pt idx="452">
                  <c:v>316.98324000000002</c:v>
                </c:pt>
                <c:pt idx="453">
                  <c:v>316.98324000000002</c:v>
                </c:pt>
                <c:pt idx="454">
                  <c:v>316.98324000000002</c:v>
                </c:pt>
                <c:pt idx="455">
                  <c:v>316.98324000000002</c:v>
                </c:pt>
                <c:pt idx="456">
                  <c:v>316.98324000000002</c:v>
                </c:pt>
                <c:pt idx="457">
                  <c:v>316.98324000000002</c:v>
                </c:pt>
                <c:pt idx="458">
                  <c:v>316.98324000000002</c:v>
                </c:pt>
                <c:pt idx="459">
                  <c:v>316.98324000000002</c:v>
                </c:pt>
                <c:pt idx="460">
                  <c:v>316.98324000000002</c:v>
                </c:pt>
                <c:pt idx="461">
                  <c:v>316.98324000000002</c:v>
                </c:pt>
                <c:pt idx="462">
                  <c:v>316.98324000000002</c:v>
                </c:pt>
                <c:pt idx="463">
                  <c:v>316.98324000000002</c:v>
                </c:pt>
                <c:pt idx="464">
                  <c:v>316.98324000000002</c:v>
                </c:pt>
                <c:pt idx="465">
                  <c:v>316.98324000000002</c:v>
                </c:pt>
                <c:pt idx="466">
                  <c:v>316.98324000000002</c:v>
                </c:pt>
                <c:pt idx="467">
                  <c:v>316.98324000000002</c:v>
                </c:pt>
                <c:pt idx="468">
                  <c:v>316.98324000000002</c:v>
                </c:pt>
                <c:pt idx="469">
                  <c:v>316.98324000000002</c:v>
                </c:pt>
                <c:pt idx="470">
                  <c:v>316.98324000000002</c:v>
                </c:pt>
                <c:pt idx="471">
                  <c:v>316.98324000000002</c:v>
                </c:pt>
                <c:pt idx="472">
                  <c:v>316.98324000000002</c:v>
                </c:pt>
                <c:pt idx="473">
                  <c:v>316.98324000000002</c:v>
                </c:pt>
                <c:pt idx="474">
                  <c:v>316.98324000000002</c:v>
                </c:pt>
                <c:pt idx="475">
                  <c:v>316.98324000000002</c:v>
                </c:pt>
                <c:pt idx="476">
                  <c:v>316.98324000000002</c:v>
                </c:pt>
                <c:pt idx="477">
                  <c:v>316.98324000000002</c:v>
                </c:pt>
                <c:pt idx="478">
                  <c:v>316.98324000000002</c:v>
                </c:pt>
                <c:pt idx="479">
                  <c:v>316.98324000000002</c:v>
                </c:pt>
                <c:pt idx="480">
                  <c:v>316.98324000000002</c:v>
                </c:pt>
                <c:pt idx="481">
                  <c:v>316.98324000000002</c:v>
                </c:pt>
                <c:pt idx="482">
                  <c:v>316.98324000000002</c:v>
                </c:pt>
                <c:pt idx="483">
                  <c:v>316.98324000000002</c:v>
                </c:pt>
                <c:pt idx="484">
                  <c:v>316.98324000000002</c:v>
                </c:pt>
                <c:pt idx="485">
                  <c:v>316.98324000000002</c:v>
                </c:pt>
                <c:pt idx="486">
                  <c:v>316.98324000000002</c:v>
                </c:pt>
                <c:pt idx="487">
                  <c:v>316.98324000000002</c:v>
                </c:pt>
                <c:pt idx="488">
                  <c:v>316.98324000000002</c:v>
                </c:pt>
                <c:pt idx="489">
                  <c:v>316.98324000000002</c:v>
                </c:pt>
                <c:pt idx="490">
                  <c:v>316.98324000000002</c:v>
                </c:pt>
                <c:pt idx="491">
                  <c:v>316.98324000000002</c:v>
                </c:pt>
                <c:pt idx="492">
                  <c:v>316.98324000000002</c:v>
                </c:pt>
                <c:pt idx="493">
                  <c:v>316.98324000000002</c:v>
                </c:pt>
                <c:pt idx="494">
                  <c:v>316.98324000000002</c:v>
                </c:pt>
                <c:pt idx="495">
                  <c:v>316.98324000000002</c:v>
                </c:pt>
                <c:pt idx="496">
                  <c:v>316.98324000000002</c:v>
                </c:pt>
                <c:pt idx="497">
                  <c:v>316.98324000000002</c:v>
                </c:pt>
                <c:pt idx="498">
                  <c:v>316.98324000000002</c:v>
                </c:pt>
                <c:pt idx="499">
                  <c:v>316.98324000000002</c:v>
                </c:pt>
                <c:pt idx="500">
                  <c:v>316.98324000000002</c:v>
                </c:pt>
                <c:pt idx="501">
                  <c:v>316.98324000000002</c:v>
                </c:pt>
                <c:pt idx="502">
                  <c:v>316.98324000000002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25-4EAA-98C6-E4378464A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3072"/>
        <c:axId val="13959296"/>
      </c:scatterChart>
      <c:valAx>
        <c:axId val="13943072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9296"/>
        <c:crosses val="autoZero"/>
        <c:crossBetween val="midCat"/>
      </c:valAx>
      <c:valAx>
        <c:axId val="1395929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4"/>
          <c:order val="1"/>
          <c:tx>
            <c:strRef>
              <c:f>'Maju 0.05'!$AB$6</c:f>
              <c:strCache>
                <c:ptCount val="1"/>
                <c:pt idx="0">
                  <c:v>Int Vx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0.05'!$AB$7:$AB$565</c:f>
              <c:numCache>
                <c:formatCode>General</c:formatCode>
                <c:ptCount val="559"/>
                <c:pt idx="0">
                  <c:v>43.323</c:v>
                </c:pt>
                <c:pt idx="1">
                  <c:v>43.300248877672658</c:v>
                </c:pt>
                <c:pt idx="2">
                  <c:v>43.282997509170627</c:v>
                </c:pt>
                <c:pt idx="3">
                  <c:v>43.20479084359151</c:v>
                </c:pt>
                <c:pt idx="4">
                  <c:v>43.132346638345382</c:v>
                </c:pt>
                <c:pt idx="5">
                  <c:v>43.061850801227024</c:v>
                </c:pt>
                <c:pt idx="6">
                  <c:v>43.055083786786831</c:v>
                </c:pt>
                <c:pt idx="7">
                  <c:v>43.048592405375636</c:v>
                </c:pt>
                <c:pt idx="8">
                  <c:v>43.041761312794883</c:v>
                </c:pt>
                <c:pt idx="9">
                  <c:v>43.035356282900359</c:v>
                </c:pt>
                <c:pt idx="10">
                  <c:v>43.051730361199688</c:v>
                </c:pt>
                <c:pt idx="11">
                  <c:v>43.068724551217116</c:v>
                </c:pt>
                <c:pt idx="12">
                  <c:v>43.08561062083978</c:v>
                </c:pt>
                <c:pt idx="13">
                  <c:v>43.102084675678952</c:v>
                </c:pt>
                <c:pt idx="14">
                  <c:v>43.11934686282877</c:v>
                </c:pt>
                <c:pt idx="15">
                  <c:v>43.0380405486124</c:v>
                </c:pt>
                <c:pt idx="16">
                  <c:v>43.017241318456421</c:v>
                </c:pt>
                <c:pt idx="17">
                  <c:v>42.956168025164956</c:v>
                </c:pt>
                <c:pt idx="18">
                  <c:v>42.873791237622818</c:v>
                </c:pt>
                <c:pt idx="19">
                  <c:v>42.794722115385241</c:v>
                </c:pt>
                <c:pt idx="20">
                  <c:v>42.769803162284099</c:v>
                </c:pt>
                <c:pt idx="21">
                  <c:v>42.744582230292004</c:v>
                </c:pt>
                <c:pt idx="22">
                  <c:v>42.718683310134281</c:v>
                </c:pt>
                <c:pt idx="23">
                  <c:v>42.692635515685147</c:v>
                </c:pt>
                <c:pt idx="24">
                  <c:v>42.591407404466942</c:v>
                </c:pt>
                <c:pt idx="25">
                  <c:v>42.48437279747786</c:v>
                </c:pt>
                <c:pt idx="26">
                  <c:v>42.384000127780951</c:v>
                </c:pt>
                <c:pt idx="27">
                  <c:v>42.28144183418685</c:v>
                </c:pt>
                <c:pt idx="28">
                  <c:v>42.062177284108166</c:v>
                </c:pt>
                <c:pt idx="29">
                  <c:v>41.862736945959348</c:v>
                </c:pt>
                <c:pt idx="30">
                  <c:v>41.652490926411147</c:v>
                </c:pt>
                <c:pt idx="31">
                  <c:v>41.438112883768362</c:v>
                </c:pt>
                <c:pt idx="32">
                  <c:v>41.208412128677416</c:v>
                </c:pt>
                <c:pt idx="33">
                  <c:v>40.963458515921502</c:v>
                </c:pt>
                <c:pt idx="34">
                  <c:v>40.730517453835809</c:v>
                </c:pt>
                <c:pt idx="35">
                  <c:v>40.504393876804983</c:v>
                </c:pt>
                <c:pt idx="36">
                  <c:v>40.348434159976208</c:v>
                </c:pt>
                <c:pt idx="37">
                  <c:v>40.189442355374105</c:v>
                </c:pt>
                <c:pt idx="38">
                  <c:v>40.029028879096145</c:v>
                </c:pt>
                <c:pt idx="39">
                  <c:v>39.87033541244886</c:v>
                </c:pt>
                <c:pt idx="40">
                  <c:v>39.709820460674464</c:v>
                </c:pt>
                <c:pt idx="41">
                  <c:v>39.639465032655274</c:v>
                </c:pt>
                <c:pt idx="42">
                  <c:v>39.56296606280101</c:v>
                </c:pt>
                <c:pt idx="43">
                  <c:v>39.488607742971553</c:v>
                </c:pt>
                <c:pt idx="44">
                  <c:v>39.41185511227507</c:v>
                </c:pt>
                <c:pt idx="45">
                  <c:v>39.324523428655233</c:v>
                </c:pt>
                <c:pt idx="46">
                  <c:v>39.242636935879631</c:v>
                </c:pt>
                <c:pt idx="47">
                  <c:v>39.157490118656391</c:v>
                </c:pt>
                <c:pt idx="48">
                  <c:v>39.07051600841065</c:v>
                </c:pt>
                <c:pt idx="49">
                  <c:v>38.924744104068431</c:v>
                </c:pt>
                <c:pt idx="50">
                  <c:v>38.782980228714571</c:v>
                </c:pt>
                <c:pt idx="51">
                  <c:v>38.647272360597604</c:v>
                </c:pt>
                <c:pt idx="52">
                  <c:v>38.498011749123286</c:v>
                </c:pt>
                <c:pt idx="53">
                  <c:v>38.299366562174825</c:v>
                </c:pt>
                <c:pt idx="54">
                  <c:v>38.097248663396535</c:v>
                </c:pt>
                <c:pt idx="55">
                  <c:v>37.895011888100299</c:v>
                </c:pt>
                <c:pt idx="56">
                  <c:v>37.697378416181891</c:v>
                </c:pt>
                <c:pt idx="57">
                  <c:v>37.518198030789016</c:v>
                </c:pt>
                <c:pt idx="58">
                  <c:v>37.333940382328592</c:v>
                </c:pt>
                <c:pt idx="59">
                  <c:v>37.158856622913397</c:v>
                </c:pt>
                <c:pt idx="60">
                  <c:v>36.975643439998628</c:v>
                </c:pt>
                <c:pt idx="61">
                  <c:v>36.926890520194625</c:v>
                </c:pt>
                <c:pt idx="62">
                  <c:v>36.876204795273011</c:v>
                </c:pt>
                <c:pt idx="63">
                  <c:v>36.823536850685954</c:v>
                </c:pt>
                <c:pt idx="64">
                  <c:v>36.769911457853766</c:v>
                </c:pt>
                <c:pt idx="65">
                  <c:v>36.718721969894929</c:v>
                </c:pt>
                <c:pt idx="66">
                  <c:v>36.790073905293895</c:v>
                </c:pt>
                <c:pt idx="67">
                  <c:v>36.858866697167144</c:v>
                </c:pt>
                <c:pt idx="68">
                  <c:v>36.928079285453116</c:v>
                </c:pt>
                <c:pt idx="69">
                  <c:v>36.998559784491384</c:v>
                </c:pt>
                <c:pt idx="70">
                  <c:v>37.129895461929557</c:v>
                </c:pt>
                <c:pt idx="71">
                  <c:v>37.26043300880864</c:v>
                </c:pt>
                <c:pt idx="72">
                  <c:v>37.392476139595054</c:v>
                </c:pt>
                <c:pt idx="73">
                  <c:v>37.528399570735345</c:v>
                </c:pt>
                <c:pt idx="74">
                  <c:v>37.706486072791449</c:v>
                </c:pt>
                <c:pt idx="75">
                  <c:v>37.887422656754197</c:v>
                </c:pt>
                <c:pt idx="76">
                  <c:v>38.073674613617506</c:v>
                </c:pt>
                <c:pt idx="77">
                  <c:v>38.250715488130645</c:v>
                </c:pt>
                <c:pt idx="78">
                  <c:v>38.515767337951935</c:v>
                </c:pt>
                <c:pt idx="79">
                  <c:v>38.776603477537606</c:v>
                </c:pt>
                <c:pt idx="80">
                  <c:v>39.030341384083492</c:v>
                </c:pt>
                <c:pt idx="81">
                  <c:v>39.281751162585316</c:v>
                </c:pt>
                <c:pt idx="82">
                  <c:v>39.53784524689916</c:v>
                </c:pt>
                <c:pt idx="83">
                  <c:v>39.721887287312462</c:v>
                </c:pt>
                <c:pt idx="84">
                  <c:v>39.910270273488564</c:v>
                </c:pt>
                <c:pt idx="85">
                  <c:v>40.090306458693597</c:v>
                </c:pt>
                <c:pt idx="86">
                  <c:v>40.268272346692122</c:v>
                </c:pt>
                <c:pt idx="87">
                  <c:v>40.408870110585596</c:v>
                </c:pt>
                <c:pt idx="88">
                  <c:v>40.542709803764858</c:v>
                </c:pt>
                <c:pt idx="89">
                  <c:v>40.681368000495944</c:v>
                </c:pt>
                <c:pt idx="90">
                  <c:v>40.813040453303401</c:v>
                </c:pt>
                <c:pt idx="91">
                  <c:v>40.965691754996811</c:v>
                </c:pt>
                <c:pt idx="92">
                  <c:v>41.11856373149223</c:v>
                </c:pt>
                <c:pt idx="93">
                  <c:v>41.271221868248887</c:v>
                </c:pt>
                <c:pt idx="94">
                  <c:v>41.423820442338823</c:v>
                </c:pt>
                <c:pt idx="95">
                  <c:v>41.523551581442064</c:v>
                </c:pt>
                <c:pt idx="96">
                  <c:v>41.61994437152363</c:v>
                </c:pt>
                <c:pt idx="97">
                  <c:v>41.721571306798893</c:v>
                </c:pt>
                <c:pt idx="98">
                  <c:v>41.823883650325016</c:v>
                </c:pt>
                <c:pt idx="99">
                  <c:v>41.920554907887087</c:v>
                </c:pt>
                <c:pt idx="100">
                  <c:v>42.02079471317419</c:v>
                </c:pt>
                <c:pt idx="101">
                  <c:v>42.117325547455465</c:v>
                </c:pt>
                <c:pt idx="102">
                  <c:v>42.213025006716684</c:v>
                </c:pt>
                <c:pt idx="103">
                  <c:v>42.311494464907483</c:v>
                </c:pt>
                <c:pt idx="104">
                  <c:v>42.338666156709891</c:v>
                </c:pt>
                <c:pt idx="105">
                  <c:v>42.36610162055355</c:v>
                </c:pt>
                <c:pt idx="106">
                  <c:v>42.392858712749685</c:v>
                </c:pt>
                <c:pt idx="107">
                  <c:v>42.418365486707977</c:v>
                </c:pt>
                <c:pt idx="108">
                  <c:v>42.413441881416567</c:v>
                </c:pt>
                <c:pt idx="109">
                  <c:v>42.408642492520528</c:v>
                </c:pt>
                <c:pt idx="110">
                  <c:v>42.403987576004127</c:v>
                </c:pt>
                <c:pt idx="111">
                  <c:v>42.399151939557733</c:v>
                </c:pt>
                <c:pt idx="112">
                  <c:v>42.387066074899245</c:v>
                </c:pt>
                <c:pt idx="113">
                  <c:v>42.37483017541274</c:v>
                </c:pt>
                <c:pt idx="114">
                  <c:v>42.363152837463495</c:v>
                </c:pt>
                <c:pt idx="115">
                  <c:v>42.350999399278386</c:v>
                </c:pt>
                <c:pt idx="116">
                  <c:v>42.338445336382087</c:v>
                </c:pt>
                <c:pt idx="117">
                  <c:v>42.326486900386314</c:v>
                </c:pt>
                <c:pt idx="118">
                  <c:v>42.314034779311854</c:v>
                </c:pt>
                <c:pt idx="119">
                  <c:v>42.300844586563215</c:v>
                </c:pt>
                <c:pt idx="120">
                  <c:v>42.288377810345416</c:v>
                </c:pt>
                <c:pt idx="121">
                  <c:v>42.25607009352057</c:v>
                </c:pt>
                <c:pt idx="122">
                  <c:v>42.222728406549685</c:v>
                </c:pt>
                <c:pt idx="123">
                  <c:v>42.189060347040076</c:v>
                </c:pt>
                <c:pt idx="124">
                  <c:v>42.1570764710997</c:v>
                </c:pt>
                <c:pt idx="125">
                  <c:v>42.120657416481905</c:v>
                </c:pt>
                <c:pt idx="126">
                  <c:v>42.085285646645048</c:v>
                </c:pt>
                <c:pt idx="127">
                  <c:v>42.047779716761298</c:v>
                </c:pt>
                <c:pt idx="128">
                  <c:v>42.012052564096621</c:v>
                </c:pt>
                <c:pt idx="129">
                  <c:v>41.980075660744376</c:v>
                </c:pt>
                <c:pt idx="130">
                  <c:v>41.947776911196094</c:v>
                </c:pt>
                <c:pt idx="131">
                  <c:v>41.915987388318285</c:v>
                </c:pt>
                <c:pt idx="132">
                  <c:v>41.882495255482091</c:v>
                </c:pt>
                <c:pt idx="133">
                  <c:v>41.879342258515024</c:v>
                </c:pt>
                <c:pt idx="134">
                  <c:v>41.876432833122159</c:v>
                </c:pt>
                <c:pt idx="135">
                  <c:v>41.873406182575025</c:v>
                </c:pt>
                <c:pt idx="136">
                  <c:v>41.87044578540376</c:v>
                </c:pt>
                <c:pt idx="137">
                  <c:v>41.884867985345736</c:v>
                </c:pt>
                <c:pt idx="138">
                  <c:v>41.89870448394975</c:v>
                </c:pt>
                <c:pt idx="139">
                  <c:v>41.912992777506155</c:v>
                </c:pt>
                <c:pt idx="140">
                  <c:v>41.926906058996288</c:v>
                </c:pt>
                <c:pt idx="141">
                  <c:v>41.941250455989476</c:v>
                </c:pt>
                <c:pt idx="142">
                  <c:v>41.918462343588693</c:v>
                </c:pt>
                <c:pt idx="143">
                  <c:v>41.896559898341337</c:v>
                </c:pt>
                <c:pt idx="144">
                  <c:v>41.873799229552745</c:v>
                </c:pt>
                <c:pt idx="145">
                  <c:v>41.852062451766493</c:v>
                </c:pt>
                <c:pt idx="146">
                  <c:v>41.830642737812688</c:v>
                </c:pt>
                <c:pt idx="147">
                  <c:v>41.809246878255394</c:v>
                </c:pt>
                <c:pt idx="148">
                  <c:v>41.788035576401519</c:v>
                </c:pt>
                <c:pt idx="149">
                  <c:v>41.766538161283009</c:v>
                </c:pt>
                <c:pt idx="150">
                  <c:v>41.814595862158264</c:v>
                </c:pt>
                <c:pt idx="151">
                  <c:v>41.861490791658454</c:v>
                </c:pt>
                <c:pt idx="152">
                  <c:v>41.910655731339475</c:v>
                </c:pt>
                <c:pt idx="153">
                  <c:v>41.958844352578716</c:v>
                </c:pt>
                <c:pt idx="154">
                  <c:v>42.006857689445447</c:v>
                </c:pt>
                <c:pt idx="155">
                  <c:v>42.103706303393281</c:v>
                </c:pt>
                <c:pt idx="156">
                  <c:v>42.1966228278649</c:v>
                </c:pt>
                <c:pt idx="157">
                  <c:v>42.288940872738664</c:v>
                </c:pt>
                <c:pt idx="158">
                  <c:v>42.383334572891123</c:v>
                </c:pt>
                <c:pt idx="159">
                  <c:v>42.45399677375989</c:v>
                </c:pt>
                <c:pt idx="160">
                  <c:v>42.526953466164521</c:v>
                </c:pt>
                <c:pt idx="161">
                  <c:v>42.59908613923885</c:v>
                </c:pt>
                <c:pt idx="162">
                  <c:v>42.670045671436647</c:v>
                </c:pt>
                <c:pt idx="163">
                  <c:v>42.703787550931814</c:v>
                </c:pt>
                <c:pt idx="164">
                  <c:v>42.736713572823646</c:v>
                </c:pt>
                <c:pt idx="165">
                  <c:v>42.771887855892494</c:v>
                </c:pt>
                <c:pt idx="166">
                  <c:v>42.806587556541473</c:v>
                </c:pt>
                <c:pt idx="167">
                  <c:v>42.835293836958535</c:v>
                </c:pt>
                <c:pt idx="168">
                  <c:v>42.864831031887697</c:v>
                </c:pt>
                <c:pt idx="169">
                  <c:v>42.893417477728782</c:v>
                </c:pt>
                <c:pt idx="170">
                  <c:v>42.921307039422722</c:v>
                </c:pt>
                <c:pt idx="171">
                  <c:v>42.945162947506894</c:v>
                </c:pt>
                <c:pt idx="172">
                  <c:v>42.967252813563853</c:v>
                </c:pt>
                <c:pt idx="173">
                  <c:v>42.988835973967696</c:v>
                </c:pt>
                <c:pt idx="174">
                  <c:v>43.012422864739385</c:v>
                </c:pt>
                <c:pt idx="175">
                  <c:v>43.034338141649847</c:v>
                </c:pt>
                <c:pt idx="176">
                  <c:v>43.051981021522124</c:v>
                </c:pt>
                <c:pt idx="177">
                  <c:v>43.068769465004884</c:v>
                </c:pt>
                <c:pt idx="178">
                  <c:v>43.085184605722276</c:v>
                </c:pt>
                <c:pt idx="179">
                  <c:v>43.102895687243169</c:v>
                </c:pt>
                <c:pt idx="180">
                  <c:v>43.118236968650855</c:v>
                </c:pt>
                <c:pt idx="181">
                  <c:v>43.13413522367879</c:v>
                </c:pt>
                <c:pt idx="182">
                  <c:v>43.140119451881702</c:v>
                </c:pt>
                <c:pt idx="183">
                  <c:v>43.150148707481812</c:v>
                </c:pt>
                <c:pt idx="184">
                  <c:v>43.166237317959236</c:v>
                </c:pt>
                <c:pt idx="185">
                  <c:v>43.190284165301136</c:v>
                </c:pt>
                <c:pt idx="186">
                  <c:v>43.213875287326751</c:v>
                </c:pt>
                <c:pt idx="187">
                  <c:v>43.237724912202061</c:v>
                </c:pt>
                <c:pt idx="188">
                  <c:v>43.261617722258137</c:v>
                </c:pt>
                <c:pt idx="189">
                  <c:v>43.28342029370598</c:v>
                </c:pt>
                <c:pt idx="190">
                  <c:v>43.306016227477755</c:v>
                </c:pt>
                <c:pt idx="191">
                  <c:v>43.328107670028785</c:v>
                </c:pt>
                <c:pt idx="192">
                  <c:v>43.350694483055868</c:v>
                </c:pt>
                <c:pt idx="193">
                  <c:v>43.334815923407412</c:v>
                </c:pt>
                <c:pt idx="194">
                  <c:v>43.318600309835674</c:v>
                </c:pt>
                <c:pt idx="195">
                  <c:v>43.30277159983163</c:v>
                </c:pt>
                <c:pt idx="196">
                  <c:v>43.286951370472622</c:v>
                </c:pt>
                <c:pt idx="197">
                  <c:v>43.27100093218769</c:v>
                </c:pt>
                <c:pt idx="198">
                  <c:v>43.260011149574098</c:v>
                </c:pt>
                <c:pt idx="199">
                  <c:v>43.248777651452812</c:v>
                </c:pt>
                <c:pt idx="200">
                  <c:v>43.237540365378301</c:v>
                </c:pt>
                <c:pt idx="201">
                  <c:v>43.22663527569005</c:v>
                </c:pt>
                <c:pt idx="202">
                  <c:v>43.220253151974468</c:v>
                </c:pt>
                <c:pt idx="203">
                  <c:v>43.213967914167313</c:v>
                </c:pt>
                <c:pt idx="204">
                  <c:v>43.207761203250797</c:v>
                </c:pt>
                <c:pt idx="205">
                  <c:v>43.201571969477698</c:v>
                </c:pt>
                <c:pt idx="206">
                  <c:v>43.187864161968903</c:v>
                </c:pt>
                <c:pt idx="207">
                  <c:v>43.175169045024575</c:v>
                </c:pt>
                <c:pt idx="208">
                  <c:v>43.161665194010666</c:v>
                </c:pt>
                <c:pt idx="209">
                  <c:v>43.148176039484483</c:v>
                </c:pt>
                <c:pt idx="210">
                  <c:v>43.114243753764256</c:v>
                </c:pt>
                <c:pt idx="211">
                  <c:v>43.080146072146015</c:v>
                </c:pt>
                <c:pt idx="212">
                  <c:v>43.045162957874197</c:v>
                </c:pt>
                <c:pt idx="213">
                  <c:v>43.011230893567159</c:v>
                </c:pt>
                <c:pt idx="214">
                  <c:v>42.977056381458489</c:v>
                </c:pt>
                <c:pt idx="215">
                  <c:v>42.946544691499632</c:v>
                </c:pt>
                <c:pt idx="216">
                  <c:v>42.912969854108148</c:v>
                </c:pt>
                <c:pt idx="217">
                  <c:v>42.880532968079407</c:v>
                </c:pt>
                <c:pt idx="218">
                  <c:v>42.73123452888148</c:v>
                </c:pt>
                <c:pt idx="219">
                  <c:v>42.580038518439999</c:v>
                </c:pt>
                <c:pt idx="220">
                  <c:v>42.39539061020136</c:v>
                </c:pt>
                <c:pt idx="221">
                  <c:v>42.124377493469396</c:v>
                </c:pt>
                <c:pt idx="222">
                  <c:v>41.911383650895253</c:v>
                </c:pt>
                <c:pt idx="223">
                  <c:v>41.697967197441677</c:v>
                </c:pt>
                <c:pt idx="224">
                  <c:v>41.401710293261658</c:v>
                </c:pt>
                <c:pt idx="225">
                  <c:v>41.105104437636875</c:v>
                </c:pt>
                <c:pt idx="226">
                  <c:v>40.98592159216318</c:v>
                </c:pt>
                <c:pt idx="227">
                  <c:v>40.586696416340843</c:v>
                </c:pt>
                <c:pt idx="228">
                  <c:v>40.357375570419521</c:v>
                </c:pt>
                <c:pt idx="229">
                  <c:v>40.12867906332982</c:v>
                </c:pt>
                <c:pt idx="230">
                  <c:v>39.923171397205039</c:v>
                </c:pt>
                <c:pt idx="231">
                  <c:v>39.71386739658999</c:v>
                </c:pt>
                <c:pt idx="232">
                  <c:v>39.565191516682503</c:v>
                </c:pt>
                <c:pt idx="233">
                  <c:v>39.414430453457662</c:v>
                </c:pt>
                <c:pt idx="234">
                  <c:v>39.121617577904416</c:v>
                </c:pt>
                <c:pt idx="235">
                  <c:v>38.92624920620333</c:v>
                </c:pt>
                <c:pt idx="236">
                  <c:v>38.829894018998068</c:v>
                </c:pt>
                <c:pt idx="237">
                  <c:v>38.727639501813329</c:v>
                </c:pt>
                <c:pt idx="238">
                  <c:v>38.803340617495302</c:v>
                </c:pt>
                <c:pt idx="239">
                  <c:v>38.912079647550094</c:v>
                </c:pt>
                <c:pt idx="240">
                  <c:v>38.939604982157164</c:v>
                </c:pt>
                <c:pt idx="241">
                  <c:v>39.016562001393559</c:v>
                </c:pt>
                <c:pt idx="242">
                  <c:v>38.996582809066012</c:v>
                </c:pt>
                <c:pt idx="243">
                  <c:v>38.977004504091532</c:v>
                </c:pt>
                <c:pt idx="244">
                  <c:v>38.936597263856108</c:v>
                </c:pt>
                <c:pt idx="245">
                  <c:v>38.896279183976702</c:v>
                </c:pt>
                <c:pt idx="246">
                  <c:v>38.905237714459695</c:v>
                </c:pt>
                <c:pt idx="247">
                  <c:v>38.914326953736044</c:v>
                </c:pt>
                <c:pt idx="248">
                  <c:v>38.851213282983728</c:v>
                </c:pt>
                <c:pt idx="249">
                  <c:v>38.791848353888327</c:v>
                </c:pt>
                <c:pt idx="250">
                  <c:v>38.724575416168648</c:v>
                </c:pt>
                <c:pt idx="251">
                  <c:v>38.724575416168648</c:v>
                </c:pt>
                <c:pt idx="252">
                  <c:v>38.625137154396768</c:v>
                </c:pt>
                <c:pt idx="253">
                  <c:v>38.629404101124202</c:v>
                </c:pt>
                <c:pt idx="254">
                  <c:v>38.631631166546576</c:v>
                </c:pt>
                <c:pt idx="255">
                  <c:v>38.553769577585612</c:v>
                </c:pt>
                <c:pt idx="256">
                  <c:v>38.501988684015195</c:v>
                </c:pt>
                <c:pt idx="257">
                  <c:v>38.43273086553144</c:v>
                </c:pt>
                <c:pt idx="258">
                  <c:v>38.295050527593652</c:v>
                </c:pt>
                <c:pt idx="259">
                  <c:v>38.253232568646084</c:v>
                </c:pt>
                <c:pt idx="260">
                  <c:v>38.192532498422565</c:v>
                </c:pt>
                <c:pt idx="261">
                  <c:v>38.159815630240416</c:v>
                </c:pt>
                <c:pt idx="262">
                  <c:v>38.126147210563012</c:v>
                </c:pt>
                <c:pt idx="263">
                  <c:v>38.104886846311551</c:v>
                </c:pt>
                <c:pt idx="264">
                  <c:v>38.083400854873709</c:v>
                </c:pt>
                <c:pt idx="265">
                  <c:v>38.067133311391757</c:v>
                </c:pt>
                <c:pt idx="266">
                  <c:v>38.042770875807761</c:v>
                </c:pt>
                <c:pt idx="267">
                  <c:v>38.093396681032992</c:v>
                </c:pt>
                <c:pt idx="268">
                  <c:v>38.146288243287167</c:v>
                </c:pt>
                <c:pt idx="269">
                  <c:v>38.094849597950898</c:v>
                </c:pt>
                <c:pt idx="270">
                  <c:v>38.042108880685532</c:v>
                </c:pt>
                <c:pt idx="271">
                  <c:v>37.976704370463942</c:v>
                </c:pt>
                <c:pt idx="272">
                  <c:v>37.881183416996159</c:v>
                </c:pt>
                <c:pt idx="273">
                  <c:v>37.941097910793211</c:v>
                </c:pt>
                <c:pt idx="274">
                  <c:v>37.970193912839633</c:v>
                </c:pt>
                <c:pt idx="275">
                  <c:v>38.114948853653921</c:v>
                </c:pt>
                <c:pt idx="276">
                  <c:v>38.16435476192261</c:v>
                </c:pt>
                <c:pt idx="277">
                  <c:v>38.262794609640814</c:v>
                </c:pt>
                <c:pt idx="278">
                  <c:v>38.36246781947191</c:v>
                </c:pt>
                <c:pt idx="279">
                  <c:v>38.630427969976054</c:v>
                </c:pt>
                <c:pt idx="280">
                  <c:v>38.806825994214087</c:v>
                </c:pt>
                <c:pt idx="281">
                  <c:v>39.022953743007022</c:v>
                </c:pt>
                <c:pt idx="282">
                  <c:v>39.350041626416022</c:v>
                </c:pt>
                <c:pt idx="283">
                  <c:v>39.430149649933355</c:v>
                </c:pt>
                <c:pt idx="284">
                  <c:v>39.585011224686504</c:v>
                </c:pt>
                <c:pt idx="285">
                  <c:v>39.740858155332482</c:v>
                </c:pt>
                <c:pt idx="286">
                  <c:v>40.040515732601619</c:v>
                </c:pt>
                <c:pt idx="287">
                  <c:v>40.202244679062531</c:v>
                </c:pt>
                <c:pt idx="288">
                  <c:v>40.365348123220848</c:v>
                </c:pt>
                <c:pt idx="289">
                  <c:v>40.551703704710491</c:v>
                </c:pt>
                <c:pt idx="290">
                  <c:v>40.741779548559357</c:v>
                </c:pt>
                <c:pt idx="291">
                  <c:v>40.936570806692146</c:v>
                </c:pt>
                <c:pt idx="292">
                  <c:v>41.279942792344265</c:v>
                </c:pt>
                <c:pt idx="293">
                  <c:v>41.436765376882583</c:v>
                </c:pt>
                <c:pt idx="294">
                  <c:v>41.746660425422867</c:v>
                </c:pt>
                <c:pt idx="295">
                  <c:v>42.374995492161005</c:v>
                </c:pt>
                <c:pt idx="296">
                  <c:v>42.576777961462469</c:v>
                </c:pt>
                <c:pt idx="297">
                  <c:v>43.483733106849996</c:v>
                </c:pt>
                <c:pt idx="298">
                  <c:v>44.088800228886008</c:v>
                </c:pt>
                <c:pt idx="299">
                  <c:v>44.821389781492044</c:v>
                </c:pt>
                <c:pt idx="300">
                  <c:v>45.563194485896631</c:v>
                </c:pt>
                <c:pt idx="301">
                  <c:v>46.376438462340275</c:v>
                </c:pt>
                <c:pt idx="302">
                  <c:v>47.188494834745086</c:v>
                </c:pt>
                <c:pt idx="303">
                  <c:v>48.000844831099464</c:v>
                </c:pt>
                <c:pt idx="304">
                  <c:v>49.12082697366445</c:v>
                </c:pt>
                <c:pt idx="305">
                  <c:v>49.373108134035448</c:v>
                </c:pt>
                <c:pt idx="306">
                  <c:v>49.872039283320362</c:v>
                </c:pt>
                <c:pt idx="307">
                  <c:v>50.296862019110819</c:v>
                </c:pt>
                <c:pt idx="308">
                  <c:v>50.727515909627854</c:v>
                </c:pt>
                <c:pt idx="309">
                  <c:v>51.14868640153459</c:v>
                </c:pt>
                <c:pt idx="310">
                  <c:v>51.652904894127879</c:v>
                </c:pt>
                <c:pt idx="311">
                  <c:v>51.959367249606522</c:v>
                </c:pt>
                <c:pt idx="312">
                  <c:v>52.269679695978091</c:v>
                </c:pt>
                <c:pt idx="313">
                  <c:v>52.512616425678473</c:v>
                </c:pt>
                <c:pt idx="314">
                  <c:v>52.756876419689348</c:v>
                </c:pt>
                <c:pt idx="315">
                  <c:v>53.056125969771657</c:v>
                </c:pt>
                <c:pt idx="316">
                  <c:v>53.364730448845108</c:v>
                </c:pt>
                <c:pt idx="317">
                  <c:v>53.89980615904868</c:v>
                </c:pt>
                <c:pt idx="318">
                  <c:v>54.080890325777894</c:v>
                </c:pt>
                <c:pt idx="319">
                  <c:v>54.667467593985123</c:v>
                </c:pt>
                <c:pt idx="320">
                  <c:v>55.247800893632402</c:v>
                </c:pt>
                <c:pt idx="321">
                  <c:v>55.82839584887887</c:v>
                </c:pt>
                <c:pt idx="322">
                  <c:v>57.566962906338979</c:v>
                </c:pt>
                <c:pt idx="323">
                  <c:v>57.917640764116733</c:v>
                </c:pt>
                <c:pt idx="324">
                  <c:v>58.246358286787419</c:v>
                </c:pt>
                <c:pt idx="325">
                  <c:v>58.988657708383073</c:v>
                </c:pt>
                <c:pt idx="326">
                  <c:v>59.743495175120707</c:v>
                </c:pt>
                <c:pt idx="327">
                  <c:v>60.950468230611591</c:v>
                </c:pt>
                <c:pt idx="328">
                  <c:v>61.361130658549577</c:v>
                </c:pt>
                <c:pt idx="329">
                  <c:v>62.167100891586074</c:v>
                </c:pt>
                <c:pt idx="330">
                  <c:v>63.393708256682054</c:v>
                </c:pt>
                <c:pt idx="331">
                  <c:v>64.233602214059545</c:v>
                </c:pt>
                <c:pt idx="332">
                  <c:v>65.088774014200098</c:v>
                </c:pt>
                <c:pt idx="333">
                  <c:v>65.918184127037378</c:v>
                </c:pt>
                <c:pt idx="334">
                  <c:v>66.368055392521981</c:v>
                </c:pt>
                <c:pt idx="335">
                  <c:v>67.858735830239809</c:v>
                </c:pt>
                <c:pt idx="336">
                  <c:v>68.876108831874305</c:v>
                </c:pt>
                <c:pt idx="337">
                  <c:v>69.924346804880159</c:v>
                </c:pt>
                <c:pt idx="338">
                  <c:v>70.987837263272667</c:v>
                </c:pt>
                <c:pt idx="339">
                  <c:v>72.041162835630914</c:v>
                </c:pt>
                <c:pt idx="340">
                  <c:v>73.082651432121082</c:v>
                </c:pt>
                <c:pt idx="341">
                  <c:v>74.13838976232249</c:v>
                </c:pt>
                <c:pt idx="342">
                  <c:v>75.755307355526583</c:v>
                </c:pt>
                <c:pt idx="343">
                  <c:v>76.899864624341461</c:v>
                </c:pt>
                <c:pt idx="344">
                  <c:v>78.015758963384229</c:v>
                </c:pt>
                <c:pt idx="345">
                  <c:v>79.155675285623602</c:v>
                </c:pt>
                <c:pt idx="346">
                  <c:v>80.279863993784701</c:v>
                </c:pt>
                <c:pt idx="347">
                  <c:v>81.391747809941862</c:v>
                </c:pt>
                <c:pt idx="348">
                  <c:v>82.580305057519013</c:v>
                </c:pt>
                <c:pt idx="349">
                  <c:v>83.774145836202976</c:v>
                </c:pt>
                <c:pt idx="350">
                  <c:v>85.477086475684601</c:v>
                </c:pt>
                <c:pt idx="351">
                  <c:v>86.641275169080586</c:v>
                </c:pt>
                <c:pt idx="352">
                  <c:v>87.801804780742117</c:v>
                </c:pt>
                <c:pt idx="353">
                  <c:v>88.413588689377136</c:v>
                </c:pt>
                <c:pt idx="354">
                  <c:v>90.257799103664837</c:v>
                </c:pt>
                <c:pt idx="355">
                  <c:v>92.369575371063021</c:v>
                </c:pt>
                <c:pt idx="356">
                  <c:v>93.087430575503404</c:v>
                </c:pt>
                <c:pt idx="357">
                  <c:v>94.439337085873674</c:v>
                </c:pt>
                <c:pt idx="358">
                  <c:v>95.818147207500473</c:v>
                </c:pt>
                <c:pt idx="359">
                  <c:v>97.188211431702911</c:v>
                </c:pt>
                <c:pt idx="360">
                  <c:v>99.261705894664729</c:v>
                </c:pt>
                <c:pt idx="361">
                  <c:v>99.937082258294097</c:v>
                </c:pt>
                <c:pt idx="362">
                  <c:v>102.78159038734147</c:v>
                </c:pt>
                <c:pt idx="363">
                  <c:v>103.51837258992799</c:v>
                </c:pt>
                <c:pt idx="364">
                  <c:v>104.93722691319158</c:v>
                </c:pt>
                <c:pt idx="365">
                  <c:v>106.33334312703738</c:v>
                </c:pt>
                <c:pt idx="366">
                  <c:v>107.72812069101451</c:v>
                </c:pt>
                <c:pt idx="367">
                  <c:v>109.09799838076091</c:v>
                </c:pt>
                <c:pt idx="368">
                  <c:v>111.29200912565791</c:v>
                </c:pt>
                <c:pt idx="369">
                  <c:v>112.80593212679032</c:v>
                </c:pt>
                <c:pt idx="370">
                  <c:v>114.26484768916058</c:v>
                </c:pt>
                <c:pt idx="371">
                  <c:v>115.72270118653972</c:v>
                </c:pt>
                <c:pt idx="372">
                  <c:v>117.96026735375305</c:v>
                </c:pt>
                <c:pt idx="373">
                  <c:v>119.49025230170425</c:v>
                </c:pt>
                <c:pt idx="374">
                  <c:v>120.28068586486864</c:v>
                </c:pt>
                <c:pt idx="375">
                  <c:v>121.85107263501328</c:v>
                </c:pt>
                <c:pt idx="376">
                  <c:v>123.36815006790826</c:v>
                </c:pt>
                <c:pt idx="377">
                  <c:v>124.89476908482354</c:v>
                </c:pt>
                <c:pt idx="378">
                  <c:v>126.56864869168523</c:v>
                </c:pt>
                <c:pt idx="379">
                  <c:v>128.18453025048427</c:v>
                </c:pt>
                <c:pt idx="380">
                  <c:v>130.75677071025194</c:v>
                </c:pt>
                <c:pt idx="381">
                  <c:v>132.49212967049061</c:v>
                </c:pt>
                <c:pt idx="382">
                  <c:v>134.14079274369297</c:v>
                </c:pt>
                <c:pt idx="383">
                  <c:v>135.81383210914302</c:v>
                </c:pt>
                <c:pt idx="384">
                  <c:v>137.55598460827159</c:v>
                </c:pt>
                <c:pt idx="385">
                  <c:v>139.2630497096761</c:v>
                </c:pt>
                <c:pt idx="386">
                  <c:v>141.80909912972109</c:v>
                </c:pt>
                <c:pt idx="387">
                  <c:v>143.49246863091227</c:v>
                </c:pt>
                <c:pt idx="388">
                  <c:v>145.16567254864538</c:v>
                </c:pt>
                <c:pt idx="389">
                  <c:v>146.77540227569665</c:v>
                </c:pt>
                <c:pt idx="390">
                  <c:v>147.62214845547965</c:v>
                </c:pt>
                <c:pt idx="391">
                  <c:v>149.34606225579634</c:v>
                </c:pt>
                <c:pt idx="392">
                  <c:v>151.02179106005568</c:v>
                </c:pt>
                <c:pt idx="393">
                  <c:v>153.43648945541264</c:v>
                </c:pt>
                <c:pt idx="394">
                  <c:v>154.98740927466318</c:v>
                </c:pt>
                <c:pt idx="395">
                  <c:v>156.49092413177323</c:v>
                </c:pt>
                <c:pt idx="396">
                  <c:v>157.9742770398349</c:v>
                </c:pt>
                <c:pt idx="397">
                  <c:v>159.51564901699925</c:v>
                </c:pt>
                <c:pt idx="398">
                  <c:v>161.10896978196141</c:v>
                </c:pt>
                <c:pt idx="399">
                  <c:v>163.48311916997977</c:v>
                </c:pt>
                <c:pt idx="400">
                  <c:v>165.18778856829741</c:v>
                </c:pt>
                <c:pt idx="401">
                  <c:v>166.8638029065969</c:v>
                </c:pt>
                <c:pt idx="402">
                  <c:v>168.56370465386078</c:v>
                </c:pt>
                <c:pt idx="403">
                  <c:v>170.30030763470131</c:v>
                </c:pt>
                <c:pt idx="404">
                  <c:v>171.9650993040396</c:v>
                </c:pt>
                <c:pt idx="405">
                  <c:v>173.64988987212311</c:v>
                </c:pt>
                <c:pt idx="406">
                  <c:v>175.40636198734325</c:v>
                </c:pt>
                <c:pt idx="407">
                  <c:v>177.12388579399808</c:v>
                </c:pt>
                <c:pt idx="408">
                  <c:v>178.89239525703653</c:v>
                </c:pt>
                <c:pt idx="409">
                  <c:v>180.65425892420652</c:v>
                </c:pt>
                <c:pt idx="410">
                  <c:v>182.3494218474375</c:v>
                </c:pt>
                <c:pt idx="411">
                  <c:v>184.90403034869519</c:v>
                </c:pt>
                <c:pt idx="412">
                  <c:v>185.73919383175357</c:v>
                </c:pt>
                <c:pt idx="413">
                  <c:v>188.20512438848516</c:v>
                </c:pt>
                <c:pt idx="414">
                  <c:v>189.87396713164247</c:v>
                </c:pt>
                <c:pt idx="415">
                  <c:v>191.53841728227488</c:v>
                </c:pt>
                <c:pt idx="416">
                  <c:v>193.20972839967038</c:v>
                </c:pt>
                <c:pt idx="417">
                  <c:v>195.69432491125772</c:v>
                </c:pt>
                <c:pt idx="418">
                  <c:v>199.33914305316671</c:v>
                </c:pt>
                <c:pt idx="419">
                  <c:v>200.10238717566403</c:v>
                </c:pt>
                <c:pt idx="420">
                  <c:v>201.59317167136928</c:v>
                </c:pt>
                <c:pt idx="421">
                  <c:v>202.31373663368035</c:v>
                </c:pt>
                <c:pt idx="422">
                  <c:v>203.77549697289427</c:v>
                </c:pt>
                <c:pt idx="423">
                  <c:v>205.22835324669347</c:v>
                </c:pt>
                <c:pt idx="424">
                  <c:v>207.39157263990415</c:v>
                </c:pt>
                <c:pt idx="425">
                  <c:v>208.85535749068657</c:v>
                </c:pt>
                <c:pt idx="426">
                  <c:v>210.35556898277252</c:v>
                </c:pt>
                <c:pt idx="427">
                  <c:v>211.83982509005196</c:v>
                </c:pt>
                <c:pt idx="428">
                  <c:v>213.26802076049992</c:v>
                </c:pt>
                <c:pt idx="429">
                  <c:v>214.77088029914006</c:v>
                </c:pt>
                <c:pt idx="430">
                  <c:v>215.88330985176054</c:v>
                </c:pt>
                <c:pt idx="431">
                  <c:v>218.60959909754774</c:v>
                </c:pt>
                <c:pt idx="432">
                  <c:v>220.06370281839469</c:v>
                </c:pt>
                <c:pt idx="433">
                  <c:v>221.51829219971361</c:v>
                </c:pt>
                <c:pt idx="434">
                  <c:v>222.96103749467883</c:v>
                </c:pt>
                <c:pt idx="435">
                  <c:v>224.21782917456409</c:v>
                </c:pt>
                <c:pt idx="436">
                  <c:v>225.48669701997943</c:v>
                </c:pt>
                <c:pt idx="437">
                  <c:v>226.63954337425841</c:v>
                </c:pt>
                <c:pt idx="438">
                  <c:v>228.38143650345711</c:v>
                </c:pt>
                <c:pt idx="439">
                  <c:v>229.38215657717481</c:v>
                </c:pt>
                <c:pt idx="440">
                  <c:v>229.87336887594421</c:v>
                </c:pt>
                <c:pt idx="441">
                  <c:v>231.35606903971441</c:v>
                </c:pt>
                <c:pt idx="442">
                  <c:v>232.33093217614672</c:v>
                </c:pt>
                <c:pt idx="443">
                  <c:v>233.31110333362182</c:v>
                </c:pt>
                <c:pt idx="444">
                  <c:v>234.31994818323099</c:v>
                </c:pt>
                <c:pt idx="445">
                  <c:v>235.28505336107028</c:v>
                </c:pt>
                <c:pt idx="446">
                  <c:v>236.23367175415785</c:v>
                </c:pt>
                <c:pt idx="447">
                  <c:v>237.59266591651058</c:v>
                </c:pt>
                <c:pt idx="448">
                  <c:v>238.49683323693506</c:v>
                </c:pt>
                <c:pt idx="449">
                  <c:v>239.33418939689193</c:v>
                </c:pt>
                <c:pt idx="450">
                  <c:v>240.18343907258782</c:v>
                </c:pt>
                <c:pt idx="451">
                  <c:v>240.98449634663388</c:v>
                </c:pt>
                <c:pt idx="452">
                  <c:v>241.77147400215222</c:v>
                </c:pt>
                <c:pt idx="453">
                  <c:v>242.58322883977627</c:v>
                </c:pt>
                <c:pt idx="454">
                  <c:v>243.35427550920724</c:v>
                </c:pt>
                <c:pt idx="455">
                  <c:v>244.53291389257336</c:v>
                </c:pt>
                <c:pt idx="456">
                  <c:v>245.30790348158351</c:v>
                </c:pt>
                <c:pt idx="457">
                  <c:v>245.69248283576223</c:v>
                </c:pt>
                <c:pt idx="458">
                  <c:v>246.44486344307541</c:v>
                </c:pt>
                <c:pt idx="459">
                  <c:v>247.22931494151021</c:v>
                </c:pt>
                <c:pt idx="460">
                  <c:v>248.01652548743024</c:v>
                </c:pt>
                <c:pt idx="461">
                  <c:v>249.04179781787059</c:v>
                </c:pt>
                <c:pt idx="462">
                  <c:v>249.72640276098517</c:v>
                </c:pt>
                <c:pt idx="463">
                  <c:v>250.35762641169541</c:v>
                </c:pt>
                <c:pt idx="464">
                  <c:v>251.00807852049948</c:v>
                </c:pt>
                <c:pt idx="465">
                  <c:v>251.69720129941877</c:v>
                </c:pt>
                <c:pt idx="466">
                  <c:v>252.38474373678801</c:v>
                </c:pt>
                <c:pt idx="467">
                  <c:v>253.00187312711881</c:v>
                </c:pt>
                <c:pt idx="468">
                  <c:v>253.63255317461085</c:v>
                </c:pt>
                <c:pt idx="469">
                  <c:v>254.71929813770163</c:v>
                </c:pt>
                <c:pt idx="470">
                  <c:v>255.43605169065327</c:v>
                </c:pt>
                <c:pt idx="471">
                  <c:v>255.80196492081512</c:v>
                </c:pt>
                <c:pt idx="472">
                  <c:v>256.9140561097617</c:v>
                </c:pt>
                <c:pt idx="473">
                  <c:v>257.55417181080867</c:v>
                </c:pt>
                <c:pt idx="474">
                  <c:v>257.86979231394338</c:v>
                </c:pt>
                <c:pt idx="475">
                  <c:v>258.4160944217636</c:v>
                </c:pt>
                <c:pt idx="476">
                  <c:v>259.2417530594015</c:v>
                </c:pt>
                <c:pt idx="477">
                  <c:v>259.63963197091624</c:v>
                </c:pt>
                <c:pt idx="478">
                  <c:v>260.03800831082606</c:v>
                </c:pt>
                <c:pt idx="479">
                  <c:v>260.61210562377772</c:v>
                </c:pt>
                <c:pt idx="480">
                  <c:v>261.18399538602262</c:v>
                </c:pt>
                <c:pt idx="481">
                  <c:v>261.97766727831839</c:v>
                </c:pt>
                <c:pt idx="482">
                  <c:v>262.52320549540121</c:v>
                </c:pt>
                <c:pt idx="483">
                  <c:v>263.04288606047805</c:v>
                </c:pt>
                <c:pt idx="484">
                  <c:v>263.53829090931237</c:v>
                </c:pt>
                <c:pt idx="485">
                  <c:v>264.00094082084559</c:v>
                </c:pt>
                <c:pt idx="486">
                  <c:v>264.47088033070105</c:v>
                </c:pt>
                <c:pt idx="487">
                  <c:v>264.98992933138794</c:v>
                </c:pt>
                <c:pt idx="488">
                  <c:v>265.75967842440741</c:v>
                </c:pt>
                <c:pt idx="489">
                  <c:v>266.22024914309981</c:v>
                </c:pt>
                <c:pt idx="490">
                  <c:v>266.67978620203166</c:v>
                </c:pt>
                <c:pt idx="491">
                  <c:v>266.89347966683277</c:v>
                </c:pt>
                <c:pt idx="492">
                  <c:v>267.49644111912608</c:v>
                </c:pt>
                <c:pt idx="493">
                  <c:v>267.67558033391435</c:v>
                </c:pt>
                <c:pt idx="494">
                  <c:v>268.03805865458719</c:v>
                </c:pt>
                <c:pt idx="495">
                  <c:v>268.4992306272564</c:v>
                </c:pt>
                <c:pt idx="496">
                  <c:v>268.80775376863909</c:v>
                </c:pt>
                <c:pt idx="497">
                  <c:v>269.07726864162652</c:v>
                </c:pt>
                <c:pt idx="498">
                  <c:v>269.34329863214441</c:v>
                </c:pt>
                <c:pt idx="499">
                  <c:v>269.61558462365497</c:v>
                </c:pt>
                <c:pt idx="500">
                  <c:v>270.00912032432944</c:v>
                </c:pt>
                <c:pt idx="501">
                  <c:v>270.27286499117719</c:v>
                </c:pt>
                <c:pt idx="502">
                  <c:v>270.66392272583505</c:v>
                </c:pt>
                <c:pt idx="503">
                  <c:v>270.76287850174805</c:v>
                </c:pt>
                <c:pt idx="504">
                  <c:v>270.86541093675714</c:v>
                </c:pt>
                <c:pt idx="505">
                  <c:v>271.00586822644652</c:v>
                </c:pt>
                <c:pt idx="506">
                  <c:v>271.22424860719832</c:v>
                </c:pt>
                <c:pt idx="507">
                  <c:v>271.40441463092469</c:v>
                </c:pt>
                <c:pt idx="508">
                  <c:v>271.59030856320862</c:v>
                </c:pt>
                <c:pt idx="509">
                  <c:v>271.75017199570175</c:v>
                </c:pt>
                <c:pt idx="510">
                  <c:v>271.90905784623675</c:v>
                </c:pt>
                <c:pt idx="511">
                  <c:v>272.16148138967299</c:v>
                </c:pt>
                <c:pt idx="512">
                  <c:v>272.32641537182167</c:v>
                </c:pt>
                <c:pt idx="513">
                  <c:v>272.47839965774716</c:v>
                </c:pt>
                <c:pt idx="514">
                  <c:v>272.62816660717721</c:v>
                </c:pt>
                <c:pt idx="515">
                  <c:v>272.79902749567873</c:v>
                </c:pt>
                <c:pt idx="516">
                  <c:v>272.96462117891934</c:v>
                </c:pt>
                <c:pt idx="517">
                  <c:v>273.08780452206008</c:v>
                </c:pt>
                <c:pt idx="518">
                  <c:v>273.33308392918354</c:v>
                </c:pt>
                <c:pt idx="519">
                  <c:v>273.76253719403724</c:v>
                </c:pt>
                <c:pt idx="520">
                  <c:v>274.04585998213105</c:v>
                </c:pt>
                <c:pt idx="521">
                  <c:v>274.18622611673976</c:v>
                </c:pt>
                <c:pt idx="522">
                  <c:v>274.40558520357848</c:v>
                </c:pt>
                <c:pt idx="523">
                  <c:v>274.53252294609354</c:v>
                </c:pt>
                <c:pt idx="524">
                  <c:v>274.90160357346576</c:v>
                </c:pt>
                <c:pt idx="525">
                  <c:v>275.18087220903783</c:v>
                </c:pt>
                <c:pt idx="526">
                  <c:v>275.46681310894201</c:v>
                </c:pt>
                <c:pt idx="527">
                  <c:v>275.46681310894201</c:v>
                </c:pt>
                <c:pt idx="528">
                  <c:v>275.80805581207676</c:v>
                </c:pt>
                <c:pt idx="529">
                  <c:v>276.15922369395861</c:v>
                </c:pt>
                <c:pt idx="530">
                  <c:v>276.53124285684282</c:v>
                </c:pt>
                <c:pt idx="531">
                  <c:v>276.90592928690944</c:v>
                </c:pt>
                <c:pt idx="532">
                  <c:v>277.29303898931465</c:v>
                </c:pt>
                <c:pt idx="533">
                  <c:v>277.84562218480704</c:v>
                </c:pt>
                <c:pt idx="534">
                  <c:v>278.19386094038333</c:v>
                </c:pt>
                <c:pt idx="535">
                  <c:v>278.35811267759505</c:v>
                </c:pt>
                <c:pt idx="536">
                  <c:v>278.72666662682457</c:v>
                </c:pt>
                <c:pt idx="537">
                  <c:v>279.08737596443473</c:v>
                </c:pt>
                <c:pt idx="538">
                  <c:v>279.39891909959005</c:v>
                </c:pt>
                <c:pt idx="539">
                  <c:v>279.61119042898332</c:v>
                </c:pt>
                <c:pt idx="540">
                  <c:v>279.8230964964896</c:v>
                </c:pt>
                <c:pt idx="541">
                  <c:v>280.02998583950659</c:v>
                </c:pt>
                <c:pt idx="542">
                  <c:v>280.26236602442748</c:v>
                </c:pt>
                <c:pt idx="543">
                  <c:v>280.48684507583062</c:v>
                </c:pt>
                <c:pt idx="544">
                  <c:v>280.7145626219675</c:v>
                </c:pt>
                <c:pt idx="545">
                  <c:v>281.1709640944581</c:v>
                </c:pt>
                <c:pt idx="546">
                  <c:v>281.68354568021982</c:v>
                </c:pt>
                <c:pt idx="547">
                  <c:v>282.02169445653141</c:v>
                </c:pt>
                <c:pt idx="548">
                  <c:v>282.33159959778942</c:v>
                </c:pt>
                <c:pt idx="549">
                  <c:v>282.64124387110655</c:v>
                </c:pt>
                <c:pt idx="550">
                  <c:v>282.95761694424527</c:v>
                </c:pt>
                <c:pt idx="551">
                  <c:v>283.07433333061408</c:v>
                </c:pt>
                <c:pt idx="552">
                  <c:v>283.18705397277085</c:v>
                </c:pt>
                <c:pt idx="553">
                  <c:v>283.26242549176584</c:v>
                </c:pt>
                <c:pt idx="554">
                  <c:v>283.18139062491548</c:v>
                </c:pt>
                <c:pt idx="555">
                  <c:v>283.09991589532638</c:v>
                </c:pt>
                <c:pt idx="556">
                  <c:v>283.01866435631536</c:v>
                </c:pt>
                <c:pt idx="557">
                  <c:v>282.99889513465359</c:v>
                </c:pt>
                <c:pt idx="558">
                  <c:v>282.97949684799272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94F-4A05-BAE1-41F5B284051E}"/>
            </c:ext>
          </c:extLst>
        </c:ser>
        <c:ser>
          <c:idx val="5"/>
          <c:order val="2"/>
          <c:tx>
            <c:strRef>
              <c:f>'Maju 0.05'!$L$6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0.05'!$L$7:$L$565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43.323</c:v>
                </c:pt>
                <c:pt idx="173">
                  <c:v>42.798999999999999</c:v>
                </c:pt>
                <c:pt idx="174">
                  <c:v>41.750999999999998</c:v>
                </c:pt>
                <c:pt idx="175">
                  <c:v>41.226999999999997</c:v>
                </c:pt>
                <c:pt idx="176">
                  <c:v>40.965000000000003</c:v>
                </c:pt>
                <c:pt idx="177">
                  <c:v>40.834000000000003</c:v>
                </c:pt>
                <c:pt idx="178">
                  <c:v>40.965000000000003</c:v>
                </c:pt>
                <c:pt idx="179">
                  <c:v>41.226999999999997</c:v>
                </c:pt>
                <c:pt idx="180">
                  <c:v>41.488999999999997</c:v>
                </c:pt>
                <c:pt idx="181">
                  <c:v>41.750999999999998</c:v>
                </c:pt>
                <c:pt idx="182">
                  <c:v>42.93</c:v>
                </c:pt>
                <c:pt idx="183">
                  <c:v>43.323</c:v>
                </c:pt>
                <c:pt idx="184">
                  <c:v>43.716000000000001</c:v>
                </c:pt>
                <c:pt idx="185">
                  <c:v>44.24</c:v>
                </c:pt>
                <c:pt idx="186">
                  <c:v>44.764000000000003</c:v>
                </c:pt>
                <c:pt idx="187">
                  <c:v>45.025999999999897</c:v>
                </c:pt>
                <c:pt idx="188">
                  <c:v>45.287999999999997</c:v>
                </c:pt>
                <c:pt idx="189">
                  <c:v>45.55</c:v>
                </c:pt>
                <c:pt idx="190">
                  <c:v>45.811999999999998</c:v>
                </c:pt>
                <c:pt idx="191">
                  <c:v>45.680999999999997</c:v>
                </c:pt>
                <c:pt idx="192">
                  <c:v>45.418999999999997</c:v>
                </c:pt>
                <c:pt idx="193">
                  <c:v>45.025999999999897</c:v>
                </c:pt>
                <c:pt idx="194">
                  <c:v>44.502000000000002</c:v>
                </c:pt>
                <c:pt idx="195">
                  <c:v>44.24</c:v>
                </c:pt>
                <c:pt idx="196">
                  <c:v>43.427799999999898</c:v>
                </c:pt>
                <c:pt idx="197">
                  <c:v>43.4435199999999</c:v>
                </c:pt>
                <c:pt idx="198">
                  <c:v>43.464479999999902</c:v>
                </c:pt>
                <c:pt idx="199">
                  <c:v>43.51164</c:v>
                </c:pt>
                <c:pt idx="200">
                  <c:v>43.564039999999999</c:v>
                </c:pt>
                <c:pt idx="201">
                  <c:v>43.5745199999999</c:v>
                </c:pt>
                <c:pt idx="202">
                  <c:v>43.569279999999999</c:v>
                </c:pt>
                <c:pt idx="203">
                  <c:v>43.532600000000002</c:v>
                </c:pt>
                <c:pt idx="204">
                  <c:v>43.474959999999903</c:v>
                </c:pt>
                <c:pt idx="205">
                  <c:v>43.396359999999902</c:v>
                </c:pt>
                <c:pt idx="206">
                  <c:v>43.296799999999898</c:v>
                </c:pt>
                <c:pt idx="207">
                  <c:v>43.150079999999903</c:v>
                </c:pt>
                <c:pt idx="208">
                  <c:v>42.982399999999998</c:v>
                </c:pt>
                <c:pt idx="209">
                  <c:v>42.798999999999999</c:v>
                </c:pt>
                <c:pt idx="210">
                  <c:v>42.599879999999899</c:v>
                </c:pt>
                <c:pt idx="211">
                  <c:v>42.385039999999897</c:v>
                </c:pt>
                <c:pt idx="212">
                  <c:v>42.164959999999901</c:v>
                </c:pt>
                <c:pt idx="213">
                  <c:v>41.944879999999898</c:v>
                </c:pt>
                <c:pt idx="214">
                  <c:v>41.714320000000001</c:v>
                </c:pt>
                <c:pt idx="215">
                  <c:v>41.473279999999903</c:v>
                </c:pt>
                <c:pt idx="216">
                  <c:v>41.232239999999898</c:v>
                </c:pt>
                <c:pt idx="217">
                  <c:v>40.9911999999999</c:v>
                </c:pt>
                <c:pt idx="218">
                  <c:v>40.760639999999903</c:v>
                </c:pt>
                <c:pt idx="219">
                  <c:v>40.540559999999999</c:v>
                </c:pt>
                <c:pt idx="220">
                  <c:v>40.325719999999997</c:v>
                </c:pt>
                <c:pt idx="221">
                  <c:v>40.121360000000003</c:v>
                </c:pt>
                <c:pt idx="222">
                  <c:v>39.911760000000001</c:v>
                </c:pt>
                <c:pt idx="223">
                  <c:v>39.7074</c:v>
                </c:pt>
                <c:pt idx="224">
                  <c:v>39.508279999999999</c:v>
                </c:pt>
                <c:pt idx="225">
                  <c:v>39.31964</c:v>
                </c:pt>
                <c:pt idx="226">
                  <c:v>39.178159999999998</c:v>
                </c:pt>
                <c:pt idx="227">
                  <c:v>39.057639999999999</c:v>
                </c:pt>
                <c:pt idx="228">
                  <c:v>38.958080000000002</c:v>
                </c:pt>
                <c:pt idx="229">
                  <c:v>38.869</c:v>
                </c:pt>
                <c:pt idx="230">
                  <c:v>38.795639999999999</c:v>
                </c:pt>
                <c:pt idx="231">
                  <c:v>38.74324</c:v>
                </c:pt>
                <c:pt idx="232">
                  <c:v>38.706560000000003</c:v>
                </c:pt>
                <c:pt idx="233">
                  <c:v>38.701319999999903</c:v>
                </c:pt>
                <c:pt idx="234">
                  <c:v>38.717039999999997</c:v>
                </c:pt>
                <c:pt idx="235">
                  <c:v>38.753720000000001</c:v>
                </c:pt>
                <c:pt idx="236">
                  <c:v>38.811360000000001</c:v>
                </c:pt>
                <c:pt idx="237">
                  <c:v>38.895200000000003</c:v>
                </c:pt>
                <c:pt idx="238">
                  <c:v>38.686799999999998</c:v>
                </c:pt>
                <c:pt idx="239">
                  <c:v>38.034799999999997</c:v>
                </c:pt>
                <c:pt idx="240">
                  <c:v>37.408999999999999</c:v>
                </c:pt>
                <c:pt idx="241">
                  <c:v>36.809399999999997</c:v>
                </c:pt>
                <c:pt idx="242">
                  <c:v>36.241239999999998</c:v>
                </c:pt>
                <c:pt idx="243">
                  <c:v>35.699279999999902</c:v>
                </c:pt>
                <c:pt idx="244">
                  <c:v>35.183519999999902</c:v>
                </c:pt>
                <c:pt idx="245">
                  <c:v>34.683479999999903</c:v>
                </c:pt>
                <c:pt idx="246">
                  <c:v>34.193919999999899</c:v>
                </c:pt>
                <c:pt idx="247">
                  <c:v>33.730559999999997</c:v>
                </c:pt>
                <c:pt idx="248">
                  <c:v>33.282919999999997</c:v>
                </c:pt>
                <c:pt idx="249">
                  <c:v>32.9538742857142</c:v>
                </c:pt>
                <c:pt idx="251">
                  <c:v>32.619588571428501</c:v>
                </c:pt>
                <c:pt idx="252">
                  <c:v>32.269582857142801</c:v>
                </c:pt>
                <c:pt idx="253">
                  <c:v>31.769542857142799</c:v>
                </c:pt>
                <c:pt idx="254">
                  <c:v>31.248542857142802</c:v>
                </c:pt>
                <c:pt idx="255">
                  <c:v>30.706582857142799</c:v>
                </c:pt>
                <c:pt idx="256">
                  <c:v>30.300262857142801</c:v>
                </c:pt>
                <c:pt idx="257">
                  <c:v>29.872982857142802</c:v>
                </c:pt>
                <c:pt idx="258">
                  <c:v>29.4247428571428</c:v>
                </c:pt>
                <c:pt idx="259">
                  <c:v>28.950302857142798</c:v>
                </c:pt>
                <c:pt idx="260">
                  <c:v>28.460142857142799</c:v>
                </c:pt>
                <c:pt idx="261">
                  <c:v>27.949022857142801</c:v>
                </c:pt>
                <c:pt idx="262">
                  <c:v>27.427422857142801</c:v>
                </c:pt>
                <c:pt idx="263">
                  <c:v>26.884862857142799</c:v>
                </c:pt>
                <c:pt idx="264">
                  <c:v>26.639782857142801</c:v>
                </c:pt>
                <c:pt idx="265">
                  <c:v>26.843542857142801</c:v>
                </c:pt>
                <c:pt idx="266">
                  <c:v>27.0158628571428</c:v>
                </c:pt>
                <c:pt idx="267">
                  <c:v>27.156742857142799</c:v>
                </c:pt>
                <c:pt idx="268">
                  <c:v>27.271422857142799</c:v>
                </c:pt>
                <c:pt idx="269">
                  <c:v>27.3651428571428</c:v>
                </c:pt>
                <c:pt idx="270">
                  <c:v>27.437902857142799</c:v>
                </c:pt>
                <c:pt idx="271">
                  <c:v>27.5001828571428</c:v>
                </c:pt>
                <c:pt idx="272">
                  <c:v>27.562462857142801</c:v>
                </c:pt>
                <c:pt idx="273">
                  <c:v>27.739622857142798</c:v>
                </c:pt>
                <c:pt idx="274">
                  <c:v>27.916782857142799</c:v>
                </c:pt>
                <c:pt idx="275">
                  <c:v>27.991068571428499</c:v>
                </c:pt>
                <c:pt idx="276">
                  <c:v>28.081074285714202</c:v>
                </c:pt>
                <c:pt idx="277">
                  <c:v>28.060114285714199</c:v>
                </c:pt>
                <c:pt idx="278">
                  <c:v>28.070594285714201</c:v>
                </c:pt>
                <c:pt idx="279">
                  <c:v>28.112514285714202</c:v>
                </c:pt>
                <c:pt idx="280">
                  <c:v>28.180634285714198</c:v>
                </c:pt>
                <c:pt idx="281">
                  <c:v>28.1131142857142</c:v>
                </c:pt>
                <c:pt idx="282">
                  <c:v>28.066554285714201</c:v>
                </c:pt>
                <c:pt idx="283">
                  <c:v>27.932839999999999</c:v>
                </c:pt>
                <c:pt idx="284">
                  <c:v>27.809605714285698</c:v>
                </c:pt>
                <c:pt idx="285">
                  <c:v>27.815445714285701</c:v>
                </c:pt>
                <c:pt idx="286">
                  <c:v>27.8160457142857</c:v>
                </c:pt>
                <c:pt idx="287">
                  <c:v>27.7956857142857</c:v>
                </c:pt>
                <c:pt idx="288">
                  <c:v>27.759605714285701</c:v>
                </c:pt>
                <c:pt idx="289">
                  <c:v>27.6973257142857</c:v>
                </c:pt>
                <c:pt idx="290">
                  <c:v>27.619325714285701</c:v>
                </c:pt>
                <c:pt idx="291">
                  <c:v>27.5308457142857</c:v>
                </c:pt>
                <c:pt idx="292">
                  <c:v>27.437125714285699</c:v>
                </c:pt>
                <c:pt idx="293">
                  <c:v>27.3329257142857</c:v>
                </c:pt>
                <c:pt idx="294">
                  <c:v>27.2130057142857</c:v>
                </c:pt>
                <c:pt idx="295">
                  <c:v>27.087845714285699</c:v>
                </c:pt>
                <c:pt idx="296">
                  <c:v>26.9469657142857</c:v>
                </c:pt>
                <c:pt idx="297">
                  <c:v>26.779885714285701</c:v>
                </c:pt>
                <c:pt idx="298">
                  <c:v>26.876325714285699</c:v>
                </c:pt>
                <c:pt idx="299">
                  <c:v>26.951805714285701</c:v>
                </c:pt>
                <c:pt idx="300">
                  <c:v>27.001085714285701</c:v>
                </c:pt>
                <c:pt idx="301">
                  <c:v>27.428765714285699</c:v>
                </c:pt>
                <c:pt idx="302">
                  <c:v>27.9778914285714</c:v>
                </c:pt>
                <c:pt idx="303">
                  <c:v>28.629891428571401</c:v>
                </c:pt>
                <c:pt idx="304">
                  <c:v>29.266171428571401</c:v>
                </c:pt>
                <c:pt idx="305">
                  <c:v>29.881491428571401</c:v>
                </c:pt>
                <c:pt idx="306">
                  <c:v>30.475851428571399</c:v>
                </c:pt>
                <c:pt idx="307">
                  <c:v>31.044011428571402</c:v>
                </c:pt>
                <c:pt idx="308">
                  <c:v>31.6783657142857</c:v>
                </c:pt>
                <c:pt idx="309">
                  <c:v>32.276039999999902</c:v>
                </c:pt>
                <c:pt idx="310">
                  <c:v>32.70796</c:v>
                </c:pt>
                <c:pt idx="311">
                  <c:v>33.103199999999902</c:v>
                </c:pt>
                <c:pt idx="312">
                  <c:v>33.461759999999998</c:v>
                </c:pt>
                <c:pt idx="313">
                  <c:v>34.1829999999999</c:v>
                </c:pt>
                <c:pt idx="314">
                  <c:v>35.115559999999903</c:v>
                </c:pt>
                <c:pt idx="315">
                  <c:v>36.162799999999997</c:v>
                </c:pt>
                <c:pt idx="316">
                  <c:v>37.333874285714202</c:v>
                </c:pt>
                <c:pt idx="317">
                  <c:v>38.468268571428503</c:v>
                </c:pt>
                <c:pt idx="318">
                  <c:v>39.597422857142803</c:v>
                </c:pt>
                <c:pt idx="319">
                  <c:v>40.721337142857102</c:v>
                </c:pt>
                <c:pt idx="320">
                  <c:v>41.7318971428571</c:v>
                </c:pt>
                <c:pt idx="321">
                  <c:v>42.747697142857099</c:v>
                </c:pt>
                <c:pt idx="322">
                  <c:v>43.763497142857098</c:v>
                </c:pt>
                <c:pt idx="323">
                  <c:v>44.374697142857102</c:v>
                </c:pt>
                <c:pt idx="324">
                  <c:v>44.985897142857098</c:v>
                </c:pt>
                <c:pt idx="325">
                  <c:v>45.607577142857103</c:v>
                </c:pt>
                <c:pt idx="326">
                  <c:v>45.8351371428571</c:v>
                </c:pt>
                <c:pt idx="327">
                  <c:v>46.062697142857097</c:v>
                </c:pt>
                <c:pt idx="328">
                  <c:v>46.290257142857101</c:v>
                </c:pt>
                <c:pt idx="329">
                  <c:v>46.507337142857097</c:v>
                </c:pt>
                <c:pt idx="330">
                  <c:v>46.605822857142797</c:v>
                </c:pt>
                <c:pt idx="331">
                  <c:v>46.812422857142799</c:v>
                </c:pt>
                <c:pt idx="332">
                  <c:v>47.003302857142799</c:v>
                </c:pt>
                <c:pt idx="333">
                  <c:v>47.350782857142804</c:v>
                </c:pt>
                <c:pt idx="334">
                  <c:v>47.930542857142797</c:v>
                </c:pt>
                <c:pt idx="335">
                  <c:v>48.888702857142803</c:v>
                </c:pt>
                <c:pt idx="336">
                  <c:v>49.862582857142797</c:v>
                </c:pt>
                <c:pt idx="337">
                  <c:v>50.836462857142799</c:v>
                </c:pt>
                <c:pt idx="338">
                  <c:v>51.410982857142798</c:v>
                </c:pt>
                <c:pt idx="339">
                  <c:v>51.742742857142801</c:v>
                </c:pt>
                <c:pt idx="340">
                  <c:v>51.9231428571428</c:v>
                </c:pt>
                <c:pt idx="341">
                  <c:v>51.9535085714285</c:v>
                </c:pt>
                <c:pt idx="342">
                  <c:v>51.989114285714201</c:v>
                </c:pt>
                <c:pt idx="343">
                  <c:v>52.635399999999997</c:v>
                </c:pt>
                <c:pt idx="344">
                  <c:v>53.422565714285703</c:v>
                </c:pt>
                <c:pt idx="345">
                  <c:v>54.286405714285699</c:v>
                </c:pt>
                <c:pt idx="346">
                  <c:v>55.103085714285697</c:v>
                </c:pt>
                <c:pt idx="347">
                  <c:v>55.888325714285699</c:v>
                </c:pt>
                <c:pt idx="348">
                  <c:v>56.621165714285702</c:v>
                </c:pt>
                <c:pt idx="349">
                  <c:v>57.3068457142857</c:v>
                </c:pt>
                <c:pt idx="350">
                  <c:v>57.940125714285699</c:v>
                </c:pt>
                <c:pt idx="351">
                  <c:v>58.688085714285698</c:v>
                </c:pt>
                <c:pt idx="352">
                  <c:v>60.015285714285703</c:v>
                </c:pt>
                <c:pt idx="353">
                  <c:v>61.300565714285703</c:v>
                </c:pt>
                <c:pt idx="354">
                  <c:v>62.543925714285699</c:v>
                </c:pt>
                <c:pt idx="355">
                  <c:v>63.863959999999999</c:v>
                </c:pt>
                <c:pt idx="356">
                  <c:v>65.028720000000007</c:v>
                </c:pt>
                <c:pt idx="357">
                  <c:v>66.793679999999995</c:v>
                </c:pt>
                <c:pt idx="358">
                  <c:v>68.537679999999995</c:v>
                </c:pt>
                <c:pt idx="359">
                  <c:v>70.131314285714197</c:v>
                </c:pt>
                <c:pt idx="360">
                  <c:v>71.206994285714202</c:v>
                </c:pt>
                <c:pt idx="361">
                  <c:v>72.240754285714203</c:v>
                </c:pt>
                <c:pt idx="362">
                  <c:v>73.258794285714202</c:v>
                </c:pt>
                <c:pt idx="363">
                  <c:v>74.2611142857142</c:v>
                </c:pt>
                <c:pt idx="364">
                  <c:v>75.366308571428505</c:v>
                </c:pt>
                <c:pt idx="365">
                  <c:v>76.613908571428496</c:v>
                </c:pt>
                <c:pt idx="366">
                  <c:v>78.362548571428505</c:v>
                </c:pt>
                <c:pt idx="367">
                  <c:v>80.090228571428497</c:v>
                </c:pt>
                <c:pt idx="368">
                  <c:v>81.160068571428496</c:v>
                </c:pt>
                <c:pt idx="369">
                  <c:v>82.344588571428503</c:v>
                </c:pt>
                <c:pt idx="370">
                  <c:v>83.722188571428603</c:v>
                </c:pt>
                <c:pt idx="371">
                  <c:v>85.257914285714193</c:v>
                </c:pt>
                <c:pt idx="372">
                  <c:v>86.777919999999995</c:v>
                </c:pt>
                <c:pt idx="373">
                  <c:v>88.287445714285695</c:v>
                </c:pt>
                <c:pt idx="374">
                  <c:v>89.786491428571395</c:v>
                </c:pt>
                <c:pt idx="375">
                  <c:v>91.398891428571403</c:v>
                </c:pt>
                <c:pt idx="376">
                  <c:v>92.833731428571397</c:v>
                </c:pt>
                <c:pt idx="377">
                  <c:v>94.425171428571403</c:v>
                </c:pt>
                <c:pt idx="378">
                  <c:v>96.000891428571407</c:v>
                </c:pt>
                <c:pt idx="379">
                  <c:v>97.566131428571396</c:v>
                </c:pt>
                <c:pt idx="380">
                  <c:v>99.115651428571397</c:v>
                </c:pt>
                <c:pt idx="381">
                  <c:v>101.048811428571</c:v>
                </c:pt>
                <c:pt idx="382">
                  <c:v>102.71825142857099</c:v>
                </c:pt>
                <c:pt idx="383">
                  <c:v>104.210131428571</c:v>
                </c:pt>
                <c:pt idx="384">
                  <c:v>105.609617142857</c:v>
                </c:pt>
                <c:pt idx="385">
                  <c:v>107.064817142857</c:v>
                </c:pt>
                <c:pt idx="386">
                  <c:v>108.546217142857</c:v>
                </c:pt>
                <c:pt idx="387">
                  <c:v>110.137057142857</c:v>
                </c:pt>
                <c:pt idx="388">
                  <c:v>112.34381714285701</c:v>
                </c:pt>
                <c:pt idx="389">
                  <c:v>114.400542857142</c:v>
                </c:pt>
                <c:pt idx="390">
                  <c:v>116.278182857142</c:v>
                </c:pt>
                <c:pt idx="391">
                  <c:v>117.63382285714199</c:v>
                </c:pt>
                <c:pt idx="392">
                  <c:v>119.64862857142801</c:v>
                </c:pt>
                <c:pt idx="393">
                  <c:v>121.766308571428</c:v>
                </c:pt>
                <c:pt idx="394">
                  <c:v>123.565548571428</c:v>
                </c:pt>
                <c:pt idx="395">
                  <c:v>125.12978857142799</c:v>
                </c:pt>
                <c:pt idx="396">
                  <c:v>126.504462857142</c:v>
                </c:pt>
                <c:pt idx="397">
                  <c:v>128.35941714285701</c:v>
                </c:pt>
                <c:pt idx="398">
                  <c:v>130.50661142857101</c:v>
                </c:pt>
                <c:pt idx="399">
                  <c:v>132.64856571428501</c:v>
                </c:pt>
                <c:pt idx="400">
                  <c:v>134.65620571428499</c:v>
                </c:pt>
                <c:pt idx="401">
                  <c:v>136.65860571428499</c:v>
                </c:pt>
                <c:pt idx="402">
                  <c:v>138.277365714285</c:v>
                </c:pt>
                <c:pt idx="403">
                  <c:v>140.30596571428501</c:v>
                </c:pt>
                <c:pt idx="404">
                  <c:v>142.318845714285</c:v>
                </c:pt>
                <c:pt idx="405">
                  <c:v>144.321245714285</c:v>
                </c:pt>
                <c:pt idx="406">
                  <c:v>145.91904571428501</c:v>
                </c:pt>
                <c:pt idx="407">
                  <c:v>147.553525714285</c:v>
                </c:pt>
                <c:pt idx="408">
                  <c:v>149.57164571428501</c:v>
                </c:pt>
                <c:pt idx="409">
                  <c:v>151.553085714285</c:v>
                </c:pt>
                <c:pt idx="410">
                  <c:v>153.565965714285</c:v>
                </c:pt>
                <c:pt idx="411">
                  <c:v>155.531685714285</c:v>
                </c:pt>
                <c:pt idx="412">
                  <c:v>157.988165714285</c:v>
                </c:pt>
                <c:pt idx="413">
                  <c:v>159.96436571428501</c:v>
                </c:pt>
                <c:pt idx="414">
                  <c:v>161.945805714285</c:v>
                </c:pt>
                <c:pt idx="415">
                  <c:v>163.92200571428501</c:v>
                </c:pt>
                <c:pt idx="416">
                  <c:v>165.872005714285</c:v>
                </c:pt>
                <c:pt idx="417">
                  <c:v>167.14187999999999</c:v>
                </c:pt>
                <c:pt idx="418">
                  <c:v>169.09187999999901</c:v>
                </c:pt>
                <c:pt idx="419">
                  <c:v>171.03664000000001</c:v>
                </c:pt>
                <c:pt idx="420">
                  <c:v>172.97615999999999</c:v>
                </c:pt>
                <c:pt idx="421">
                  <c:v>174.91567999999901</c:v>
                </c:pt>
                <c:pt idx="422">
                  <c:v>177.16316</c:v>
                </c:pt>
                <c:pt idx="423">
                  <c:v>179.10792000000001</c:v>
                </c:pt>
                <c:pt idx="424">
                  <c:v>181.04743999999999</c:v>
                </c:pt>
                <c:pt idx="425">
                  <c:v>182.98696000000001</c:v>
                </c:pt>
                <c:pt idx="426">
                  <c:v>184.92124000000001</c:v>
                </c:pt>
                <c:pt idx="427">
                  <c:v>186.8398</c:v>
                </c:pt>
                <c:pt idx="428">
                  <c:v>188.73740000000001</c:v>
                </c:pt>
                <c:pt idx="429">
                  <c:v>190.64024000000001</c:v>
                </c:pt>
                <c:pt idx="430">
                  <c:v>192.56404000000001</c:v>
                </c:pt>
                <c:pt idx="431">
                  <c:v>194.96268000000001</c:v>
                </c:pt>
                <c:pt idx="432">
                  <c:v>197.22819999999999</c:v>
                </c:pt>
                <c:pt idx="433">
                  <c:v>199.10484</c:v>
                </c:pt>
                <c:pt idx="434">
                  <c:v>200.99196000000001</c:v>
                </c:pt>
                <c:pt idx="435">
                  <c:v>202.88955999999999</c:v>
                </c:pt>
                <c:pt idx="436">
                  <c:v>204.79764</c:v>
                </c:pt>
                <c:pt idx="437">
                  <c:v>206.21363428571399</c:v>
                </c:pt>
                <c:pt idx="438">
                  <c:v>208.168874285714</c:v>
                </c:pt>
                <c:pt idx="439">
                  <c:v>210.134594285714</c:v>
                </c:pt>
                <c:pt idx="440">
                  <c:v>212.11603428571399</c:v>
                </c:pt>
                <c:pt idx="441">
                  <c:v>214.113194285714</c:v>
                </c:pt>
                <c:pt idx="442">
                  <c:v>216.12083428571401</c:v>
                </c:pt>
                <c:pt idx="443">
                  <c:v>218.02036000000001</c:v>
                </c:pt>
                <c:pt idx="444">
                  <c:v>220.05420000000001</c:v>
                </c:pt>
                <c:pt idx="445">
                  <c:v>222.10375999999999</c:v>
                </c:pt>
                <c:pt idx="446">
                  <c:v>224.16904</c:v>
                </c:pt>
                <c:pt idx="447">
                  <c:v>225.45132000000001</c:v>
                </c:pt>
                <c:pt idx="448">
                  <c:v>226.75980000000001</c:v>
                </c:pt>
                <c:pt idx="449">
                  <c:v>228.38692</c:v>
                </c:pt>
                <c:pt idx="450">
                  <c:v>230.26476</c:v>
                </c:pt>
                <c:pt idx="451">
                  <c:v>232.49771999999999</c:v>
                </c:pt>
                <c:pt idx="452">
                  <c:v>234.36276000000001</c:v>
                </c:pt>
                <c:pt idx="453">
                  <c:v>235.8494</c:v>
                </c:pt>
                <c:pt idx="454">
                  <c:v>237.37796</c:v>
                </c:pt>
                <c:pt idx="455">
                  <c:v>238.94319999999999</c:v>
                </c:pt>
                <c:pt idx="456">
                  <c:v>240.04931999999999</c:v>
                </c:pt>
                <c:pt idx="457">
                  <c:v>240.90492</c:v>
                </c:pt>
                <c:pt idx="458">
                  <c:v>242.1104</c:v>
                </c:pt>
                <c:pt idx="459">
                  <c:v>243.71948571428501</c:v>
                </c:pt>
                <c:pt idx="460">
                  <c:v>245.47336571428499</c:v>
                </c:pt>
                <c:pt idx="461">
                  <c:v>247.25868571428501</c:v>
                </c:pt>
                <c:pt idx="462">
                  <c:v>248.84349714285699</c:v>
                </c:pt>
                <c:pt idx="463">
                  <c:v>249.89297714285701</c:v>
                </c:pt>
                <c:pt idx="464">
                  <c:v>250.984377142857</c:v>
                </c:pt>
                <c:pt idx="465">
                  <c:v>252.11245714285701</c:v>
                </c:pt>
                <c:pt idx="466">
                  <c:v>253.27721714285701</c:v>
                </c:pt>
                <c:pt idx="467">
                  <c:v>254.478657142857</c:v>
                </c:pt>
                <c:pt idx="468">
                  <c:v>255.03665142857099</c:v>
                </c:pt>
                <c:pt idx="469">
                  <c:v>255.517971428571</c:v>
                </c:pt>
                <c:pt idx="470">
                  <c:v>256.21877142857102</c:v>
                </c:pt>
                <c:pt idx="471">
                  <c:v>257.27469142857097</c:v>
                </c:pt>
                <c:pt idx="472">
                  <c:v>258.67525142857102</c:v>
                </c:pt>
                <c:pt idx="473">
                  <c:v>260.10725142857098</c:v>
                </c:pt>
                <c:pt idx="474">
                  <c:v>261.27825142857102</c:v>
                </c:pt>
                <c:pt idx="475">
                  <c:v>262.25617142857101</c:v>
                </c:pt>
                <c:pt idx="476">
                  <c:v>262.93137142857103</c:v>
                </c:pt>
                <c:pt idx="477">
                  <c:v>263.61705142857102</c:v>
                </c:pt>
                <c:pt idx="478">
                  <c:v>264.32893142857102</c:v>
                </c:pt>
                <c:pt idx="479">
                  <c:v>265.05129142857101</c:v>
                </c:pt>
                <c:pt idx="480">
                  <c:v>265.77365142857099</c:v>
                </c:pt>
                <c:pt idx="481">
                  <c:v>266.527451428571</c:v>
                </c:pt>
                <c:pt idx="482">
                  <c:v>267.29173142857098</c:v>
                </c:pt>
                <c:pt idx="483">
                  <c:v>268.28053142857101</c:v>
                </c:pt>
                <c:pt idx="484">
                  <c:v>269.05529142857102</c:v>
                </c:pt>
                <c:pt idx="485">
                  <c:v>269.84577142857103</c:v>
                </c:pt>
                <c:pt idx="486">
                  <c:v>270.65197142857102</c:v>
                </c:pt>
                <c:pt idx="487">
                  <c:v>271.57676571428499</c:v>
                </c:pt>
                <c:pt idx="488">
                  <c:v>272.39344571428501</c:v>
                </c:pt>
                <c:pt idx="489">
                  <c:v>273.22584571428501</c:v>
                </c:pt>
                <c:pt idx="490">
                  <c:v>274.07920571428502</c:v>
                </c:pt>
                <c:pt idx="491">
                  <c:v>274.94828571428502</c:v>
                </c:pt>
                <c:pt idx="492">
                  <c:v>275.82784571428499</c:v>
                </c:pt>
                <c:pt idx="493">
                  <c:v>276.71788571428499</c:v>
                </c:pt>
                <c:pt idx="494">
                  <c:v>277.72127999999998</c:v>
                </c:pt>
                <c:pt idx="495">
                  <c:v>278.55235428571399</c:v>
                </c:pt>
                <c:pt idx="496">
                  <c:v>279.07546857142802</c:v>
                </c:pt>
                <c:pt idx="497">
                  <c:v>279.16678857142801</c:v>
                </c:pt>
                <c:pt idx="498">
                  <c:v>279.43042857142802</c:v>
                </c:pt>
                <c:pt idx="499">
                  <c:v>279.952548571428</c:v>
                </c:pt>
                <c:pt idx="500">
                  <c:v>280.47466857142803</c:v>
                </c:pt>
                <c:pt idx="501">
                  <c:v>281.417108571428</c:v>
                </c:pt>
                <c:pt idx="502">
                  <c:v>282.37002857142801</c:v>
                </c:pt>
                <c:pt idx="503">
                  <c:v>283.338668571428</c:v>
                </c:pt>
                <c:pt idx="504">
                  <c:v>284.32302857142798</c:v>
                </c:pt>
                <c:pt idx="505">
                  <c:v>285.32310857142801</c:v>
                </c:pt>
                <c:pt idx="506">
                  <c:v>286.34414857142798</c:v>
                </c:pt>
                <c:pt idx="507">
                  <c:v>287.38090857142799</c:v>
                </c:pt>
                <c:pt idx="508">
                  <c:v>287.90614857142799</c:v>
                </c:pt>
                <c:pt idx="509">
                  <c:v>288.29422285714202</c:v>
                </c:pt>
                <c:pt idx="510">
                  <c:v>288.58466285714201</c:v>
                </c:pt>
                <c:pt idx="511">
                  <c:v>288.89082285714198</c:v>
                </c:pt>
                <c:pt idx="512">
                  <c:v>289.21794285714202</c:v>
                </c:pt>
                <c:pt idx="513">
                  <c:v>289.56078285714199</c:v>
                </c:pt>
                <c:pt idx="514">
                  <c:v>289.90886285714203</c:v>
                </c:pt>
                <c:pt idx="515">
                  <c:v>290.26742285714198</c:v>
                </c:pt>
                <c:pt idx="516">
                  <c:v>290.64170285714198</c:v>
                </c:pt>
                <c:pt idx="517">
                  <c:v>291.04742285714201</c:v>
                </c:pt>
                <c:pt idx="518">
                  <c:v>291.479342857142</c:v>
                </c:pt>
                <c:pt idx="519">
                  <c:v>291.829348571428</c:v>
                </c:pt>
                <c:pt idx="520">
                  <c:v>292.20555428571402</c:v>
                </c:pt>
                <c:pt idx="521">
                  <c:v>292.60271999999998</c:v>
                </c:pt>
                <c:pt idx="522">
                  <c:v>293.14467999999999</c:v>
                </c:pt>
                <c:pt idx="523">
                  <c:v>293.53528</c:v>
                </c:pt>
                <c:pt idx="524">
                  <c:v>293.68835999999999</c:v>
                </c:pt>
                <c:pt idx="525">
                  <c:v>293.86763999999999</c:v>
                </c:pt>
                <c:pt idx="527">
                  <c:v>293.65279999999899</c:v>
                </c:pt>
                <c:pt idx="528">
                  <c:v>293.45891999999998</c:v>
                </c:pt>
                <c:pt idx="529">
                  <c:v>293.27551999999997</c:v>
                </c:pt>
                <c:pt idx="530">
                  <c:v>293.1026</c:v>
                </c:pt>
                <c:pt idx="531">
                  <c:v>292.91395999999997</c:v>
                </c:pt>
                <c:pt idx="532">
                  <c:v>292.72531999999899</c:v>
                </c:pt>
                <c:pt idx="533">
                  <c:v>292.53667999999902</c:v>
                </c:pt>
                <c:pt idx="534">
                  <c:v>292.348039999999</c:v>
                </c:pt>
                <c:pt idx="535">
                  <c:v>292.164639999999</c:v>
                </c:pt>
                <c:pt idx="536">
                  <c:v>291.98123999999899</c:v>
                </c:pt>
                <c:pt idx="537">
                  <c:v>291.78735999999901</c:v>
                </c:pt>
                <c:pt idx="538">
                  <c:v>291.90667999999903</c:v>
                </c:pt>
                <c:pt idx="539">
                  <c:v>292.38244571428498</c:v>
                </c:pt>
                <c:pt idx="540">
                  <c:v>293.07443999999998</c:v>
                </c:pt>
                <c:pt idx="541">
                  <c:v>293.62687999999901</c:v>
                </c:pt>
                <c:pt idx="542">
                  <c:v>294.16359999999997</c:v>
                </c:pt>
                <c:pt idx="543">
                  <c:v>294.67935999999997</c:v>
                </c:pt>
                <c:pt idx="544">
                  <c:v>295.16891999999899</c:v>
                </c:pt>
                <c:pt idx="545">
                  <c:v>295.63227999999998</c:v>
                </c:pt>
                <c:pt idx="546">
                  <c:v>296.06943999999999</c:v>
                </c:pt>
                <c:pt idx="547">
                  <c:v>296.48039999999997</c:v>
                </c:pt>
                <c:pt idx="548">
                  <c:v>296.87039999999899</c:v>
                </c:pt>
                <c:pt idx="549">
                  <c:v>297.23419999999999</c:v>
                </c:pt>
                <c:pt idx="550">
                  <c:v>297.57704000000001</c:v>
                </c:pt>
                <c:pt idx="551">
                  <c:v>297.90415999999999</c:v>
                </c:pt>
                <c:pt idx="552">
                  <c:v>298.21555999999998</c:v>
                </c:pt>
                <c:pt idx="553">
                  <c:v>298.50599999999997</c:v>
                </c:pt>
                <c:pt idx="554">
                  <c:v>298.78595999999999</c:v>
                </c:pt>
                <c:pt idx="555">
                  <c:v>299.05020000000002</c:v>
                </c:pt>
                <c:pt idx="556">
                  <c:v>299.31443999999999</c:v>
                </c:pt>
                <c:pt idx="557">
                  <c:v>299.73003999999997</c:v>
                </c:pt>
                <c:pt idx="558">
                  <c:v>300.37791999999899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94F-4A05-BAE1-41F5B284051E}"/>
            </c:ext>
          </c:extLst>
        </c:ser>
        <c:ser>
          <c:idx val="6"/>
          <c:order val="3"/>
          <c:tx>
            <c:strRef>
              <c:f>'Maju 0.05'!$M$6</c:f>
              <c:strCache>
                <c:ptCount val="1"/>
                <c:pt idx="0">
                  <c:v>'estimator'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0.05'!$M$7:$M$565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32.619588571428501</c:v>
                </c:pt>
                <c:pt idx="252">
                  <c:v>32.310053748249302</c:v>
                </c:pt>
                <c:pt idx="253">
                  <c:v>31.8821872614329</c:v>
                </c:pt>
                <c:pt idx="254">
                  <c:v>31.412855803096399</c:v>
                </c:pt>
                <c:pt idx="255">
                  <c:v>31.072485701285601</c:v>
                </c:pt>
                <c:pt idx="256">
                  <c:v>30.8422993691367</c:v>
                </c:pt>
                <c:pt idx="257">
                  <c:v>30.515112034661399</c:v>
                </c:pt>
                <c:pt idx="258">
                  <c:v>30.289550001189401</c:v>
                </c:pt>
                <c:pt idx="259">
                  <c:v>30.071772469080599</c:v>
                </c:pt>
                <c:pt idx="260">
                  <c:v>30.0087677736419</c:v>
                </c:pt>
                <c:pt idx="261">
                  <c:v>29.818831502841402</c:v>
                </c:pt>
                <c:pt idx="262">
                  <c:v>29.656325052285901</c:v>
                </c:pt>
                <c:pt idx="263">
                  <c:v>29.4976140720022</c:v>
                </c:pt>
                <c:pt idx="264">
                  <c:v>29.667960777580699</c:v>
                </c:pt>
                <c:pt idx="265">
                  <c:v>30.308275301503599</c:v>
                </c:pt>
                <c:pt idx="266">
                  <c:v>31.182096134028399</c:v>
                </c:pt>
                <c:pt idx="267">
                  <c:v>31.8006552025014</c:v>
                </c:pt>
                <c:pt idx="268">
                  <c:v>32.437972065239897</c:v>
                </c:pt>
                <c:pt idx="269">
                  <c:v>33.074075942161002</c:v>
                </c:pt>
                <c:pt idx="270">
                  <c:v>33.726426763985501</c:v>
                </c:pt>
                <c:pt idx="271">
                  <c:v>34.385968930418599</c:v>
                </c:pt>
                <c:pt idx="272">
                  <c:v>35.3602433607238</c:v>
                </c:pt>
                <c:pt idx="273">
                  <c:v>36.1893097245296</c:v>
                </c:pt>
                <c:pt idx="274">
                  <c:v>36.690627663016997</c:v>
                </c:pt>
                <c:pt idx="275">
                  <c:v>37.761549015775202</c:v>
                </c:pt>
                <c:pt idx="276">
                  <c:v>38.201371153788003</c:v>
                </c:pt>
                <c:pt idx="277">
                  <c:v>38.885733232020797</c:v>
                </c:pt>
                <c:pt idx="278">
                  <c:v>39.629051087388802</c:v>
                </c:pt>
                <c:pt idx="279">
                  <c:v>40.817146049045299</c:v>
                </c:pt>
                <c:pt idx="280">
                  <c:v>41.662035581682197</c:v>
                </c:pt>
                <c:pt idx="281">
                  <c:v>42.376892294174098</c:v>
                </c:pt>
                <c:pt idx="282">
                  <c:v>43.545154237225098</c:v>
                </c:pt>
                <c:pt idx="283">
                  <c:v>43.835065121255496</c:v>
                </c:pt>
                <c:pt idx="284">
                  <c:v>44.5424459939359</c:v>
                </c:pt>
                <c:pt idx="285">
                  <c:v>45.399409037020703</c:v>
                </c:pt>
                <c:pt idx="286">
                  <c:v>46.675310644162103</c:v>
                </c:pt>
                <c:pt idx="287">
                  <c:v>47.552960029568801</c:v>
                </c:pt>
                <c:pt idx="288">
                  <c:v>48.437045939682903</c:v>
                </c:pt>
                <c:pt idx="289">
                  <c:v>49.268430827149203</c:v>
                </c:pt>
                <c:pt idx="290">
                  <c:v>50.0798800135588</c:v>
                </c:pt>
                <c:pt idx="291">
                  <c:v>50.879947703082998</c:v>
                </c:pt>
                <c:pt idx="292">
                  <c:v>52.0416066949889</c:v>
                </c:pt>
                <c:pt idx="293">
                  <c:v>52.347575339726397</c:v>
                </c:pt>
                <c:pt idx="294">
                  <c:v>53.023116227561701</c:v>
                </c:pt>
                <c:pt idx="295">
                  <c:v>54.083272053094397</c:v>
                </c:pt>
                <c:pt idx="296">
                  <c:v>54.313496378236501</c:v>
                </c:pt>
                <c:pt idx="297">
                  <c:v>55.251924249548502</c:v>
                </c:pt>
                <c:pt idx="298">
                  <c:v>56.063096142140701</c:v>
                </c:pt>
                <c:pt idx="299">
                  <c:v>56.848708766302302</c:v>
                </c:pt>
                <c:pt idx="300">
                  <c:v>57.598779691925401</c:v>
                </c:pt>
                <c:pt idx="301">
                  <c:v>58.686430768997703</c:v>
                </c:pt>
                <c:pt idx="302">
                  <c:v>59.8782887696388</c:v>
                </c:pt>
                <c:pt idx="303">
                  <c:v>61.157383317464102</c:v>
                </c:pt>
                <c:pt idx="304">
                  <c:v>62.725239506319603</c:v>
                </c:pt>
                <c:pt idx="305">
                  <c:v>63.649618813375703</c:v>
                </c:pt>
                <c:pt idx="306">
                  <c:v>64.843452949434607</c:v>
                </c:pt>
                <c:pt idx="307">
                  <c:v>65.985789772226596</c:v>
                </c:pt>
                <c:pt idx="308">
                  <c:v>67.187531600528999</c:v>
                </c:pt>
                <c:pt idx="309">
                  <c:v>68.326171129007506</c:v>
                </c:pt>
                <c:pt idx="310">
                  <c:v>69.528084273286893</c:v>
                </c:pt>
                <c:pt idx="311">
                  <c:v>70.435657738517193</c:v>
                </c:pt>
                <c:pt idx="312">
                  <c:v>71.299931032178904</c:v>
                </c:pt>
                <c:pt idx="313">
                  <c:v>72.501170276242306</c:v>
                </c:pt>
                <c:pt idx="314">
                  <c:v>73.904410411079198</c:v>
                </c:pt>
                <c:pt idx="315">
                  <c:v>75.404600789153704</c:v>
                </c:pt>
                <c:pt idx="316">
                  <c:v>77.031181117299298</c:v>
                </c:pt>
                <c:pt idx="317">
                  <c:v>78.816603595450502</c:v>
                </c:pt>
                <c:pt idx="318">
                  <c:v>80.160585797579202</c:v>
                </c:pt>
                <c:pt idx="319">
                  <c:v>81.700034738771393</c:v>
                </c:pt>
                <c:pt idx="320">
                  <c:v>83.111553898112803</c:v>
                </c:pt>
                <c:pt idx="321">
                  <c:v>84.518638227398796</c:v>
                </c:pt>
                <c:pt idx="322">
                  <c:v>86.489195390018295</c:v>
                </c:pt>
                <c:pt idx="323">
                  <c:v>87.285741834948695</c:v>
                </c:pt>
                <c:pt idx="324">
                  <c:v>88.068540820163605</c:v>
                </c:pt>
                <c:pt idx="325">
                  <c:v>89.039810622464202</c:v>
                </c:pt>
                <c:pt idx="326">
                  <c:v>89.614052705289794</c:v>
                </c:pt>
                <c:pt idx="327">
                  <c:v>90.336808224784207</c:v>
                </c:pt>
                <c:pt idx="328">
                  <c:v>90.7286860778744</c:v>
                </c:pt>
                <c:pt idx="329">
                  <c:v>91.262257122848098</c:v>
                </c:pt>
                <c:pt idx="330">
                  <c:v>91.824450353402497</c:v>
                </c:pt>
                <c:pt idx="331">
                  <c:v>92.331577966495502</c:v>
                </c:pt>
                <c:pt idx="332">
                  <c:v>92.820773768074702</c:v>
                </c:pt>
                <c:pt idx="333">
                  <c:v>93.450366257468403</c:v>
                </c:pt>
                <c:pt idx="334">
                  <c:v>94.168068730738995</c:v>
                </c:pt>
                <c:pt idx="335">
                  <c:v>95.527738525486399</c:v>
                </c:pt>
                <c:pt idx="336">
                  <c:v>96.767246787477902</c:v>
                </c:pt>
                <c:pt idx="337">
                  <c:v>97.993776965817403</c:v>
                </c:pt>
                <c:pt idx="338">
                  <c:v>98.818350194408794</c:v>
                </c:pt>
                <c:pt idx="339">
                  <c:v>99.391697540452498</c:v>
                </c:pt>
                <c:pt idx="340">
                  <c:v>99.805819967887899</c:v>
                </c:pt>
                <c:pt idx="341">
                  <c:v>100.067330951035</c:v>
                </c:pt>
                <c:pt idx="342">
                  <c:v>100.439805170339</c:v>
                </c:pt>
                <c:pt idx="343">
                  <c:v>101.304359569401</c:v>
                </c:pt>
                <c:pt idx="344">
                  <c:v>102.29914495545199</c:v>
                </c:pt>
                <c:pt idx="345">
                  <c:v>103.36991946835001</c:v>
                </c:pt>
                <c:pt idx="346">
                  <c:v>104.38756354774701</c:v>
                </c:pt>
                <c:pt idx="347">
                  <c:v>105.366733817625</c:v>
                </c:pt>
                <c:pt idx="348">
                  <c:v>106.29625493710699</c:v>
                </c:pt>
                <c:pt idx="349">
                  <c:v>107.17451309199799</c:v>
                </c:pt>
                <c:pt idx="350">
                  <c:v>108.07603493614999</c:v>
                </c:pt>
                <c:pt idx="351">
                  <c:v>109.001782874611</c:v>
                </c:pt>
                <c:pt idx="352">
                  <c:v>110.502817923715</c:v>
                </c:pt>
                <c:pt idx="353">
                  <c:v>111.877989195026</c:v>
                </c:pt>
                <c:pt idx="354">
                  <c:v>113.361515045564</c:v>
                </c:pt>
                <c:pt idx="355">
                  <c:v>114.92222947447701</c:v>
                </c:pt>
                <c:pt idx="356">
                  <c:v>116.16675243763299</c:v>
                </c:pt>
                <c:pt idx="357">
                  <c:v>118.079170649315</c:v>
                </c:pt>
                <c:pt idx="358">
                  <c:v>119.973083601401</c:v>
                </c:pt>
                <c:pt idx="359">
                  <c:v>121.71197984570099</c:v>
                </c:pt>
                <c:pt idx="360">
                  <c:v>122.999080745885</c:v>
                </c:pt>
                <c:pt idx="361">
                  <c:v>124.100003511815</c:v>
                </c:pt>
                <c:pt idx="362">
                  <c:v>125.38378749607</c:v>
                </c:pt>
                <c:pt idx="363">
                  <c:v>126.45279858422499</c:v>
                </c:pt>
                <c:pt idx="364">
                  <c:v>127.682803667573</c:v>
                </c:pt>
                <c:pt idx="365">
                  <c:v>129.05023850549401</c:v>
                </c:pt>
                <c:pt idx="366">
                  <c:v>130.918382455504</c:v>
                </c:pt>
                <c:pt idx="367">
                  <c:v>132.76057562729599</c:v>
                </c:pt>
                <c:pt idx="368">
                  <c:v>134.002628873959</c:v>
                </c:pt>
                <c:pt idx="369">
                  <c:v>135.30223229956999</c:v>
                </c:pt>
                <c:pt idx="370">
                  <c:v>136.78869081478999</c:v>
                </c:pt>
                <c:pt idx="371">
                  <c:v>138.43047105853199</c:v>
                </c:pt>
                <c:pt idx="372">
                  <c:v>140.10361258777201</c:v>
                </c:pt>
                <c:pt idx="373">
                  <c:v>141.712008225071</c:v>
                </c:pt>
                <c:pt idx="374">
                  <c:v>143.261165944677</c:v>
                </c:pt>
                <c:pt idx="375">
                  <c:v>144.971212170873</c:v>
                </c:pt>
                <c:pt idx="376">
                  <c:v>146.497714322576</c:v>
                </c:pt>
                <c:pt idx="377">
                  <c:v>148.17911908942</c:v>
                </c:pt>
                <c:pt idx="378">
                  <c:v>149.84447375747001</c:v>
                </c:pt>
                <c:pt idx="379">
                  <c:v>151.49409395628001</c:v>
                </c:pt>
                <c:pt idx="380">
                  <c:v>153.16744261409701</c:v>
                </c:pt>
                <c:pt idx="381">
                  <c:v>155.18156592252799</c:v>
                </c:pt>
                <c:pt idx="382">
                  <c:v>156.92895158361199</c:v>
                </c:pt>
                <c:pt idx="383">
                  <c:v>158.49797021402901</c:v>
                </c:pt>
                <c:pt idx="384">
                  <c:v>159.972577470651</c:v>
                </c:pt>
                <c:pt idx="385">
                  <c:v>161.499569694152</c:v>
                </c:pt>
                <c:pt idx="386">
                  <c:v>163.08563040089999</c:v>
                </c:pt>
                <c:pt idx="387">
                  <c:v>164.74356213529401</c:v>
                </c:pt>
                <c:pt idx="388">
                  <c:v>167.01846051946401</c:v>
                </c:pt>
                <c:pt idx="389">
                  <c:v>169.13911356300201</c:v>
                </c:pt>
                <c:pt idx="390">
                  <c:v>171.04921709783301</c:v>
                </c:pt>
                <c:pt idx="391">
                  <c:v>172.469685512746</c:v>
                </c:pt>
                <c:pt idx="392">
                  <c:v>174.54668580131801</c:v>
                </c:pt>
                <c:pt idx="393">
                  <c:v>176.751238925282</c:v>
                </c:pt>
                <c:pt idx="394">
                  <c:v>178.60875379051501</c:v>
                </c:pt>
                <c:pt idx="395">
                  <c:v>180.22808798450799</c:v>
                </c:pt>
                <c:pt idx="396">
                  <c:v>181.65651961772301</c:v>
                </c:pt>
                <c:pt idx="397">
                  <c:v>183.56594504457499</c:v>
                </c:pt>
                <c:pt idx="398">
                  <c:v>185.76508036028</c:v>
                </c:pt>
                <c:pt idx="399">
                  <c:v>187.98205132556899</c:v>
                </c:pt>
                <c:pt idx="400">
                  <c:v>190.03936940267499</c:v>
                </c:pt>
                <c:pt idx="401">
                  <c:v>192.089389989289</c:v>
                </c:pt>
                <c:pt idx="402">
                  <c:v>193.75435248653</c:v>
                </c:pt>
                <c:pt idx="403">
                  <c:v>195.828974729208</c:v>
                </c:pt>
                <c:pt idx="404">
                  <c:v>197.885350216772</c:v>
                </c:pt>
                <c:pt idx="405">
                  <c:v>199.93068564963099</c:v>
                </c:pt>
                <c:pt idx="406">
                  <c:v>201.57162188221301</c:v>
                </c:pt>
                <c:pt idx="407">
                  <c:v>203.24721835555599</c:v>
                </c:pt>
                <c:pt idx="408">
                  <c:v>205.30550087559499</c:v>
                </c:pt>
                <c:pt idx="409">
                  <c:v>207.32595516788999</c:v>
                </c:pt>
                <c:pt idx="410">
                  <c:v>209.37608422373901</c:v>
                </c:pt>
                <c:pt idx="411">
                  <c:v>211.396231567097</c:v>
                </c:pt>
                <c:pt idx="412">
                  <c:v>213.87053767918201</c:v>
                </c:pt>
                <c:pt idx="413">
                  <c:v>215.89809205117999</c:v>
                </c:pt>
                <c:pt idx="414">
                  <c:v>217.91353255880401</c:v>
                </c:pt>
                <c:pt idx="415">
                  <c:v>219.922802019183</c:v>
                </c:pt>
                <c:pt idx="416">
                  <c:v>221.90491080850299</c:v>
                </c:pt>
                <c:pt idx="417">
                  <c:v>223.22105995266301</c:v>
                </c:pt>
                <c:pt idx="418">
                  <c:v>225.245117710377</c:v>
                </c:pt>
                <c:pt idx="419">
                  <c:v>227.20480854218999</c:v>
                </c:pt>
                <c:pt idx="420">
                  <c:v>229.17293438282201</c:v>
                </c:pt>
                <c:pt idx="421">
                  <c:v>231.126164515478</c:v>
                </c:pt>
                <c:pt idx="422">
                  <c:v>233.40093709072599</c:v>
                </c:pt>
                <c:pt idx="423">
                  <c:v>235.371797597935</c:v>
                </c:pt>
                <c:pt idx="424">
                  <c:v>237.348998419905</c:v>
                </c:pt>
                <c:pt idx="425">
                  <c:v>239.313005182545</c:v>
                </c:pt>
                <c:pt idx="426">
                  <c:v>241.271759554205</c:v>
                </c:pt>
                <c:pt idx="427">
                  <c:v>243.21435543653001</c:v>
                </c:pt>
                <c:pt idx="428">
                  <c:v>245.13451009861501</c:v>
                </c:pt>
                <c:pt idx="429">
                  <c:v>247.05928817284601</c:v>
                </c:pt>
                <c:pt idx="430">
                  <c:v>248.99898365778901</c:v>
                </c:pt>
                <c:pt idx="431">
                  <c:v>251.43561731438501</c:v>
                </c:pt>
                <c:pt idx="432">
                  <c:v>253.720716267044</c:v>
                </c:pt>
                <c:pt idx="433">
                  <c:v>255.61755919632</c:v>
                </c:pt>
                <c:pt idx="434">
                  <c:v>257.524219526423</c:v>
                </c:pt>
                <c:pt idx="435">
                  <c:v>259.440681806886</c:v>
                </c:pt>
                <c:pt idx="436">
                  <c:v>261.36733648556998</c:v>
                </c:pt>
                <c:pt idx="437">
                  <c:v>262.80144690207402</c:v>
                </c:pt>
                <c:pt idx="438">
                  <c:v>264.78321293936699</c:v>
                </c:pt>
                <c:pt idx="439">
                  <c:v>266.76609939615901</c:v>
                </c:pt>
                <c:pt idx="440">
                  <c:v>268.75580823771298</c:v>
                </c:pt>
                <c:pt idx="441">
                  <c:v>270.77766086918899</c:v>
                </c:pt>
                <c:pt idx="442">
                  <c:v>272.801032233814</c:v>
                </c:pt>
                <c:pt idx="443">
                  <c:v>274.71585790059902</c:v>
                </c:pt>
                <c:pt idx="444">
                  <c:v>276.76505239814003</c:v>
                </c:pt>
                <c:pt idx="445">
                  <c:v>278.829584234641</c:v>
                </c:pt>
                <c:pt idx="446">
                  <c:v>280.909210746209</c:v>
                </c:pt>
                <c:pt idx="447">
                  <c:v>282.21215254803599</c:v>
                </c:pt>
                <c:pt idx="448">
                  <c:v>283.53395660004099</c:v>
                </c:pt>
                <c:pt idx="449">
                  <c:v>285.17392053400403</c:v>
                </c:pt>
                <c:pt idx="450">
                  <c:v>287.06446773303901</c:v>
                </c:pt>
                <c:pt idx="451">
                  <c:v>289.30989550911102</c:v>
                </c:pt>
                <c:pt idx="452">
                  <c:v>291.18688275974</c:v>
                </c:pt>
                <c:pt idx="453">
                  <c:v>292.68565809115398</c:v>
                </c:pt>
                <c:pt idx="454">
                  <c:v>294.225459376537</c:v>
                </c:pt>
                <c:pt idx="455">
                  <c:v>295.80756236587598</c:v>
                </c:pt>
                <c:pt idx="456">
                  <c:v>296.92442789626398</c:v>
                </c:pt>
                <c:pt idx="457">
                  <c:v>297.78548393866402</c:v>
                </c:pt>
                <c:pt idx="458">
                  <c:v>299.00143716749301</c:v>
                </c:pt>
                <c:pt idx="459">
                  <c:v>300.620973838797</c:v>
                </c:pt>
                <c:pt idx="460">
                  <c:v>302.385074403793</c:v>
                </c:pt>
                <c:pt idx="461">
                  <c:v>304.18484906431399</c:v>
                </c:pt>
                <c:pt idx="462">
                  <c:v>305.77901301124302</c:v>
                </c:pt>
                <c:pt idx="463">
                  <c:v>306.83737346315598</c:v>
                </c:pt>
                <c:pt idx="464">
                  <c:v>307.937699387149</c:v>
                </c:pt>
                <c:pt idx="465">
                  <c:v>309.07454824625103</c:v>
                </c:pt>
                <c:pt idx="466">
                  <c:v>310.24783724034899</c:v>
                </c:pt>
                <c:pt idx="467">
                  <c:v>311.45731999069301</c:v>
                </c:pt>
                <c:pt idx="468">
                  <c:v>312.023332001303</c:v>
                </c:pt>
                <c:pt idx="469">
                  <c:v>312.51630186544003</c:v>
                </c:pt>
                <c:pt idx="470">
                  <c:v>313.22454890243199</c:v>
                </c:pt>
                <c:pt idx="471">
                  <c:v>314.28412052017001</c:v>
                </c:pt>
                <c:pt idx="472">
                  <c:v>315.69550462613199</c:v>
                </c:pt>
                <c:pt idx="473">
                  <c:v>317.13460152709803</c:v>
                </c:pt>
                <c:pt idx="474">
                  <c:v>318.30903470362199</c:v>
                </c:pt>
                <c:pt idx="475">
                  <c:v>319.293602584648</c:v>
                </c:pt>
                <c:pt idx="476">
                  <c:v>319.97854200682502</c:v>
                </c:pt>
                <c:pt idx="477">
                  <c:v>320.670427237409</c:v>
                </c:pt>
                <c:pt idx="478">
                  <c:v>321.38836885984199</c:v>
                </c:pt>
                <c:pt idx="479">
                  <c:v>322.11668545789399</c:v>
                </c:pt>
                <c:pt idx="480">
                  <c:v>322.84483373019901</c:v>
                </c:pt>
                <c:pt idx="481">
                  <c:v>323.60696083882499</c:v>
                </c:pt>
                <c:pt idx="482">
                  <c:v>324.37678970436002</c:v>
                </c:pt>
                <c:pt idx="483">
                  <c:v>325.37116904189298</c:v>
                </c:pt>
                <c:pt idx="484">
                  <c:v>326.151114124034</c:v>
                </c:pt>
                <c:pt idx="485">
                  <c:v>326.94665462032998</c:v>
                </c:pt>
                <c:pt idx="486">
                  <c:v>327.757867726749</c:v>
                </c:pt>
                <c:pt idx="487">
                  <c:v>328.687625528034</c:v>
                </c:pt>
                <c:pt idx="488">
                  <c:v>329.51143609203501</c:v>
                </c:pt>
                <c:pt idx="489">
                  <c:v>330.34845411926</c:v>
                </c:pt>
                <c:pt idx="490">
                  <c:v>331.20630629043302</c:v>
                </c:pt>
                <c:pt idx="491">
                  <c:v>332.07768390300203</c:v>
                </c:pt>
                <c:pt idx="492">
                  <c:v>332.96356547459101</c:v>
                </c:pt>
                <c:pt idx="493">
                  <c:v>333.855647776198</c:v>
                </c:pt>
                <c:pt idx="494">
                  <c:v>334.863098151332</c:v>
                </c:pt>
                <c:pt idx="495">
                  <c:v>335.69998323399199</c:v>
                </c:pt>
                <c:pt idx="496">
                  <c:v>336.226866793694</c:v>
                </c:pt>
                <c:pt idx="497">
                  <c:v>336.32198825995198</c:v>
                </c:pt>
                <c:pt idx="498">
                  <c:v>336.58928647673002</c:v>
                </c:pt>
                <c:pt idx="499">
                  <c:v>337.115081295739</c:v>
                </c:pt>
                <c:pt idx="500">
                  <c:v>337.642346480112</c:v>
                </c:pt>
                <c:pt idx="501">
                  <c:v>338.58813591654899</c:v>
                </c:pt>
                <c:pt idx="502">
                  <c:v>339.54586909432101</c:v>
                </c:pt>
                <c:pt idx="503">
                  <c:v>340.51602528798202</c:v>
                </c:pt>
                <c:pt idx="504">
                  <c:v>341.50193706849001</c:v>
                </c:pt>
                <c:pt idx="505">
                  <c:v>342.50499680623301</c:v>
                </c:pt>
                <c:pt idx="506">
                  <c:v>343.53052706365003</c:v>
                </c:pt>
                <c:pt idx="507">
                  <c:v>344.57015463429002</c:v>
                </c:pt>
                <c:pt idx="508">
                  <c:v>345.09827886241698</c:v>
                </c:pt>
                <c:pt idx="509">
                  <c:v>345.48907632848199</c:v>
                </c:pt>
                <c:pt idx="510">
                  <c:v>345.78215599228503</c:v>
                </c:pt>
                <c:pt idx="511">
                  <c:v>346.09230448156399</c:v>
                </c:pt>
                <c:pt idx="512">
                  <c:v>346.42194799791997</c:v>
                </c:pt>
                <c:pt idx="513">
                  <c:v>346.76721125270302</c:v>
                </c:pt>
                <c:pt idx="514">
                  <c:v>347.11762054546699</c:v>
                </c:pt>
                <c:pt idx="515">
                  <c:v>347.478526610887</c:v>
                </c:pt>
                <c:pt idx="516">
                  <c:v>347.85502402764598</c:v>
                </c:pt>
                <c:pt idx="517">
                  <c:v>348.261866242069</c:v>
                </c:pt>
                <c:pt idx="518">
                  <c:v>348.69597866430303</c:v>
                </c:pt>
                <c:pt idx="519">
                  <c:v>349.04913370390602</c:v>
                </c:pt>
                <c:pt idx="520">
                  <c:v>349.427353260068</c:v>
                </c:pt>
                <c:pt idx="521">
                  <c:v>349.82646080955402</c:v>
                </c:pt>
                <c:pt idx="522">
                  <c:v>350.37136175104501</c:v>
                </c:pt>
                <c:pt idx="523">
                  <c:v>350.762921826384</c:v>
                </c:pt>
                <c:pt idx="524">
                  <c:v>350.91872438054401</c:v>
                </c:pt>
                <c:pt idx="525">
                  <c:v>351.09975343768099</c:v>
                </c:pt>
                <c:pt idx="527">
                  <c:v>351.09975343768099</c:v>
                </c:pt>
                <c:pt idx="528">
                  <c:v>351.09975343768099</c:v>
                </c:pt>
                <c:pt idx="529">
                  <c:v>351.09975343768099</c:v>
                </c:pt>
                <c:pt idx="530">
                  <c:v>351.09975343768099</c:v>
                </c:pt>
                <c:pt idx="531">
                  <c:v>351.09975343768099</c:v>
                </c:pt>
                <c:pt idx="532">
                  <c:v>351.09975343768099</c:v>
                </c:pt>
                <c:pt idx="533">
                  <c:v>351.09975343768099</c:v>
                </c:pt>
                <c:pt idx="534">
                  <c:v>351.09975343768099</c:v>
                </c:pt>
                <c:pt idx="535">
                  <c:v>351.09975343768099</c:v>
                </c:pt>
                <c:pt idx="536">
                  <c:v>351.09975343768099</c:v>
                </c:pt>
                <c:pt idx="537">
                  <c:v>351.09975343768099</c:v>
                </c:pt>
                <c:pt idx="538">
                  <c:v>351.09975343768099</c:v>
                </c:pt>
                <c:pt idx="539">
                  <c:v>351.09975343768099</c:v>
                </c:pt>
                <c:pt idx="540">
                  <c:v>351.09975343768099</c:v>
                </c:pt>
                <c:pt idx="541">
                  <c:v>351.09975343768099</c:v>
                </c:pt>
                <c:pt idx="542">
                  <c:v>351.09975343768099</c:v>
                </c:pt>
                <c:pt idx="543">
                  <c:v>351.09975343768099</c:v>
                </c:pt>
                <c:pt idx="544">
                  <c:v>351.09975343768099</c:v>
                </c:pt>
                <c:pt idx="545">
                  <c:v>351.09975343768099</c:v>
                </c:pt>
                <c:pt idx="546">
                  <c:v>351.09975343768099</c:v>
                </c:pt>
                <c:pt idx="547">
                  <c:v>351.09975343768099</c:v>
                </c:pt>
                <c:pt idx="548">
                  <c:v>351.09975343768099</c:v>
                </c:pt>
                <c:pt idx="549">
                  <c:v>351.09975343768099</c:v>
                </c:pt>
                <c:pt idx="550">
                  <c:v>351.09975343768099</c:v>
                </c:pt>
                <c:pt idx="551">
                  <c:v>351.09975343768099</c:v>
                </c:pt>
                <c:pt idx="552">
                  <c:v>351.09975343768099</c:v>
                </c:pt>
                <c:pt idx="553">
                  <c:v>351.09975343768099</c:v>
                </c:pt>
                <c:pt idx="554">
                  <c:v>351.09975343768099</c:v>
                </c:pt>
                <c:pt idx="555">
                  <c:v>351.09975343768099</c:v>
                </c:pt>
                <c:pt idx="556">
                  <c:v>351.09975343768099</c:v>
                </c:pt>
                <c:pt idx="557">
                  <c:v>351.09975343768099</c:v>
                </c:pt>
                <c:pt idx="558">
                  <c:v>351.09975343768099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94F-4A05-BAE1-41F5B284051E}"/>
            </c:ext>
          </c:extLst>
        </c:ser>
        <c:ser>
          <c:idx val="7"/>
          <c:order val="4"/>
          <c:tx>
            <c:strRef>
              <c:f>'Maju 0.05'!$A$6</c:f>
              <c:strCache>
                <c:ptCount val="1"/>
                <c:pt idx="0">
                  <c:v>Input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0.05'!$A$7:$A$565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500</c:v>
                </c:pt>
                <c:pt idx="252">
                  <c:v>500</c:v>
                </c:pt>
                <c:pt idx="253">
                  <c:v>500</c:v>
                </c:pt>
                <c:pt idx="254">
                  <c:v>500</c:v>
                </c:pt>
                <c:pt idx="255">
                  <c:v>500</c:v>
                </c:pt>
                <c:pt idx="256">
                  <c:v>500</c:v>
                </c:pt>
                <c:pt idx="257">
                  <c:v>500</c:v>
                </c:pt>
                <c:pt idx="258">
                  <c:v>500</c:v>
                </c:pt>
                <c:pt idx="259">
                  <c:v>500</c:v>
                </c:pt>
                <c:pt idx="260">
                  <c:v>500</c:v>
                </c:pt>
                <c:pt idx="261">
                  <c:v>500</c:v>
                </c:pt>
                <c:pt idx="262">
                  <c:v>500</c:v>
                </c:pt>
                <c:pt idx="263">
                  <c:v>500</c:v>
                </c:pt>
                <c:pt idx="264">
                  <c:v>500</c:v>
                </c:pt>
                <c:pt idx="265">
                  <c:v>500</c:v>
                </c:pt>
                <c:pt idx="266">
                  <c:v>500</c:v>
                </c:pt>
                <c:pt idx="267">
                  <c:v>500</c:v>
                </c:pt>
                <c:pt idx="268">
                  <c:v>500</c:v>
                </c:pt>
                <c:pt idx="269">
                  <c:v>500</c:v>
                </c:pt>
                <c:pt idx="270">
                  <c:v>500</c:v>
                </c:pt>
                <c:pt idx="271">
                  <c:v>500</c:v>
                </c:pt>
                <c:pt idx="272">
                  <c:v>500</c:v>
                </c:pt>
                <c:pt idx="273">
                  <c:v>500</c:v>
                </c:pt>
                <c:pt idx="274">
                  <c:v>500</c:v>
                </c:pt>
                <c:pt idx="275">
                  <c:v>500</c:v>
                </c:pt>
                <c:pt idx="276">
                  <c:v>500</c:v>
                </c:pt>
                <c:pt idx="277">
                  <c:v>500</c:v>
                </c:pt>
                <c:pt idx="278">
                  <c:v>500</c:v>
                </c:pt>
                <c:pt idx="279">
                  <c:v>500</c:v>
                </c:pt>
                <c:pt idx="280">
                  <c:v>500</c:v>
                </c:pt>
                <c:pt idx="281">
                  <c:v>500</c:v>
                </c:pt>
                <c:pt idx="282">
                  <c:v>500</c:v>
                </c:pt>
                <c:pt idx="283">
                  <c:v>500</c:v>
                </c:pt>
                <c:pt idx="284">
                  <c:v>500</c:v>
                </c:pt>
                <c:pt idx="285">
                  <c:v>500</c:v>
                </c:pt>
                <c:pt idx="286">
                  <c:v>500</c:v>
                </c:pt>
                <c:pt idx="287">
                  <c:v>500</c:v>
                </c:pt>
                <c:pt idx="288">
                  <c:v>500</c:v>
                </c:pt>
                <c:pt idx="289">
                  <c:v>500</c:v>
                </c:pt>
                <c:pt idx="290">
                  <c:v>500</c:v>
                </c:pt>
                <c:pt idx="291">
                  <c:v>500</c:v>
                </c:pt>
                <c:pt idx="292">
                  <c:v>500</c:v>
                </c:pt>
                <c:pt idx="293">
                  <c:v>500</c:v>
                </c:pt>
                <c:pt idx="294">
                  <c:v>500</c:v>
                </c:pt>
                <c:pt idx="295">
                  <c:v>500</c:v>
                </c:pt>
                <c:pt idx="296">
                  <c:v>500</c:v>
                </c:pt>
                <c:pt idx="297">
                  <c:v>500</c:v>
                </c:pt>
                <c:pt idx="298">
                  <c:v>500</c:v>
                </c:pt>
                <c:pt idx="299">
                  <c:v>500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500</c:v>
                </c:pt>
                <c:pt idx="351">
                  <c:v>500</c:v>
                </c:pt>
                <c:pt idx="352">
                  <c:v>500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500</c:v>
                </c:pt>
                <c:pt idx="357">
                  <c:v>500</c:v>
                </c:pt>
                <c:pt idx="358">
                  <c:v>500</c:v>
                </c:pt>
                <c:pt idx="359">
                  <c:v>500</c:v>
                </c:pt>
                <c:pt idx="360">
                  <c:v>500</c:v>
                </c:pt>
                <c:pt idx="361">
                  <c:v>500</c:v>
                </c:pt>
                <c:pt idx="362">
                  <c:v>500</c:v>
                </c:pt>
                <c:pt idx="363">
                  <c:v>500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500</c:v>
                </c:pt>
                <c:pt idx="378">
                  <c:v>500</c:v>
                </c:pt>
                <c:pt idx="379">
                  <c:v>500</c:v>
                </c:pt>
                <c:pt idx="380">
                  <c:v>500</c:v>
                </c:pt>
                <c:pt idx="381">
                  <c:v>500</c:v>
                </c:pt>
                <c:pt idx="382">
                  <c:v>500</c:v>
                </c:pt>
                <c:pt idx="383">
                  <c:v>500</c:v>
                </c:pt>
                <c:pt idx="384">
                  <c:v>500</c:v>
                </c:pt>
                <c:pt idx="385">
                  <c:v>500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500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500</c:v>
                </c:pt>
                <c:pt idx="398">
                  <c:v>500</c:v>
                </c:pt>
                <c:pt idx="399">
                  <c:v>500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500</c:v>
                </c:pt>
                <c:pt idx="501">
                  <c:v>500</c:v>
                </c:pt>
                <c:pt idx="502">
                  <c:v>500</c:v>
                </c:pt>
                <c:pt idx="503">
                  <c:v>500</c:v>
                </c:pt>
                <c:pt idx="504">
                  <c:v>500</c:v>
                </c:pt>
                <c:pt idx="505">
                  <c:v>500</c:v>
                </c:pt>
                <c:pt idx="506">
                  <c:v>500</c:v>
                </c:pt>
                <c:pt idx="507">
                  <c:v>500</c:v>
                </c:pt>
                <c:pt idx="508">
                  <c:v>500</c:v>
                </c:pt>
                <c:pt idx="509">
                  <c:v>500</c:v>
                </c:pt>
                <c:pt idx="510">
                  <c:v>500</c:v>
                </c:pt>
                <c:pt idx="511">
                  <c:v>500</c:v>
                </c:pt>
                <c:pt idx="512">
                  <c:v>500</c:v>
                </c:pt>
                <c:pt idx="513">
                  <c:v>500</c:v>
                </c:pt>
                <c:pt idx="514">
                  <c:v>500</c:v>
                </c:pt>
                <c:pt idx="515">
                  <c:v>500</c:v>
                </c:pt>
                <c:pt idx="516">
                  <c:v>500</c:v>
                </c:pt>
                <c:pt idx="517">
                  <c:v>500</c:v>
                </c:pt>
                <c:pt idx="518">
                  <c:v>500</c:v>
                </c:pt>
                <c:pt idx="519">
                  <c:v>500</c:v>
                </c:pt>
                <c:pt idx="520">
                  <c:v>500</c:v>
                </c:pt>
                <c:pt idx="521">
                  <c:v>500</c:v>
                </c:pt>
                <c:pt idx="522">
                  <c:v>500</c:v>
                </c:pt>
                <c:pt idx="523">
                  <c:v>500</c:v>
                </c:pt>
                <c:pt idx="524">
                  <c:v>500</c:v>
                </c:pt>
                <c:pt idx="525">
                  <c:v>500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294F-4A05-BAE1-41F5B2840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104904"/>
        <c:axId val="461669760"/>
      </c:scatterChart>
      <c:scatterChart>
        <c:scatterStyle val="smoothMarker"/>
        <c:varyColors val="0"/>
        <c:ser>
          <c:idx val="2"/>
          <c:order val="0"/>
          <c:tx>
            <c:strRef>
              <c:f>'Maju 0.05'!$V$6</c:f>
              <c:strCache>
                <c:ptCount val="1"/>
                <c:pt idx="0">
                  <c:v>'pitch'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0.05'!$V$7:$V$565</c:f>
              <c:numCache>
                <c:formatCode>0.00</c:formatCode>
                <c:ptCount val="559"/>
                <c:pt idx="0">
                  <c:v>-0.27300000000000002</c:v>
                </c:pt>
                <c:pt idx="1">
                  <c:v>-0.27300000000000002</c:v>
                </c:pt>
                <c:pt idx="2">
                  <c:v>-0.27300000000000002</c:v>
                </c:pt>
                <c:pt idx="3">
                  <c:v>-0.27300000000000002</c:v>
                </c:pt>
                <c:pt idx="4">
                  <c:v>-0.27300000000000002</c:v>
                </c:pt>
                <c:pt idx="5">
                  <c:v>-0.53400000000000003</c:v>
                </c:pt>
                <c:pt idx="6">
                  <c:v>-0.53400000000000003</c:v>
                </c:pt>
                <c:pt idx="7">
                  <c:v>-0.53400000000000003</c:v>
                </c:pt>
                <c:pt idx="8">
                  <c:v>-0.53400000000000003</c:v>
                </c:pt>
                <c:pt idx="9">
                  <c:v>7.6999999999999999E-2</c:v>
                </c:pt>
                <c:pt idx="10">
                  <c:v>7.6999999999999999E-2</c:v>
                </c:pt>
                <c:pt idx="11">
                  <c:v>7.6999999999999999E-2</c:v>
                </c:pt>
                <c:pt idx="12">
                  <c:v>7.6999999999999999E-2</c:v>
                </c:pt>
                <c:pt idx="13">
                  <c:v>7.6999999999999999E-2</c:v>
                </c:pt>
                <c:pt idx="14">
                  <c:v>0.85499999999999998</c:v>
                </c:pt>
                <c:pt idx="15">
                  <c:v>0.85499999999999998</c:v>
                </c:pt>
                <c:pt idx="16">
                  <c:v>0.85499999999999998</c:v>
                </c:pt>
                <c:pt idx="17">
                  <c:v>0.85499999999999998</c:v>
                </c:pt>
                <c:pt idx="18">
                  <c:v>0.85499999999999998</c:v>
                </c:pt>
                <c:pt idx="19">
                  <c:v>1.06</c:v>
                </c:pt>
                <c:pt idx="20">
                  <c:v>1.06</c:v>
                </c:pt>
                <c:pt idx="21">
                  <c:v>1.06</c:v>
                </c:pt>
                <c:pt idx="22">
                  <c:v>1.06</c:v>
                </c:pt>
                <c:pt idx="23">
                  <c:v>1.5940000000000001</c:v>
                </c:pt>
                <c:pt idx="24">
                  <c:v>1.5940000000000001</c:v>
                </c:pt>
                <c:pt idx="25">
                  <c:v>1.5940000000000001</c:v>
                </c:pt>
                <c:pt idx="26">
                  <c:v>1.5940000000000001</c:v>
                </c:pt>
                <c:pt idx="27">
                  <c:v>1.7569999999999999</c:v>
                </c:pt>
                <c:pt idx="28">
                  <c:v>1.7569999999999999</c:v>
                </c:pt>
                <c:pt idx="29">
                  <c:v>1.7569999999999999</c:v>
                </c:pt>
                <c:pt idx="30">
                  <c:v>1.7569999999999999</c:v>
                </c:pt>
                <c:pt idx="31">
                  <c:v>0.99399999999999999</c:v>
                </c:pt>
                <c:pt idx="32">
                  <c:v>0.99399999999999999</c:v>
                </c:pt>
                <c:pt idx="33">
                  <c:v>0.99399999999999999</c:v>
                </c:pt>
                <c:pt idx="34">
                  <c:v>0.99399999999999999</c:v>
                </c:pt>
                <c:pt idx="35">
                  <c:v>-0.47899999999999998</c:v>
                </c:pt>
                <c:pt idx="36">
                  <c:v>-0.47899999999999998</c:v>
                </c:pt>
                <c:pt idx="37">
                  <c:v>-0.47899999999999998</c:v>
                </c:pt>
                <c:pt idx="38">
                  <c:v>-0.47899999999999998</c:v>
                </c:pt>
                <c:pt idx="39">
                  <c:v>-0.47899999999999998</c:v>
                </c:pt>
                <c:pt idx="40">
                  <c:v>-1.4870000000000001</c:v>
                </c:pt>
                <c:pt idx="41">
                  <c:v>-1.4870000000000001</c:v>
                </c:pt>
                <c:pt idx="42">
                  <c:v>-1.4870000000000001</c:v>
                </c:pt>
                <c:pt idx="43">
                  <c:v>-1.4870000000000001</c:v>
                </c:pt>
                <c:pt idx="44">
                  <c:v>-1.448</c:v>
                </c:pt>
                <c:pt idx="45">
                  <c:v>-1.448</c:v>
                </c:pt>
                <c:pt idx="46">
                  <c:v>-1.448</c:v>
                </c:pt>
                <c:pt idx="47">
                  <c:v>-1.448</c:v>
                </c:pt>
                <c:pt idx="48">
                  <c:v>-1.2509999999999999</c:v>
                </c:pt>
                <c:pt idx="49">
                  <c:v>-1.2509999999999999</c:v>
                </c:pt>
                <c:pt idx="50">
                  <c:v>-1.2509999999999999</c:v>
                </c:pt>
                <c:pt idx="51">
                  <c:v>-1.2509999999999999</c:v>
                </c:pt>
                <c:pt idx="52">
                  <c:v>-1.4850000000000001</c:v>
                </c:pt>
                <c:pt idx="53">
                  <c:v>-1.4850000000000001</c:v>
                </c:pt>
                <c:pt idx="54">
                  <c:v>-1.4850000000000001</c:v>
                </c:pt>
                <c:pt idx="55">
                  <c:v>-1.4850000000000001</c:v>
                </c:pt>
                <c:pt idx="56">
                  <c:v>-2.302</c:v>
                </c:pt>
                <c:pt idx="57">
                  <c:v>-2.302</c:v>
                </c:pt>
                <c:pt idx="58">
                  <c:v>-2.302</c:v>
                </c:pt>
                <c:pt idx="59">
                  <c:v>-2.302</c:v>
                </c:pt>
                <c:pt idx="60">
                  <c:v>-3.31</c:v>
                </c:pt>
                <c:pt idx="61">
                  <c:v>-3.31</c:v>
                </c:pt>
                <c:pt idx="62">
                  <c:v>-3.31</c:v>
                </c:pt>
                <c:pt idx="63">
                  <c:v>-3.31</c:v>
                </c:pt>
                <c:pt idx="64">
                  <c:v>-3.31</c:v>
                </c:pt>
                <c:pt idx="65">
                  <c:v>-3.4369999999999998</c:v>
                </c:pt>
                <c:pt idx="66">
                  <c:v>-3.4369999999999998</c:v>
                </c:pt>
                <c:pt idx="67">
                  <c:v>-3.4369999999999998</c:v>
                </c:pt>
                <c:pt idx="68">
                  <c:v>-3.4369999999999998</c:v>
                </c:pt>
                <c:pt idx="69">
                  <c:v>-2.645</c:v>
                </c:pt>
                <c:pt idx="70">
                  <c:v>-2.645</c:v>
                </c:pt>
                <c:pt idx="71">
                  <c:v>-2.645</c:v>
                </c:pt>
                <c:pt idx="72">
                  <c:v>-2.645</c:v>
                </c:pt>
                <c:pt idx="73">
                  <c:v>-1.609</c:v>
                </c:pt>
                <c:pt idx="74">
                  <c:v>-1.609</c:v>
                </c:pt>
                <c:pt idx="75">
                  <c:v>-1.609</c:v>
                </c:pt>
                <c:pt idx="76">
                  <c:v>-1.609</c:v>
                </c:pt>
                <c:pt idx="77">
                  <c:v>-0.61899999999999999</c:v>
                </c:pt>
                <c:pt idx="78">
                  <c:v>-0.61899999999999999</c:v>
                </c:pt>
                <c:pt idx="79">
                  <c:v>-0.61899999999999999</c:v>
                </c:pt>
                <c:pt idx="80">
                  <c:v>-0.61899999999999999</c:v>
                </c:pt>
                <c:pt idx="81">
                  <c:v>-0.61899999999999999</c:v>
                </c:pt>
                <c:pt idx="82">
                  <c:v>0.55800000000000005</c:v>
                </c:pt>
                <c:pt idx="83">
                  <c:v>0.55800000000000005</c:v>
                </c:pt>
                <c:pt idx="84">
                  <c:v>0.55800000000000005</c:v>
                </c:pt>
                <c:pt idx="85">
                  <c:v>0.55800000000000005</c:v>
                </c:pt>
                <c:pt idx="86">
                  <c:v>0.93300000000000005</c:v>
                </c:pt>
                <c:pt idx="87">
                  <c:v>0.93300000000000005</c:v>
                </c:pt>
                <c:pt idx="88">
                  <c:v>0.93300000000000005</c:v>
                </c:pt>
                <c:pt idx="89">
                  <c:v>0.93300000000000005</c:v>
                </c:pt>
                <c:pt idx="90">
                  <c:v>0.93600000000000005</c:v>
                </c:pt>
                <c:pt idx="91">
                  <c:v>0.93600000000000005</c:v>
                </c:pt>
                <c:pt idx="92">
                  <c:v>0.93600000000000005</c:v>
                </c:pt>
                <c:pt idx="93">
                  <c:v>0.93600000000000005</c:v>
                </c:pt>
                <c:pt idx="94">
                  <c:v>1.2150000000000001</c:v>
                </c:pt>
                <c:pt idx="95">
                  <c:v>1.2150000000000001</c:v>
                </c:pt>
                <c:pt idx="96">
                  <c:v>1.2150000000000001</c:v>
                </c:pt>
                <c:pt idx="97">
                  <c:v>1.2150000000000001</c:v>
                </c:pt>
                <c:pt idx="98">
                  <c:v>1.2150000000000001</c:v>
                </c:pt>
                <c:pt idx="99">
                  <c:v>1.2410000000000001</c:v>
                </c:pt>
                <c:pt idx="100">
                  <c:v>1.2410000000000001</c:v>
                </c:pt>
                <c:pt idx="101">
                  <c:v>1.2410000000000001</c:v>
                </c:pt>
                <c:pt idx="102">
                  <c:v>1.2410000000000001</c:v>
                </c:pt>
                <c:pt idx="103">
                  <c:v>1.429</c:v>
                </c:pt>
                <c:pt idx="104">
                  <c:v>1.429</c:v>
                </c:pt>
                <c:pt idx="105">
                  <c:v>1.429</c:v>
                </c:pt>
                <c:pt idx="106">
                  <c:v>1.429</c:v>
                </c:pt>
                <c:pt idx="107">
                  <c:v>1.3959999999999999</c:v>
                </c:pt>
                <c:pt idx="108">
                  <c:v>1.3959999999999999</c:v>
                </c:pt>
                <c:pt idx="109">
                  <c:v>1.3959999999999999</c:v>
                </c:pt>
                <c:pt idx="110">
                  <c:v>1.3959999999999999</c:v>
                </c:pt>
                <c:pt idx="111">
                  <c:v>0.99199999999999999</c:v>
                </c:pt>
                <c:pt idx="112">
                  <c:v>0.99199999999999999</c:v>
                </c:pt>
                <c:pt idx="113">
                  <c:v>0.99199999999999999</c:v>
                </c:pt>
                <c:pt idx="114">
                  <c:v>0.99199999999999999</c:v>
                </c:pt>
                <c:pt idx="115">
                  <c:v>0.57999999999999996</c:v>
                </c:pt>
                <c:pt idx="116">
                  <c:v>0.57999999999999996</c:v>
                </c:pt>
                <c:pt idx="117">
                  <c:v>0.57999999999999996</c:v>
                </c:pt>
                <c:pt idx="118">
                  <c:v>0.57999999999999996</c:v>
                </c:pt>
                <c:pt idx="119">
                  <c:v>0.57999999999999996</c:v>
                </c:pt>
                <c:pt idx="120">
                  <c:v>0.216</c:v>
                </c:pt>
                <c:pt idx="121">
                  <c:v>0.216</c:v>
                </c:pt>
                <c:pt idx="122">
                  <c:v>0.216</c:v>
                </c:pt>
                <c:pt idx="123">
                  <c:v>0.216</c:v>
                </c:pt>
                <c:pt idx="124">
                  <c:v>-0.27500000000000002</c:v>
                </c:pt>
                <c:pt idx="125">
                  <c:v>-0.27500000000000002</c:v>
                </c:pt>
                <c:pt idx="126">
                  <c:v>-0.27500000000000002</c:v>
                </c:pt>
                <c:pt idx="127">
                  <c:v>-0.27500000000000002</c:v>
                </c:pt>
                <c:pt idx="128">
                  <c:v>-0.69399999999999995</c:v>
                </c:pt>
                <c:pt idx="129">
                  <c:v>-0.69399999999999995</c:v>
                </c:pt>
                <c:pt idx="130">
                  <c:v>-0.69399999999999995</c:v>
                </c:pt>
                <c:pt idx="131">
                  <c:v>-0.69399999999999995</c:v>
                </c:pt>
                <c:pt idx="132">
                  <c:v>-0.95199999999999996</c:v>
                </c:pt>
                <c:pt idx="133">
                  <c:v>-0.95199999999999996</c:v>
                </c:pt>
                <c:pt idx="134">
                  <c:v>-0.95199999999999996</c:v>
                </c:pt>
                <c:pt idx="135">
                  <c:v>-0.95199999999999996</c:v>
                </c:pt>
                <c:pt idx="136">
                  <c:v>-0.88100000000000001</c:v>
                </c:pt>
                <c:pt idx="137">
                  <c:v>-0.88100000000000001</c:v>
                </c:pt>
                <c:pt idx="138">
                  <c:v>-0.88100000000000001</c:v>
                </c:pt>
                <c:pt idx="139">
                  <c:v>-0.88100000000000001</c:v>
                </c:pt>
                <c:pt idx="140">
                  <c:v>-0.88100000000000001</c:v>
                </c:pt>
                <c:pt idx="141">
                  <c:v>-0.47399999999999998</c:v>
                </c:pt>
                <c:pt idx="142">
                  <c:v>-0.47399999999999998</c:v>
                </c:pt>
                <c:pt idx="143">
                  <c:v>-0.47399999999999998</c:v>
                </c:pt>
                <c:pt idx="144">
                  <c:v>-0.47399999999999998</c:v>
                </c:pt>
                <c:pt idx="145">
                  <c:v>-0.36199999999999999</c:v>
                </c:pt>
                <c:pt idx="146">
                  <c:v>-0.36199999999999999</c:v>
                </c:pt>
                <c:pt idx="147">
                  <c:v>-0.36199999999999999</c:v>
                </c:pt>
                <c:pt idx="148">
                  <c:v>-0.36199999999999999</c:v>
                </c:pt>
                <c:pt idx="149">
                  <c:v>-0.44700000000000001</c:v>
                </c:pt>
                <c:pt idx="150">
                  <c:v>-0.44700000000000001</c:v>
                </c:pt>
                <c:pt idx="151">
                  <c:v>-0.44700000000000001</c:v>
                </c:pt>
                <c:pt idx="152">
                  <c:v>-0.44700000000000001</c:v>
                </c:pt>
                <c:pt idx="153">
                  <c:v>-0.44700000000000001</c:v>
                </c:pt>
                <c:pt idx="154">
                  <c:v>-0.35399999999999998</c:v>
                </c:pt>
                <c:pt idx="155">
                  <c:v>-0.35399999999999998</c:v>
                </c:pt>
                <c:pt idx="156">
                  <c:v>-0.35399999999999998</c:v>
                </c:pt>
                <c:pt idx="157">
                  <c:v>-0.35399999999999998</c:v>
                </c:pt>
                <c:pt idx="158">
                  <c:v>0.216</c:v>
                </c:pt>
                <c:pt idx="159">
                  <c:v>0.216</c:v>
                </c:pt>
                <c:pt idx="160">
                  <c:v>0.216</c:v>
                </c:pt>
                <c:pt idx="161">
                  <c:v>0.216</c:v>
                </c:pt>
                <c:pt idx="162">
                  <c:v>0.61099999999999999</c:v>
                </c:pt>
                <c:pt idx="163">
                  <c:v>0.61099999999999999</c:v>
                </c:pt>
                <c:pt idx="164">
                  <c:v>0.61099999999999999</c:v>
                </c:pt>
                <c:pt idx="165">
                  <c:v>0.61099999999999999</c:v>
                </c:pt>
                <c:pt idx="166">
                  <c:v>0.67600000000000005</c:v>
                </c:pt>
                <c:pt idx="167">
                  <c:v>0.67600000000000005</c:v>
                </c:pt>
                <c:pt idx="168">
                  <c:v>0.67600000000000005</c:v>
                </c:pt>
                <c:pt idx="169">
                  <c:v>0.67600000000000005</c:v>
                </c:pt>
                <c:pt idx="170">
                  <c:v>0.64600000000000002</c:v>
                </c:pt>
                <c:pt idx="171">
                  <c:v>0.64600000000000002</c:v>
                </c:pt>
                <c:pt idx="172">
                  <c:v>0.64600000000000002</c:v>
                </c:pt>
                <c:pt idx="173">
                  <c:v>0.64600000000000002</c:v>
                </c:pt>
                <c:pt idx="174">
                  <c:v>0.64600000000000002</c:v>
                </c:pt>
                <c:pt idx="175">
                  <c:v>0.46500000000000002</c:v>
                </c:pt>
                <c:pt idx="176">
                  <c:v>0.46500000000000002</c:v>
                </c:pt>
                <c:pt idx="177">
                  <c:v>0.46500000000000002</c:v>
                </c:pt>
                <c:pt idx="178">
                  <c:v>0.46500000000000002</c:v>
                </c:pt>
                <c:pt idx="179">
                  <c:v>0.157</c:v>
                </c:pt>
                <c:pt idx="180">
                  <c:v>0.157</c:v>
                </c:pt>
                <c:pt idx="181">
                  <c:v>0.157</c:v>
                </c:pt>
                <c:pt idx="182">
                  <c:v>0.157</c:v>
                </c:pt>
                <c:pt idx="183">
                  <c:v>0.157</c:v>
                </c:pt>
                <c:pt idx="184">
                  <c:v>-0.13800000000000001</c:v>
                </c:pt>
                <c:pt idx="185">
                  <c:v>-0.13800000000000001</c:v>
                </c:pt>
                <c:pt idx="186">
                  <c:v>-0.13800000000000001</c:v>
                </c:pt>
                <c:pt idx="187">
                  <c:v>-0.13800000000000001</c:v>
                </c:pt>
                <c:pt idx="188">
                  <c:v>-0.13700000000000001</c:v>
                </c:pt>
                <c:pt idx="189">
                  <c:v>-0.13700000000000001</c:v>
                </c:pt>
                <c:pt idx="190">
                  <c:v>-0.13700000000000001</c:v>
                </c:pt>
                <c:pt idx="191">
                  <c:v>-0.13700000000000001</c:v>
                </c:pt>
                <c:pt idx="192">
                  <c:v>0.13700000000000001</c:v>
                </c:pt>
                <c:pt idx="193">
                  <c:v>0.13700000000000001</c:v>
                </c:pt>
                <c:pt idx="194">
                  <c:v>0.13700000000000001</c:v>
                </c:pt>
                <c:pt idx="195">
                  <c:v>0.13700000000000001</c:v>
                </c:pt>
                <c:pt idx="196">
                  <c:v>0.13700000000000001</c:v>
                </c:pt>
                <c:pt idx="197">
                  <c:v>0.372</c:v>
                </c:pt>
                <c:pt idx="198">
                  <c:v>0.372</c:v>
                </c:pt>
                <c:pt idx="199">
                  <c:v>0.372</c:v>
                </c:pt>
                <c:pt idx="200">
                  <c:v>0.372</c:v>
                </c:pt>
                <c:pt idx="201">
                  <c:v>0.60799999999999998</c:v>
                </c:pt>
                <c:pt idx="202">
                  <c:v>0.60799999999999998</c:v>
                </c:pt>
                <c:pt idx="203">
                  <c:v>0.60799999999999998</c:v>
                </c:pt>
                <c:pt idx="204">
                  <c:v>0.60799999999999998</c:v>
                </c:pt>
                <c:pt idx="205">
                  <c:v>0.87</c:v>
                </c:pt>
                <c:pt idx="206">
                  <c:v>0.87</c:v>
                </c:pt>
                <c:pt idx="207">
                  <c:v>0.87</c:v>
                </c:pt>
                <c:pt idx="208">
                  <c:v>0.87</c:v>
                </c:pt>
                <c:pt idx="209">
                  <c:v>1.042</c:v>
                </c:pt>
                <c:pt idx="210">
                  <c:v>1.042</c:v>
                </c:pt>
                <c:pt idx="211">
                  <c:v>1.042</c:v>
                </c:pt>
                <c:pt idx="212">
                  <c:v>1.042</c:v>
                </c:pt>
                <c:pt idx="213">
                  <c:v>1.042</c:v>
                </c:pt>
                <c:pt idx="214">
                  <c:v>1.077</c:v>
                </c:pt>
                <c:pt idx="215">
                  <c:v>1.077</c:v>
                </c:pt>
                <c:pt idx="216">
                  <c:v>1.077</c:v>
                </c:pt>
                <c:pt idx="217">
                  <c:v>1.169</c:v>
                </c:pt>
                <c:pt idx="218">
                  <c:v>1.169</c:v>
                </c:pt>
                <c:pt idx="219">
                  <c:v>0.872</c:v>
                </c:pt>
                <c:pt idx="220">
                  <c:v>0.872</c:v>
                </c:pt>
                <c:pt idx="221">
                  <c:v>0.45200000000000001</c:v>
                </c:pt>
                <c:pt idx="222">
                  <c:v>0.45200000000000001</c:v>
                </c:pt>
                <c:pt idx="223">
                  <c:v>9.5000000000000001E-2</c:v>
                </c:pt>
                <c:pt idx="224">
                  <c:v>9.5000000000000001E-2</c:v>
                </c:pt>
                <c:pt idx="225">
                  <c:v>-0.54</c:v>
                </c:pt>
                <c:pt idx="226">
                  <c:v>-0.54</c:v>
                </c:pt>
                <c:pt idx="227">
                  <c:v>-1.036</c:v>
                </c:pt>
                <c:pt idx="228">
                  <c:v>-1.036</c:v>
                </c:pt>
                <c:pt idx="229">
                  <c:v>-1.3220000000000001</c:v>
                </c:pt>
                <c:pt idx="230">
                  <c:v>-1.3220000000000001</c:v>
                </c:pt>
                <c:pt idx="231">
                  <c:v>-1.5640000000000001</c:v>
                </c:pt>
                <c:pt idx="232">
                  <c:v>-1.5640000000000001</c:v>
                </c:pt>
                <c:pt idx="233">
                  <c:v>-1.411</c:v>
                </c:pt>
                <c:pt idx="234">
                  <c:v>-1.411</c:v>
                </c:pt>
                <c:pt idx="235">
                  <c:v>-1.657</c:v>
                </c:pt>
                <c:pt idx="236">
                  <c:v>-1.657</c:v>
                </c:pt>
                <c:pt idx="237">
                  <c:v>-1.67</c:v>
                </c:pt>
                <c:pt idx="238">
                  <c:v>-1.67</c:v>
                </c:pt>
                <c:pt idx="239">
                  <c:v>-0.89100000000000001</c:v>
                </c:pt>
                <c:pt idx="240">
                  <c:v>-0.89100000000000001</c:v>
                </c:pt>
                <c:pt idx="241">
                  <c:v>-0.105</c:v>
                </c:pt>
                <c:pt idx="242">
                  <c:v>-0.105</c:v>
                </c:pt>
                <c:pt idx="243">
                  <c:v>0.38800000000000001</c:v>
                </c:pt>
                <c:pt idx="244">
                  <c:v>0.38800000000000001</c:v>
                </c:pt>
                <c:pt idx="245">
                  <c:v>0.35299999999999998</c:v>
                </c:pt>
                <c:pt idx="246">
                  <c:v>0.35299999999999998</c:v>
                </c:pt>
                <c:pt idx="247">
                  <c:v>0.222</c:v>
                </c:pt>
                <c:pt idx="248">
                  <c:v>0.222</c:v>
                </c:pt>
                <c:pt idx="249">
                  <c:v>-0.20399999999999999</c:v>
                </c:pt>
                <c:pt idx="251" formatCode="General">
                  <c:v>-0.20399999999999999</c:v>
                </c:pt>
                <c:pt idx="252" formatCode="General">
                  <c:v>-0.57399999999999995</c:v>
                </c:pt>
                <c:pt idx="253" formatCode="General">
                  <c:v>-0.57399999999999995</c:v>
                </c:pt>
                <c:pt idx="254" formatCode="General">
                  <c:v>-0.221</c:v>
                </c:pt>
                <c:pt idx="255" formatCode="General">
                  <c:v>-0.221</c:v>
                </c:pt>
                <c:pt idx="256" formatCode="General">
                  <c:v>2.4E-2</c:v>
                </c:pt>
                <c:pt idx="257" formatCode="General">
                  <c:v>2.4E-2</c:v>
                </c:pt>
                <c:pt idx="258" formatCode="General">
                  <c:v>4.0000000000000001E-3</c:v>
                </c:pt>
                <c:pt idx="259" formatCode="General">
                  <c:v>4.0000000000000001E-3</c:v>
                </c:pt>
                <c:pt idx="260" formatCode="General">
                  <c:v>-0.14899999999999999</c:v>
                </c:pt>
                <c:pt idx="261" formatCode="General">
                  <c:v>-0.14899999999999999</c:v>
                </c:pt>
                <c:pt idx="262" formatCode="General">
                  <c:v>-0.41699999999999998</c:v>
                </c:pt>
                <c:pt idx="263" formatCode="General">
                  <c:v>-0.41699999999999998</c:v>
                </c:pt>
                <c:pt idx="264" formatCode="General">
                  <c:v>-0.68700000000000006</c:v>
                </c:pt>
                <c:pt idx="265" formatCode="General">
                  <c:v>-0.68700000000000006</c:v>
                </c:pt>
                <c:pt idx="266" formatCode="General">
                  <c:v>-1.0129999999999999</c:v>
                </c:pt>
                <c:pt idx="267" formatCode="General">
                  <c:v>-1.0129999999999999</c:v>
                </c:pt>
                <c:pt idx="268" formatCode="General">
                  <c:v>-0.96599999999999997</c:v>
                </c:pt>
                <c:pt idx="269" formatCode="General">
                  <c:v>-0.96599999999999997</c:v>
                </c:pt>
                <c:pt idx="270" formatCode="General">
                  <c:v>-1.234</c:v>
                </c:pt>
                <c:pt idx="271" formatCode="General">
                  <c:v>-1.234</c:v>
                </c:pt>
                <c:pt idx="272" formatCode="General">
                  <c:v>-1.62</c:v>
                </c:pt>
                <c:pt idx="273" formatCode="General">
                  <c:v>-1.62</c:v>
                </c:pt>
                <c:pt idx="274" formatCode="General">
                  <c:v>-1.6439999999999999</c:v>
                </c:pt>
                <c:pt idx="275" formatCode="General">
                  <c:v>-1.6439999999999999</c:v>
                </c:pt>
                <c:pt idx="276" formatCode="General">
                  <c:v>-1.5249999999999999</c:v>
                </c:pt>
                <c:pt idx="277" formatCode="General">
                  <c:v>-1.5249999999999999</c:v>
                </c:pt>
                <c:pt idx="278" formatCode="General">
                  <c:v>-1.4370000000000001</c:v>
                </c:pt>
                <c:pt idx="279" formatCode="General">
                  <c:v>-1.4370000000000001</c:v>
                </c:pt>
                <c:pt idx="280" formatCode="General">
                  <c:v>-1.341</c:v>
                </c:pt>
                <c:pt idx="281" formatCode="General">
                  <c:v>-1.341</c:v>
                </c:pt>
                <c:pt idx="282" formatCode="General">
                  <c:v>-1.1719999999999999</c:v>
                </c:pt>
                <c:pt idx="283" formatCode="General">
                  <c:v>-1.1719999999999999</c:v>
                </c:pt>
                <c:pt idx="284" formatCode="General">
                  <c:v>-1.1719999999999999</c:v>
                </c:pt>
                <c:pt idx="285" formatCode="General">
                  <c:v>-1.091</c:v>
                </c:pt>
                <c:pt idx="286" formatCode="General">
                  <c:v>-0.75700000000000001</c:v>
                </c:pt>
                <c:pt idx="287" formatCode="General">
                  <c:v>-0.75700000000000001</c:v>
                </c:pt>
                <c:pt idx="288" formatCode="General">
                  <c:v>-0.75</c:v>
                </c:pt>
                <c:pt idx="289" formatCode="General">
                  <c:v>-0.75</c:v>
                </c:pt>
                <c:pt idx="290" formatCode="General">
                  <c:v>-0.75</c:v>
                </c:pt>
                <c:pt idx="291" formatCode="General">
                  <c:v>-0.80700000000000005</c:v>
                </c:pt>
                <c:pt idx="292" formatCode="General">
                  <c:v>-1.022</c:v>
                </c:pt>
                <c:pt idx="293" formatCode="General">
                  <c:v>-1.022</c:v>
                </c:pt>
                <c:pt idx="294" formatCode="General">
                  <c:v>-1.246</c:v>
                </c:pt>
                <c:pt idx="295" formatCode="General">
                  <c:v>-1.246</c:v>
                </c:pt>
                <c:pt idx="296" formatCode="General">
                  <c:v>-1.4410000000000001</c:v>
                </c:pt>
                <c:pt idx="297" formatCode="General">
                  <c:v>-1.4410000000000001</c:v>
                </c:pt>
                <c:pt idx="298" formatCode="General">
                  <c:v>-1.516</c:v>
                </c:pt>
                <c:pt idx="299" formatCode="General">
                  <c:v>-1.516</c:v>
                </c:pt>
                <c:pt idx="300" formatCode="General">
                  <c:v>-1.476</c:v>
                </c:pt>
                <c:pt idx="301" formatCode="General">
                  <c:v>-1.476</c:v>
                </c:pt>
                <c:pt idx="302" formatCode="General">
                  <c:v>-1.476</c:v>
                </c:pt>
                <c:pt idx="303" formatCode="General">
                  <c:v>-1.056</c:v>
                </c:pt>
                <c:pt idx="304" formatCode="General">
                  <c:v>-0.64900000000000002</c:v>
                </c:pt>
                <c:pt idx="305" formatCode="General">
                  <c:v>-0.64900000000000002</c:v>
                </c:pt>
                <c:pt idx="306" formatCode="General">
                  <c:v>-0.68</c:v>
                </c:pt>
                <c:pt idx="307" formatCode="General">
                  <c:v>-0.68</c:v>
                </c:pt>
                <c:pt idx="308" formatCode="General">
                  <c:v>-0.68</c:v>
                </c:pt>
                <c:pt idx="309" formatCode="General">
                  <c:v>-0.77400000000000002</c:v>
                </c:pt>
                <c:pt idx="310" formatCode="General">
                  <c:v>-0.873</c:v>
                </c:pt>
                <c:pt idx="311" formatCode="General">
                  <c:v>-0.873</c:v>
                </c:pt>
                <c:pt idx="312" formatCode="General">
                  <c:v>-1.002</c:v>
                </c:pt>
                <c:pt idx="313" formatCode="General">
                  <c:v>-1.002</c:v>
                </c:pt>
                <c:pt idx="314" formatCode="General">
                  <c:v>-1.2110000000000001</c:v>
                </c:pt>
                <c:pt idx="315" formatCode="General">
                  <c:v>-1.2110000000000001</c:v>
                </c:pt>
                <c:pt idx="316" formatCode="General">
                  <c:v>-1.341</c:v>
                </c:pt>
                <c:pt idx="317" formatCode="General">
                  <c:v>-1.341</c:v>
                </c:pt>
                <c:pt idx="318" formatCode="General">
                  <c:v>-1.595</c:v>
                </c:pt>
                <c:pt idx="319" formatCode="General">
                  <c:v>-1.595</c:v>
                </c:pt>
                <c:pt idx="320" formatCode="General">
                  <c:v>-1.595</c:v>
                </c:pt>
                <c:pt idx="321" formatCode="General">
                  <c:v>-1.325</c:v>
                </c:pt>
                <c:pt idx="322" formatCode="General">
                  <c:v>-1.325</c:v>
                </c:pt>
                <c:pt idx="323" formatCode="General">
                  <c:v>-1.325</c:v>
                </c:pt>
                <c:pt idx="324" formatCode="General">
                  <c:v>-1.2989999999999999</c:v>
                </c:pt>
                <c:pt idx="325" formatCode="General">
                  <c:v>-1.2989999999999999</c:v>
                </c:pt>
                <c:pt idx="326" formatCode="General">
                  <c:v>-1.2809999999999999</c:v>
                </c:pt>
                <c:pt idx="327" formatCode="General">
                  <c:v>-1.2809999999999999</c:v>
                </c:pt>
                <c:pt idx="328" formatCode="General">
                  <c:v>-1.2809999999999999</c:v>
                </c:pt>
                <c:pt idx="329" formatCode="General">
                  <c:v>-1.1830000000000001</c:v>
                </c:pt>
                <c:pt idx="330" formatCode="General">
                  <c:v>-1.2509999999999999</c:v>
                </c:pt>
                <c:pt idx="331" formatCode="General">
                  <c:v>-1.2509999999999999</c:v>
                </c:pt>
                <c:pt idx="332" formatCode="General">
                  <c:v>-1.2509999999999999</c:v>
                </c:pt>
                <c:pt idx="333" formatCode="General">
                  <c:v>-1.3380000000000001</c:v>
                </c:pt>
                <c:pt idx="334" formatCode="General">
                  <c:v>-1.3440000000000001</c:v>
                </c:pt>
                <c:pt idx="335" formatCode="General">
                  <c:v>-1.3440000000000001</c:v>
                </c:pt>
                <c:pt idx="336" formatCode="General">
                  <c:v>-1.137</c:v>
                </c:pt>
                <c:pt idx="337" formatCode="General">
                  <c:v>-1.137</c:v>
                </c:pt>
                <c:pt idx="338" formatCode="General">
                  <c:v>-1.137</c:v>
                </c:pt>
                <c:pt idx="339" formatCode="General">
                  <c:v>-0.94399999999999995</c:v>
                </c:pt>
                <c:pt idx="340" formatCode="General">
                  <c:v>-0.94399999999999995</c:v>
                </c:pt>
                <c:pt idx="341" formatCode="General">
                  <c:v>-0.91700000000000004</c:v>
                </c:pt>
                <c:pt idx="342" formatCode="General">
                  <c:v>-0.96399999999999997</c:v>
                </c:pt>
                <c:pt idx="343" formatCode="General">
                  <c:v>-0.96399999999999997</c:v>
                </c:pt>
                <c:pt idx="344" formatCode="General">
                  <c:v>-0.96399999999999997</c:v>
                </c:pt>
                <c:pt idx="345" formatCode="General">
                  <c:v>-0.88100000000000001</c:v>
                </c:pt>
                <c:pt idx="346" formatCode="General">
                  <c:v>-0.88100000000000001</c:v>
                </c:pt>
                <c:pt idx="347" formatCode="General">
                  <c:v>-0.92700000000000005</c:v>
                </c:pt>
                <c:pt idx="348" formatCode="General">
                  <c:v>-0.92700000000000005</c:v>
                </c:pt>
                <c:pt idx="349" formatCode="General">
                  <c:v>-0.94499999999999995</c:v>
                </c:pt>
                <c:pt idx="350" formatCode="General">
                  <c:v>-0.94499999999999995</c:v>
                </c:pt>
                <c:pt idx="351" formatCode="General">
                  <c:v>-1.0289999999999999</c:v>
                </c:pt>
                <c:pt idx="352" formatCode="General">
                  <c:v>-1.0289999999999999</c:v>
                </c:pt>
                <c:pt idx="353" formatCode="General">
                  <c:v>-1.2310000000000001</c:v>
                </c:pt>
                <c:pt idx="354" formatCode="General">
                  <c:v>-1.3080000000000001</c:v>
                </c:pt>
                <c:pt idx="355" formatCode="General">
                  <c:v>-1.3080000000000001</c:v>
                </c:pt>
                <c:pt idx="356" formatCode="General">
                  <c:v>-1.3080000000000001</c:v>
                </c:pt>
                <c:pt idx="357" formatCode="General">
                  <c:v>-1.242</c:v>
                </c:pt>
                <c:pt idx="358" formatCode="General">
                  <c:v>-1.242</c:v>
                </c:pt>
                <c:pt idx="359" formatCode="General">
                  <c:v>-1.1859999999999999</c:v>
                </c:pt>
                <c:pt idx="360" formatCode="General">
                  <c:v>-1.1859999999999999</c:v>
                </c:pt>
                <c:pt idx="361" formatCode="General">
                  <c:v>-1.2929999999999999</c:v>
                </c:pt>
                <c:pt idx="362" formatCode="General">
                  <c:v>-1.2929999999999999</c:v>
                </c:pt>
                <c:pt idx="363" formatCode="General">
                  <c:v>-1.1319999999999999</c:v>
                </c:pt>
                <c:pt idx="364" formatCode="General">
                  <c:v>-1.1319999999999999</c:v>
                </c:pt>
                <c:pt idx="365" formatCode="General">
                  <c:v>-1.0229999999999999</c:v>
                </c:pt>
                <c:pt idx="366" formatCode="General">
                  <c:v>-1.0229999999999999</c:v>
                </c:pt>
                <c:pt idx="367" formatCode="General">
                  <c:v>-1.0409999999999999</c:v>
                </c:pt>
                <c:pt idx="368" formatCode="General">
                  <c:v>-1.0409999999999999</c:v>
                </c:pt>
                <c:pt idx="369" formatCode="General">
                  <c:v>-1.069</c:v>
                </c:pt>
                <c:pt idx="370" formatCode="General">
                  <c:v>-1.069</c:v>
                </c:pt>
                <c:pt idx="371" formatCode="General">
                  <c:v>-1.337</c:v>
                </c:pt>
                <c:pt idx="372" formatCode="General">
                  <c:v>-1.3640000000000001</c:v>
                </c:pt>
                <c:pt idx="373" formatCode="General">
                  <c:v>-1.3640000000000001</c:v>
                </c:pt>
                <c:pt idx="374" formatCode="General">
                  <c:v>-1.3640000000000001</c:v>
                </c:pt>
                <c:pt idx="375" formatCode="General">
                  <c:v>-1.375</c:v>
                </c:pt>
                <c:pt idx="376" formatCode="General">
                  <c:v>-1.375</c:v>
                </c:pt>
                <c:pt idx="377" formatCode="General">
                  <c:v>-1.43</c:v>
                </c:pt>
                <c:pt idx="378" formatCode="General">
                  <c:v>-1.43</c:v>
                </c:pt>
                <c:pt idx="379" formatCode="General">
                  <c:v>-1.4019999999999999</c:v>
                </c:pt>
                <c:pt idx="380" formatCode="General">
                  <c:v>-1.4019999999999999</c:v>
                </c:pt>
                <c:pt idx="381" formatCode="General">
                  <c:v>-1.2749999999999999</c:v>
                </c:pt>
                <c:pt idx="382" formatCode="General">
                  <c:v>-1.2749999999999999</c:v>
                </c:pt>
                <c:pt idx="383" formatCode="General">
                  <c:v>-1.3440000000000001</c:v>
                </c:pt>
                <c:pt idx="384" formatCode="General">
                  <c:v>-1.3440000000000001</c:v>
                </c:pt>
                <c:pt idx="385" formatCode="General">
                  <c:v>-1.244</c:v>
                </c:pt>
                <c:pt idx="386" formatCode="General">
                  <c:v>-1.244</c:v>
                </c:pt>
                <c:pt idx="387" formatCode="General">
                  <c:v>-1.2749999999999999</c:v>
                </c:pt>
                <c:pt idx="388" formatCode="General">
                  <c:v>-1.2749999999999999</c:v>
                </c:pt>
                <c:pt idx="389" formatCode="General">
                  <c:v>-1.4830000000000001</c:v>
                </c:pt>
                <c:pt idx="390" formatCode="General">
                  <c:v>-1.4830000000000001</c:v>
                </c:pt>
                <c:pt idx="391" formatCode="General">
                  <c:v>-1.377</c:v>
                </c:pt>
                <c:pt idx="392" formatCode="General">
                  <c:v>-1.377</c:v>
                </c:pt>
                <c:pt idx="393" formatCode="General">
                  <c:v>-1.1000000000000001</c:v>
                </c:pt>
                <c:pt idx="394" formatCode="General">
                  <c:v>-1.1000000000000001</c:v>
                </c:pt>
                <c:pt idx="395" formatCode="General">
                  <c:v>-1.044</c:v>
                </c:pt>
                <c:pt idx="396" formatCode="General">
                  <c:v>-1.044</c:v>
                </c:pt>
                <c:pt idx="397" formatCode="General">
                  <c:v>-1.236</c:v>
                </c:pt>
                <c:pt idx="398" formatCode="General">
                  <c:v>-1.236</c:v>
                </c:pt>
                <c:pt idx="399" formatCode="General">
                  <c:v>-1.325</c:v>
                </c:pt>
                <c:pt idx="400" formatCode="General">
                  <c:v>-1.325</c:v>
                </c:pt>
                <c:pt idx="401" formatCode="General">
                  <c:v>-1.381</c:v>
                </c:pt>
                <c:pt idx="402" formatCode="General">
                  <c:v>-1.381</c:v>
                </c:pt>
                <c:pt idx="403" formatCode="General">
                  <c:v>-1.357</c:v>
                </c:pt>
                <c:pt idx="404" formatCode="General">
                  <c:v>-1.357</c:v>
                </c:pt>
                <c:pt idx="405" formatCode="General">
                  <c:v>-1.3220000000000001</c:v>
                </c:pt>
                <c:pt idx="406" formatCode="General">
                  <c:v>-1.3220000000000001</c:v>
                </c:pt>
                <c:pt idx="407" formatCode="General">
                  <c:v>-1.39</c:v>
                </c:pt>
                <c:pt idx="408" formatCode="General">
                  <c:v>-1.39</c:v>
                </c:pt>
                <c:pt idx="409" formatCode="General">
                  <c:v>-1.2989999999999999</c:v>
                </c:pt>
                <c:pt idx="410" formatCode="General">
                  <c:v>-1.2989999999999999</c:v>
                </c:pt>
                <c:pt idx="411" formatCode="General">
                  <c:v>-1.4379999999999999</c:v>
                </c:pt>
                <c:pt idx="412" formatCode="General">
                  <c:v>-1.4379999999999999</c:v>
                </c:pt>
                <c:pt idx="413" formatCode="General">
                  <c:v>-1.504</c:v>
                </c:pt>
                <c:pt idx="414" formatCode="General">
                  <c:v>-1.504</c:v>
                </c:pt>
                <c:pt idx="415" formatCode="General">
                  <c:v>-1.5129999999999999</c:v>
                </c:pt>
                <c:pt idx="416" formatCode="General">
                  <c:v>-1.5129999999999999</c:v>
                </c:pt>
                <c:pt idx="417" formatCode="General">
                  <c:v>-1.5209999999999999</c:v>
                </c:pt>
                <c:pt idx="418" formatCode="General">
                  <c:v>-1.5209999999999999</c:v>
                </c:pt>
                <c:pt idx="419" formatCode="General">
                  <c:v>-1.5209999999999999</c:v>
                </c:pt>
                <c:pt idx="420" formatCode="General">
                  <c:v>-1.6759999999999999</c:v>
                </c:pt>
                <c:pt idx="421" formatCode="General">
                  <c:v>-1.6759999999999999</c:v>
                </c:pt>
                <c:pt idx="422" formatCode="General">
                  <c:v>-1.8879999999999999</c:v>
                </c:pt>
                <c:pt idx="423" formatCode="General">
                  <c:v>-1.8879999999999999</c:v>
                </c:pt>
                <c:pt idx="424" formatCode="General">
                  <c:v>-1.964</c:v>
                </c:pt>
                <c:pt idx="425" formatCode="General">
                  <c:v>-1.964</c:v>
                </c:pt>
                <c:pt idx="426" formatCode="General">
                  <c:v>-1.992</c:v>
                </c:pt>
                <c:pt idx="427" formatCode="General">
                  <c:v>-1.992</c:v>
                </c:pt>
                <c:pt idx="428" formatCode="General">
                  <c:v>-2.0830000000000002</c:v>
                </c:pt>
                <c:pt idx="429" formatCode="General">
                  <c:v>-2.0830000000000002</c:v>
                </c:pt>
                <c:pt idx="430" formatCode="General">
                  <c:v>-2.048</c:v>
                </c:pt>
                <c:pt idx="431" formatCode="General">
                  <c:v>-2.048</c:v>
                </c:pt>
                <c:pt idx="432" formatCode="General">
                  <c:v>-1.8320000000000001</c:v>
                </c:pt>
                <c:pt idx="433" formatCode="General">
                  <c:v>-1.8320000000000001</c:v>
                </c:pt>
                <c:pt idx="434" formatCode="General">
                  <c:v>-1.643</c:v>
                </c:pt>
                <c:pt idx="435" formatCode="General">
                  <c:v>-1.643</c:v>
                </c:pt>
                <c:pt idx="436" formatCode="General">
                  <c:v>-1.806</c:v>
                </c:pt>
                <c:pt idx="437" formatCode="General">
                  <c:v>-1.806</c:v>
                </c:pt>
                <c:pt idx="438" formatCode="General">
                  <c:v>-1.883</c:v>
                </c:pt>
                <c:pt idx="439" formatCode="General">
                  <c:v>-1.883</c:v>
                </c:pt>
                <c:pt idx="440" formatCode="General">
                  <c:v>-2.2269999999999999</c:v>
                </c:pt>
                <c:pt idx="441" formatCode="General">
                  <c:v>-2.2269999999999999</c:v>
                </c:pt>
                <c:pt idx="442" formatCode="General">
                  <c:v>-2.33</c:v>
                </c:pt>
                <c:pt idx="443" formatCode="General">
                  <c:v>-2.33</c:v>
                </c:pt>
                <c:pt idx="444" formatCode="General">
                  <c:v>-2.355</c:v>
                </c:pt>
                <c:pt idx="445" formatCode="General">
                  <c:v>-2.355</c:v>
                </c:pt>
                <c:pt idx="446" formatCode="General">
                  <c:v>-2.395</c:v>
                </c:pt>
                <c:pt idx="447" formatCode="General">
                  <c:v>-2.395</c:v>
                </c:pt>
                <c:pt idx="448" formatCode="General">
                  <c:v>-2.3730000000000002</c:v>
                </c:pt>
                <c:pt idx="449" formatCode="General">
                  <c:v>-2.3730000000000002</c:v>
                </c:pt>
                <c:pt idx="450" formatCode="General">
                  <c:v>-2.355</c:v>
                </c:pt>
                <c:pt idx="451" formatCode="General">
                  <c:v>-2.355</c:v>
                </c:pt>
                <c:pt idx="452" formatCode="General">
                  <c:v>-2.4700000000000002</c:v>
                </c:pt>
                <c:pt idx="453" formatCode="General">
                  <c:v>-2.4700000000000002</c:v>
                </c:pt>
                <c:pt idx="454" formatCode="General">
                  <c:v>-2.4129999999999998</c:v>
                </c:pt>
                <c:pt idx="455" formatCode="General">
                  <c:v>-2.4129999999999998</c:v>
                </c:pt>
                <c:pt idx="456" formatCode="General">
                  <c:v>-2.35</c:v>
                </c:pt>
                <c:pt idx="457" formatCode="General">
                  <c:v>-2.35</c:v>
                </c:pt>
                <c:pt idx="458" formatCode="General">
                  <c:v>-2.427</c:v>
                </c:pt>
                <c:pt idx="459" formatCode="General">
                  <c:v>-2.427</c:v>
                </c:pt>
                <c:pt idx="460" formatCode="General">
                  <c:v>-2.3769999999999998</c:v>
                </c:pt>
                <c:pt idx="461" formatCode="General">
                  <c:v>-2.3769999999999998</c:v>
                </c:pt>
                <c:pt idx="462" formatCode="General">
                  <c:v>-2.4710000000000001</c:v>
                </c:pt>
                <c:pt idx="463" formatCode="General">
                  <c:v>-2.4710000000000001</c:v>
                </c:pt>
                <c:pt idx="464" formatCode="General">
                  <c:v>-2.5259999999999998</c:v>
                </c:pt>
                <c:pt idx="465" formatCode="General">
                  <c:v>-2.5259999999999998</c:v>
                </c:pt>
                <c:pt idx="466" formatCode="General">
                  <c:v>-2.4950000000000001</c:v>
                </c:pt>
                <c:pt idx="467" formatCode="General">
                  <c:v>-2.4950000000000001</c:v>
                </c:pt>
                <c:pt idx="468" formatCode="General">
                  <c:v>-2.63</c:v>
                </c:pt>
                <c:pt idx="469" formatCode="General">
                  <c:v>-2.63</c:v>
                </c:pt>
                <c:pt idx="470" formatCode="General">
                  <c:v>-2.617</c:v>
                </c:pt>
                <c:pt idx="471" formatCode="General">
                  <c:v>-2.617</c:v>
                </c:pt>
                <c:pt idx="472" formatCode="General">
                  <c:v>-2.3650000000000002</c:v>
                </c:pt>
                <c:pt idx="473" formatCode="General">
                  <c:v>-2.3650000000000002</c:v>
                </c:pt>
                <c:pt idx="474" formatCode="General">
                  <c:v>-2.1779999999999999</c:v>
                </c:pt>
                <c:pt idx="475" formatCode="General">
                  <c:v>-2.1779999999999999</c:v>
                </c:pt>
                <c:pt idx="476" formatCode="General">
                  <c:v>-2.1669999999999998</c:v>
                </c:pt>
                <c:pt idx="477" formatCode="General">
                  <c:v>-2.1669999999999998</c:v>
                </c:pt>
                <c:pt idx="478" formatCode="General">
                  <c:v>-2.4620000000000002</c:v>
                </c:pt>
                <c:pt idx="479" formatCode="General">
                  <c:v>-2.4620000000000002</c:v>
                </c:pt>
                <c:pt idx="480" formatCode="General">
                  <c:v>-2.298</c:v>
                </c:pt>
                <c:pt idx="481" formatCode="General">
                  <c:v>-2.298</c:v>
                </c:pt>
                <c:pt idx="482" formatCode="General">
                  <c:v>-2.1379999999999999</c:v>
                </c:pt>
                <c:pt idx="483" formatCode="General">
                  <c:v>-2.1379999999999999</c:v>
                </c:pt>
                <c:pt idx="484" formatCode="General">
                  <c:v>-2.0750000000000002</c:v>
                </c:pt>
                <c:pt idx="485" formatCode="General">
                  <c:v>-2.0750000000000002</c:v>
                </c:pt>
                <c:pt idx="486" formatCode="General">
                  <c:v>-2.1379999999999999</c:v>
                </c:pt>
                <c:pt idx="487" formatCode="General">
                  <c:v>-2.1379999999999999</c:v>
                </c:pt>
                <c:pt idx="488" formatCode="General">
                  <c:v>-2.177</c:v>
                </c:pt>
                <c:pt idx="489" formatCode="General">
                  <c:v>-2.177</c:v>
                </c:pt>
                <c:pt idx="490" formatCode="General">
                  <c:v>-2.161</c:v>
                </c:pt>
                <c:pt idx="491" formatCode="General">
                  <c:v>-2.161</c:v>
                </c:pt>
                <c:pt idx="492" formatCode="General">
                  <c:v>-2.1819999999999999</c:v>
                </c:pt>
                <c:pt idx="493" formatCode="General">
                  <c:v>-2.1819999999999999</c:v>
                </c:pt>
                <c:pt idx="494" formatCode="General">
                  <c:v>-2.23</c:v>
                </c:pt>
                <c:pt idx="495" formatCode="General">
                  <c:v>-2.23</c:v>
                </c:pt>
                <c:pt idx="496" formatCode="General">
                  <c:v>-2.1789999999999998</c:v>
                </c:pt>
                <c:pt idx="497" formatCode="General">
                  <c:v>-2.1789999999999998</c:v>
                </c:pt>
                <c:pt idx="498" formatCode="General">
                  <c:v>-2.2919999999999998</c:v>
                </c:pt>
                <c:pt idx="499" formatCode="General">
                  <c:v>-2.2919999999999998</c:v>
                </c:pt>
                <c:pt idx="500" formatCode="General">
                  <c:v>-2.2570000000000001</c:v>
                </c:pt>
                <c:pt idx="501" formatCode="General">
                  <c:v>-2.2570000000000001</c:v>
                </c:pt>
                <c:pt idx="502" formatCode="General">
                  <c:v>-2.27</c:v>
                </c:pt>
                <c:pt idx="503" formatCode="General">
                  <c:v>-2.27</c:v>
                </c:pt>
                <c:pt idx="504" formatCode="General">
                  <c:v>-2.34</c:v>
                </c:pt>
                <c:pt idx="505" formatCode="General">
                  <c:v>-2.34</c:v>
                </c:pt>
                <c:pt idx="506" formatCode="General">
                  <c:v>-2.581</c:v>
                </c:pt>
                <c:pt idx="507" formatCode="General">
                  <c:v>-2.581</c:v>
                </c:pt>
                <c:pt idx="508" formatCode="General">
                  <c:v>-2.5049999999999999</c:v>
                </c:pt>
                <c:pt idx="509" formatCode="General">
                  <c:v>-2.5049999999999999</c:v>
                </c:pt>
                <c:pt idx="510" formatCode="General">
                  <c:v>-2.5539999999999998</c:v>
                </c:pt>
                <c:pt idx="511" formatCode="General">
                  <c:v>-2.5539999999999998</c:v>
                </c:pt>
                <c:pt idx="512" formatCode="General">
                  <c:v>-2.6</c:v>
                </c:pt>
                <c:pt idx="513" formatCode="General">
                  <c:v>-2.6</c:v>
                </c:pt>
                <c:pt idx="514" formatCode="General">
                  <c:v>-2.722</c:v>
                </c:pt>
                <c:pt idx="515" formatCode="General">
                  <c:v>-2.722</c:v>
                </c:pt>
                <c:pt idx="516" formatCode="General">
                  <c:v>-2.8260000000000001</c:v>
                </c:pt>
                <c:pt idx="517" formatCode="General">
                  <c:v>-2.8260000000000001</c:v>
                </c:pt>
                <c:pt idx="518" formatCode="General">
                  <c:v>-2.6560000000000001</c:v>
                </c:pt>
                <c:pt idx="519" formatCode="General">
                  <c:v>-2.6560000000000001</c:v>
                </c:pt>
                <c:pt idx="520" formatCode="General">
                  <c:v>-2.3380000000000001</c:v>
                </c:pt>
                <c:pt idx="521" formatCode="General">
                  <c:v>-2.3380000000000001</c:v>
                </c:pt>
                <c:pt idx="522" formatCode="General">
                  <c:v>-2.4700000000000002</c:v>
                </c:pt>
                <c:pt idx="523" formatCode="General">
                  <c:v>-2.4700000000000002</c:v>
                </c:pt>
                <c:pt idx="524" formatCode="General">
                  <c:v>-2.3439999999999999</c:v>
                </c:pt>
                <c:pt idx="525" formatCode="General">
                  <c:v>-2.3439999999999999</c:v>
                </c:pt>
                <c:pt idx="527" formatCode="General">
                  <c:v>-2.1520000000000001</c:v>
                </c:pt>
                <c:pt idx="528" formatCode="General">
                  <c:v>-2.1520000000000001</c:v>
                </c:pt>
                <c:pt idx="529" formatCode="General">
                  <c:v>-1.9570000000000001</c:v>
                </c:pt>
                <c:pt idx="530" formatCode="General">
                  <c:v>-1.9570000000000001</c:v>
                </c:pt>
                <c:pt idx="531" formatCode="General">
                  <c:v>-1.9570000000000001</c:v>
                </c:pt>
                <c:pt idx="532" formatCode="General">
                  <c:v>-1.7150000000000001</c:v>
                </c:pt>
                <c:pt idx="533" formatCode="General">
                  <c:v>-1.377</c:v>
                </c:pt>
                <c:pt idx="534" formatCode="General">
                  <c:v>-1.377</c:v>
                </c:pt>
                <c:pt idx="535" formatCode="General">
                  <c:v>-0.98599999999999999</c:v>
                </c:pt>
                <c:pt idx="536" formatCode="General">
                  <c:v>-0.98599999999999999</c:v>
                </c:pt>
                <c:pt idx="537" formatCode="General">
                  <c:v>-0.46100000000000002</c:v>
                </c:pt>
                <c:pt idx="538" formatCode="General">
                  <c:v>-0.46100000000000002</c:v>
                </c:pt>
                <c:pt idx="539" formatCode="General">
                  <c:v>-0.28199999999999997</c:v>
                </c:pt>
                <c:pt idx="540" formatCode="General">
                  <c:v>-0.28199999999999997</c:v>
                </c:pt>
                <c:pt idx="541" formatCode="General">
                  <c:v>-0.19700000000000001</c:v>
                </c:pt>
                <c:pt idx="542" formatCode="General">
                  <c:v>-0.19700000000000001</c:v>
                </c:pt>
                <c:pt idx="543" formatCode="General">
                  <c:v>-0.19700000000000001</c:v>
                </c:pt>
                <c:pt idx="544" formatCode="General">
                  <c:v>-0.27900000000000003</c:v>
                </c:pt>
                <c:pt idx="545" formatCode="General">
                  <c:v>-5.3999999999999999E-2</c:v>
                </c:pt>
                <c:pt idx="546" formatCode="General">
                  <c:v>-5.3999999999999999E-2</c:v>
                </c:pt>
                <c:pt idx="547" formatCode="General">
                  <c:v>-8.4000000000000005E-2</c:v>
                </c:pt>
                <c:pt idx="548" formatCode="General">
                  <c:v>-8.4000000000000005E-2</c:v>
                </c:pt>
                <c:pt idx="549" formatCode="General">
                  <c:v>-8.4000000000000005E-2</c:v>
                </c:pt>
                <c:pt idx="550" formatCode="General">
                  <c:v>-2.8000000000000001E-2</c:v>
                </c:pt>
                <c:pt idx="551" formatCode="General">
                  <c:v>8.1000000000000003E-2</c:v>
                </c:pt>
                <c:pt idx="552" formatCode="General">
                  <c:v>8.1000000000000003E-2</c:v>
                </c:pt>
                <c:pt idx="553" formatCode="General">
                  <c:v>-0.10199999999999999</c:v>
                </c:pt>
                <c:pt idx="554" formatCode="General">
                  <c:v>-0.10199999999999999</c:v>
                </c:pt>
                <c:pt idx="555" formatCode="General">
                  <c:v>-0.10199999999999999</c:v>
                </c:pt>
                <c:pt idx="556" formatCode="General">
                  <c:v>-0.66600000000000004</c:v>
                </c:pt>
                <c:pt idx="557" formatCode="General">
                  <c:v>-0.66600000000000004</c:v>
                </c:pt>
                <c:pt idx="558" formatCode="General">
                  <c:v>-0.73699999999999999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94F-4A05-BAE1-41F5B2840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952688"/>
        <c:axId val="813951968"/>
      </c:scatterChart>
      <c:valAx>
        <c:axId val="809104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69760"/>
        <c:crosses val="autoZero"/>
        <c:crossBetween val="midCat"/>
      </c:valAx>
      <c:valAx>
        <c:axId val="46166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104904"/>
        <c:crosses val="autoZero"/>
        <c:crossBetween val="midCat"/>
      </c:valAx>
      <c:valAx>
        <c:axId val="81395196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52688"/>
        <c:crosses val="max"/>
        <c:crossBetween val="midCat"/>
      </c:valAx>
      <c:valAx>
        <c:axId val="813952688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813951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4"/>
          <c:order val="1"/>
          <c:tx>
            <c:strRef>
              <c:f>'Maju 0.05'!$AB$6</c:f>
              <c:strCache>
                <c:ptCount val="1"/>
                <c:pt idx="0">
                  <c:v>Int Vx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0.05'!$AB$7:$AB$565</c:f>
              <c:numCache>
                <c:formatCode>General</c:formatCode>
                <c:ptCount val="559"/>
                <c:pt idx="0">
                  <c:v>43.323</c:v>
                </c:pt>
                <c:pt idx="1">
                  <c:v>43.300248877672658</c:v>
                </c:pt>
                <c:pt idx="2">
                  <c:v>43.282997509170627</c:v>
                </c:pt>
                <c:pt idx="3">
                  <c:v>43.20479084359151</c:v>
                </c:pt>
                <c:pt idx="4">
                  <c:v>43.132346638345382</c:v>
                </c:pt>
                <c:pt idx="5">
                  <c:v>43.061850801227024</c:v>
                </c:pt>
                <c:pt idx="6">
                  <c:v>43.055083786786831</c:v>
                </c:pt>
                <c:pt idx="7">
                  <c:v>43.048592405375636</c:v>
                </c:pt>
                <c:pt idx="8">
                  <c:v>43.041761312794883</c:v>
                </c:pt>
                <c:pt idx="9">
                  <c:v>43.035356282900359</c:v>
                </c:pt>
                <c:pt idx="10">
                  <c:v>43.051730361199688</c:v>
                </c:pt>
                <c:pt idx="11">
                  <c:v>43.068724551217116</c:v>
                </c:pt>
                <c:pt idx="12">
                  <c:v>43.08561062083978</c:v>
                </c:pt>
                <c:pt idx="13">
                  <c:v>43.102084675678952</c:v>
                </c:pt>
                <c:pt idx="14">
                  <c:v>43.11934686282877</c:v>
                </c:pt>
                <c:pt idx="15">
                  <c:v>43.0380405486124</c:v>
                </c:pt>
                <c:pt idx="16">
                  <c:v>43.017241318456421</c:v>
                </c:pt>
                <c:pt idx="17">
                  <c:v>42.956168025164956</c:v>
                </c:pt>
                <c:pt idx="18">
                  <c:v>42.873791237622818</c:v>
                </c:pt>
                <c:pt idx="19">
                  <c:v>42.794722115385241</c:v>
                </c:pt>
                <c:pt idx="20">
                  <c:v>42.769803162284099</c:v>
                </c:pt>
                <c:pt idx="21">
                  <c:v>42.744582230292004</c:v>
                </c:pt>
                <c:pt idx="22">
                  <c:v>42.718683310134281</c:v>
                </c:pt>
                <c:pt idx="23">
                  <c:v>42.692635515685147</c:v>
                </c:pt>
                <c:pt idx="24">
                  <c:v>42.591407404466942</c:v>
                </c:pt>
                <c:pt idx="25">
                  <c:v>42.48437279747786</c:v>
                </c:pt>
                <c:pt idx="26">
                  <c:v>42.384000127780951</c:v>
                </c:pt>
                <c:pt idx="27">
                  <c:v>42.28144183418685</c:v>
                </c:pt>
                <c:pt idx="28">
                  <c:v>42.062177284108166</c:v>
                </c:pt>
                <c:pt idx="29">
                  <c:v>41.862736945959348</c:v>
                </c:pt>
                <c:pt idx="30">
                  <c:v>41.652490926411147</c:v>
                </c:pt>
                <c:pt idx="31">
                  <c:v>41.438112883768362</c:v>
                </c:pt>
                <c:pt idx="32">
                  <c:v>41.208412128677416</c:v>
                </c:pt>
                <c:pt idx="33">
                  <c:v>40.963458515921502</c:v>
                </c:pt>
                <c:pt idx="34">
                  <c:v>40.730517453835809</c:v>
                </c:pt>
                <c:pt idx="35">
                  <c:v>40.504393876804983</c:v>
                </c:pt>
                <c:pt idx="36">
                  <c:v>40.348434159976208</c:v>
                </c:pt>
                <c:pt idx="37">
                  <c:v>40.189442355374105</c:v>
                </c:pt>
                <c:pt idx="38">
                  <c:v>40.029028879096145</c:v>
                </c:pt>
                <c:pt idx="39">
                  <c:v>39.87033541244886</c:v>
                </c:pt>
                <c:pt idx="40">
                  <c:v>39.709820460674464</c:v>
                </c:pt>
                <c:pt idx="41">
                  <c:v>39.639465032655274</c:v>
                </c:pt>
                <c:pt idx="42">
                  <c:v>39.56296606280101</c:v>
                </c:pt>
                <c:pt idx="43">
                  <c:v>39.488607742971553</c:v>
                </c:pt>
                <c:pt idx="44">
                  <c:v>39.41185511227507</c:v>
                </c:pt>
                <c:pt idx="45">
                  <c:v>39.324523428655233</c:v>
                </c:pt>
                <c:pt idx="46">
                  <c:v>39.242636935879631</c:v>
                </c:pt>
                <c:pt idx="47">
                  <c:v>39.157490118656391</c:v>
                </c:pt>
                <c:pt idx="48">
                  <c:v>39.07051600841065</c:v>
                </c:pt>
                <c:pt idx="49">
                  <c:v>38.924744104068431</c:v>
                </c:pt>
                <c:pt idx="50">
                  <c:v>38.782980228714571</c:v>
                </c:pt>
                <c:pt idx="51">
                  <c:v>38.647272360597604</c:v>
                </c:pt>
                <c:pt idx="52">
                  <c:v>38.498011749123286</c:v>
                </c:pt>
                <c:pt idx="53">
                  <c:v>38.299366562174825</c:v>
                </c:pt>
                <c:pt idx="54">
                  <c:v>38.097248663396535</c:v>
                </c:pt>
                <c:pt idx="55">
                  <c:v>37.895011888100299</c:v>
                </c:pt>
                <c:pt idx="56">
                  <c:v>37.697378416181891</c:v>
                </c:pt>
                <c:pt idx="57">
                  <c:v>37.518198030789016</c:v>
                </c:pt>
                <c:pt idx="58">
                  <c:v>37.333940382328592</c:v>
                </c:pt>
                <c:pt idx="59">
                  <c:v>37.158856622913397</c:v>
                </c:pt>
                <c:pt idx="60">
                  <c:v>36.975643439998628</c:v>
                </c:pt>
                <c:pt idx="61">
                  <c:v>36.926890520194625</c:v>
                </c:pt>
                <c:pt idx="62">
                  <c:v>36.876204795273011</c:v>
                </c:pt>
                <c:pt idx="63">
                  <c:v>36.823536850685954</c:v>
                </c:pt>
                <c:pt idx="64">
                  <c:v>36.769911457853766</c:v>
                </c:pt>
                <c:pt idx="65">
                  <c:v>36.718721969894929</c:v>
                </c:pt>
                <c:pt idx="66">
                  <c:v>36.790073905293895</c:v>
                </c:pt>
                <c:pt idx="67">
                  <c:v>36.858866697167144</c:v>
                </c:pt>
                <c:pt idx="68">
                  <c:v>36.928079285453116</c:v>
                </c:pt>
                <c:pt idx="69">
                  <c:v>36.998559784491384</c:v>
                </c:pt>
                <c:pt idx="70">
                  <c:v>37.129895461929557</c:v>
                </c:pt>
                <c:pt idx="71">
                  <c:v>37.26043300880864</c:v>
                </c:pt>
                <c:pt idx="72">
                  <c:v>37.392476139595054</c:v>
                </c:pt>
                <c:pt idx="73">
                  <c:v>37.528399570735345</c:v>
                </c:pt>
                <c:pt idx="74">
                  <c:v>37.706486072791449</c:v>
                </c:pt>
                <c:pt idx="75">
                  <c:v>37.887422656754197</c:v>
                </c:pt>
                <c:pt idx="76">
                  <c:v>38.073674613617506</c:v>
                </c:pt>
                <c:pt idx="77">
                  <c:v>38.250715488130645</c:v>
                </c:pt>
                <c:pt idx="78">
                  <c:v>38.515767337951935</c:v>
                </c:pt>
                <c:pt idx="79">
                  <c:v>38.776603477537606</c:v>
                </c:pt>
                <c:pt idx="80">
                  <c:v>39.030341384083492</c:v>
                </c:pt>
                <c:pt idx="81">
                  <c:v>39.281751162585316</c:v>
                </c:pt>
                <c:pt idx="82">
                  <c:v>39.53784524689916</c:v>
                </c:pt>
                <c:pt idx="83">
                  <c:v>39.721887287312462</c:v>
                </c:pt>
                <c:pt idx="84">
                  <c:v>39.910270273488564</c:v>
                </c:pt>
                <c:pt idx="85">
                  <c:v>40.090306458693597</c:v>
                </c:pt>
                <c:pt idx="86">
                  <c:v>40.268272346692122</c:v>
                </c:pt>
                <c:pt idx="87">
                  <c:v>40.408870110585596</c:v>
                </c:pt>
                <c:pt idx="88">
                  <c:v>40.542709803764858</c:v>
                </c:pt>
                <c:pt idx="89">
                  <c:v>40.681368000495944</c:v>
                </c:pt>
                <c:pt idx="90">
                  <c:v>40.813040453303401</c:v>
                </c:pt>
                <c:pt idx="91">
                  <c:v>40.965691754996811</c:v>
                </c:pt>
                <c:pt idx="92">
                  <c:v>41.11856373149223</c:v>
                </c:pt>
                <c:pt idx="93">
                  <c:v>41.271221868248887</c:v>
                </c:pt>
                <c:pt idx="94">
                  <c:v>41.423820442338823</c:v>
                </c:pt>
                <c:pt idx="95">
                  <c:v>41.523551581442064</c:v>
                </c:pt>
                <c:pt idx="96">
                  <c:v>41.61994437152363</c:v>
                </c:pt>
                <c:pt idx="97">
                  <c:v>41.721571306798893</c:v>
                </c:pt>
                <c:pt idx="98">
                  <c:v>41.823883650325016</c:v>
                </c:pt>
                <c:pt idx="99">
                  <c:v>41.920554907887087</c:v>
                </c:pt>
                <c:pt idx="100">
                  <c:v>42.02079471317419</c:v>
                </c:pt>
                <c:pt idx="101">
                  <c:v>42.117325547455465</c:v>
                </c:pt>
                <c:pt idx="102">
                  <c:v>42.213025006716684</c:v>
                </c:pt>
                <c:pt idx="103">
                  <c:v>42.311494464907483</c:v>
                </c:pt>
                <c:pt idx="104">
                  <c:v>42.338666156709891</c:v>
                </c:pt>
                <c:pt idx="105">
                  <c:v>42.36610162055355</c:v>
                </c:pt>
                <c:pt idx="106">
                  <c:v>42.392858712749685</c:v>
                </c:pt>
                <c:pt idx="107">
                  <c:v>42.418365486707977</c:v>
                </c:pt>
                <c:pt idx="108">
                  <c:v>42.413441881416567</c:v>
                </c:pt>
                <c:pt idx="109">
                  <c:v>42.408642492520528</c:v>
                </c:pt>
                <c:pt idx="110">
                  <c:v>42.403987576004127</c:v>
                </c:pt>
                <c:pt idx="111">
                  <c:v>42.399151939557733</c:v>
                </c:pt>
                <c:pt idx="112">
                  <c:v>42.387066074899245</c:v>
                </c:pt>
                <c:pt idx="113">
                  <c:v>42.37483017541274</c:v>
                </c:pt>
                <c:pt idx="114">
                  <c:v>42.363152837463495</c:v>
                </c:pt>
                <c:pt idx="115">
                  <c:v>42.350999399278386</c:v>
                </c:pt>
                <c:pt idx="116">
                  <c:v>42.338445336382087</c:v>
                </c:pt>
                <c:pt idx="117">
                  <c:v>42.326486900386314</c:v>
                </c:pt>
                <c:pt idx="118">
                  <c:v>42.314034779311854</c:v>
                </c:pt>
                <c:pt idx="119">
                  <c:v>42.300844586563215</c:v>
                </c:pt>
                <c:pt idx="120">
                  <c:v>42.288377810345416</c:v>
                </c:pt>
                <c:pt idx="121">
                  <c:v>42.25607009352057</c:v>
                </c:pt>
                <c:pt idx="122">
                  <c:v>42.222728406549685</c:v>
                </c:pt>
                <c:pt idx="123">
                  <c:v>42.189060347040076</c:v>
                </c:pt>
                <c:pt idx="124">
                  <c:v>42.1570764710997</c:v>
                </c:pt>
                <c:pt idx="125">
                  <c:v>42.120657416481905</c:v>
                </c:pt>
                <c:pt idx="126">
                  <c:v>42.085285646645048</c:v>
                </c:pt>
                <c:pt idx="127">
                  <c:v>42.047779716761298</c:v>
                </c:pt>
                <c:pt idx="128">
                  <c:v>42.012052564096621</c:v>
                </c:pt>
                <c:pt idx="129">
                  <c:v>41.980075660744376</c:v>
                </c:pt>
                <c:pt idx="130">
                  <c:v>41.947776911196094</c:v>
                </c:pt>
                <c:pt idx="131">
                  <c:v>41.915987388318285</c:v>
                </c:pt>
                <c:pt idx="132">
                  <c:v>41.882495255482091</c:v>
                </c:pt>
                <c:pt idx="133">
                  <c:v>41.879342258515024</c:v>
                </c:pt>
                <c:pt idx="134">
                  <c:v>41.876432833122159</c:v>
                </c:pt>
                <c:pt idx="135">
                  <c:v>41.873406182575025</c:v>
                </c:pt>
                <c:pt idx="136">
                  <c:v>41.87044578540376</c:v>
                </c:pt>
                <c:pt idx="137">
                  <c:v>41.884867985345736</c:v>
                </c:pt>
                <c:pt idx="138">
                  <c:v>41.89870448394975</c:v>
                </c:pt>
                <c:pt idx="139">
                  <c:v>41.912992777506155</c:v>
                </c:pt>
                <c:pt idx="140">
                  <c:v>41.926906058996288</c:v>
                </c:pt>
                <c:pt idx="141">
                  <c:v>41.941250455989476</c:v>
                </c:pt>
                <c:pt idx="142">
                  <c:v>41.918462343588693</c:v>
                </c:pt>
                <c:pt idx="143">
                  <c:v>41.896559898341337</c:v>
                </c:pt>
                <c:pt idx="144">
                  <c:v>41.873799229552745</c:v>
                </c:pt>
                <c:pt idx="145">
                  <c:v>41.852062451766493</c:v>
                </c:pt>
                <c:pt idx="146">
                  <c:v>41.830642737812688</c:v>
                </c:pt>
                <c:pt idx="147">
                  <c:v>41.809246878255394</c:v>
                </c:pt>
                <c:pt idx="148">
                  <c:v>41.788035576401519</c:v>
                </c:pt>
                <c:pt idx="149">
                  <c:v>41.766538161283009</c:v>
                </c:pt>
                <c:pt idx="150">
                  <c:v>41.814595862158264</c:v>
                </c:pt>
                <c:pt idx="151">
                  <c:v>41.861490791658454</c:v>
                </c:pt>
                <c:pt idx="152">
                  <c:v>41.910655731339475</c:v>
                </c:pt>
                <c:pt idx="153">
                  <c:v>41.958844352578716</c:v>
                </c:pt>
                <c:pt idx="154">
                  <c:v>42.006857689445447</c:v>
                </c:pt>
                <c:pt idx="155">
                  <c:v>42.103706303393281</c:v>
                </c:pt>
                <c:pt idx="156">
                  <c:v>42.1966228278649</c:v>
                </c:pt>
                <c:pt idx="157">
                  <c:v>42.288940872738664</c:v>
                </c:pt>
                <c:pt idx="158">
                  <c:v>42.383334572891123</c:v>
                </c:pt>
                <c:pt idx="159">
                  <c:v>42.45399677375989</c:v>
                </c:pt>
                <c:pt idx="160">
                  <c:v>42.526953466164521</c:v>
                </c:pt>
                <c:pt idx="161">
                  <c:v>42.59908613923885</c:v>
                </c:pt>
                <c:pt idx="162">
                  <c:v>42.670045671436647</c:v>
                </c:pt>
                <c:pt idx="163">
                  <c:v>42.703787550931814</c:v>
                </c:pt>
                <c:pt idx="164">
                  <c:v>42.736713572823646</c:v>
                </c:pt>
                <c:pt idx="165">
                  <c:v>42.771887855892494</c:v>
                </c:pt>
                <c:pt idx="166">
                  <c:v>42.806587556541473</c:v>
                </c:pt>
                <c:pt idx="167">
                  <c:v>42.835293836958535</c:v>
                </c:pt>
                <c:pt idx="168">
                  <c:v>42.864831031887697</c:v>
                </c:pt>
                <c:pt idx="169">
                  <c:v>42.893417477728782</c:v>
                </c:pt>
                <c:pt idx="170">
                  <c:v>42.921307039422722</c:v>
                </c:pt>
                <c:pt idx="171">
                  <c:v>42.945162947506894</c:v>
                </c:pt>
                <c:pt idx="172">
                  <c:v>42.967252813563853</c:v>
                </c:pt>
                <c:pt idx="173">
                  <c:v>42.988835973967696</c:v>
                </c:pt>
                <c:pt idx="174">
                  <c:v>43.012422864739385</c:v>
                </c:pt>
                <c:pt idx="175">
                  <c:v>43.034338141649847</c:v>
                </c:pt>
                <c:pt idx="176">
                  <c:v>43.051981021522124</c:v>
                </c:pt>
                <c:pt idx="177">
                  <c:v>43.068769465004884</c:v>
                </c:pt>
                <c:pt idx="178">
                  <c:v>43.085184605722276</c:v>
                </c:pt>
                <c:pt idx="179">
                  <c:v>43.102895687243169</c:v>
                </c:pt>
                <c:pt idx="180">
                  <c:v>43.118236968650855</c:v>
                </c:pt>
                <c:pt idx="181">
                  <c:v>43.13413522367879</c:v>
                </c:pt>
                <c:pt idx="182">
                  <c:v>43.140119451881702</c:v>
                </c:pt>
                <c:pt idx="183">
                  <c:v>43.150148707481812</c:v>
                </c:pt>
                <c:pt idx="184">
                  <c:v>43.166237317959236</c:v>
                </c:pt>
                <c:pt idx="185">
                  <c:v>43.190284165301136</c:v>
                </c:pt>
                <c:pt idx="186">
                  <c:v>43.213875287326751</c:v>
                </c:pt>
                <c:pt idx="187">
                  <c:v>43.237724912202061</c:v>
                </c:pt>
                <c:pt idx="188">
                  <c:v>43.261617722258137</c:v>
                </c:pt>
                <c:pt idx="189">
                  <c:v>43.28342029370598</c:v>
                </c:pt>
                <c:pt idx="190">
                  <c:v>43.306016227477755</c:v>
                </c:pt>
                <c:pt idx="191">
                  <c:v>43.328107670028785</c:v>
                </c:pt>
                <c:pt idx="192">
                  <c:v>43.350694483055868</c:v>
                </c:pt>
                <c:pt idx="193">
                  <c:v>43.334815923407412</c:v>
                </c:pt>
                <c:pt idx="194">
                  <c:v>43.318600309835674</c:v>
                </c:pt>
                <c:pt idx="195">
                  <c:v>43.30277159983163</c:v>
                </c:pt>
                <c:pt idx="196">
                  <c:v>43.286951370472622</c:v>
                </c:pt>
                <c:pt idx="197">
                  <c:v>43.27100093218769</c:v>
                </c:pt>
                <c:pt idx="198">
                  <c:v>43.260011149574098</c:v>
                </c:pt>
                <c:pt idx="199">
                  <c:v>43.248777651452812</c:v>
                </c:pt>
                <c:pt idx="200">
                  <c:v>43.237540365378301</c:v>
                </c:pt>
                <c:pt idx="201">
                  <c:v>43.22663527569005</c:v>
                </c:pt>
                <c:pt idx="202">
                  <c:v>43.220253151974468</c:v>
                </c:pt>
                <c:pt idx="203">
                  <c:v>43.213967914167313</c:v>
                </c:pt>
                <c:pt idx="204">
                  <c:v>43.207761203250797</c:v>
                </c:pt>
                <c:pt idx="205">
                  <c:v>43.201571969477698</c:v>
                </c:pt>
                <c:pt idx="206">
                  <c:v>43.187864161968903</c:v>
                </c:pt>
                <c:pt idx="207">
                  <c:v>43.175169045024575</c:v>
                </c:pt>
                <c:pt idx="208">
                  <c:v>43.161665194010666</c:v>
                </c:pt>
                <c:pt idx="209">
                  <c:v>43.148176039484483</c:v>
                </c:pt>
                <c:pt idx="210">
                  <c:v>43.114243753764256</c:v>
                </c:pt>
                <c:pt idx="211">
                  <c:v>43.080146072146015</c:v>
                </c:pt>
                <c:pt idx="212">
                  <c:v>43.045162957874197</c:v>
                </c:pt>
                <c:pt idx="213">
                  <c:v>43.011230893567159</c:v>
                </c:pt>
                <c:pt idx="214">
                  <c:v>42.977056381458489</c:v>
                </c:pt>
                <c:pt idx="215">
                  <c:v>42.946544691499632</c:v>
                </c:pt>
                <c:pt idx="216">
                  <c:v>42.912969854108148</c:v>
                </c:pt>
                <c:pt idx="217">
                  <c:v>42.880532968079407</c:v>
                </c:pt>
                <c:pt idx="218">
                  <c:v>42.73123452888148</c:v>
                </c:pt>
                <c:pt idx="219">
                  <c:v>42.580038518439999</c:v>
                </c:pt>
                <c:pt idx="220">
                  <c:v>42.39539061020136</c:v>
                </c:pt>
                <c:pt idx="221">
                  <c:v>42.124377493469396</c:v>
                </c:pt>
                <c:pt idx="222">
                  <c:v>41.911383650895253</c:v>
                </c:pt>
                <c:pt idx="223">
                  <c:v>41.697967197441677</c:v>
                </c:pt>
                <c:pt idx="224">
                  <c:v>41.401710293261658</c:v>
                </c:pt>
                <c:pt idx="225">
                  <c:v>41.105104437636875</c:v>
                </c:pt>
                <c:pt idx="226">
                  <c:v>40.98592159216318</c:v>
                </c:pt>
                <c:pt idx="227">
                  <c:v>40.586696416340843</c:v>
                </c:pt>
                <c:pt idx="228">
                  <c:v>40.357375570419521</c:v>
                </c:pt>
                <c:pt idx="229">
                  <c:v>40.12867906332982</c:v>
                </c:pt>
                <c:pt idx="230">
                  <c:v>39.923171397205039</c:v>
                </c:pt>
                <c:pt idx="231">
                  <c:v>39.71386739658999</c:v>
                </c:pt>
                <c:pt idx="232">
                  <c:v>39.565191516682503</c:v>
                </c:pt>
                <c:pt idx="233">
                  <c:v>39.414430453457662</c:v>
                </c:pt>
                <c:pt idx="234">
                  <c:v>39.121617577904416</c:v>
                </c:pt>
                <c:pt idx="235">
                  <c:v>38.92624920620333</c:v>
                </c:pt>
                <c:pt idx="236">
                  <c:v>38.829894018998068</c:v>
                </c:pt>
                <c:pt idx="237">
                  <c:v>38.727639501813329</c:v>
                </c:pt>
                <c:pt idx="238">
                  <c:v>38.803340617495302</c:v>
                </c:pt>
                <c:pt idx="239">
                  <c:v>38.912079647550094</c:v>
                </c:pt>
                <c:pt idx="240">
                  <c:v>38.939604982157164</c:v>
                </c:pt>
                <c:pt idx="241">
                  <c:v>39.016562001393559</c:v>
                </c:pt>
                <c:pt idx="242">
                  <c:v>38.996582809066012</c:v>
                </c:pt>
                <c:pt idx="243">
                  <c:v>38.977004504091532</c:v>
                </c:pt>
                <c:pt idx="244">
                  <c:v>38.936597263856108</c:v>
                </c:pt>
                <c:pt idx="245">
                  <c:v>38.896279183976702</c:v>
                </c:pt>
                <c:pt idx="246">
                  <c:v>38.905237714459695</c:v>
                </c:pt>
                <c:pt idx="247">
                  <c:v>38.914326953736044</c:v>
                </c:pt>
                <c:pt idx="248">
                  <c:v>38.851213282983728</c:v>
                </c:pt>
                <c:pt idx="249">
                  <c:v>38.791848353888327</c:v>
                </c:pt>
                <c:pt idx="250">
                  <c:v>38.724575416168648</c:v>
                </c:pt>
                <c:pt idx="251">
                  <c:v>38.724575416168648</c:v>
                </c:pt>
                <c:pt idx="252">
                  <c:v>38.625137154396768</c:v>
                </c:pt>
                <c:pt idx="253">
                  <c:v>38.629404101124202</c:v>
                </c:pt>
                <c:pt idx="254">
                  <c:v>38.631631166546576</c:v>
                </c:pt>
                <c:pt idx="255">
                  <c:v>38.553769577585612</c:v>
                </c:pt>
                <c:pt idx="256">
                  <c:v>38.501988684015195</c:v>
                </c:pt>
                <c:pt idx="257">
                  <c:v>38.43273086553144</c:v>
                </c:pt>
                <c:pt idx="258">
                  <c:v>38.295050527593652</c:v>
                </c:pt>
                <c:pt idx="259">
                  <c:v>38.253232568646084</c:v>
                </c:pt>
                <c:pt idx="260">
                  <c:v>38.192532498422565</c:v>
                </c:pt>
                <c:pt idx="261">
                  <c:v>38.159815630240416</c:v>
                </c:pt>
                <c:pt idx="262">
                  <c:v>38.126147210563012</c:v>
                </c:pt>
                <c:pt idx="263">
                  <c:v>38.104886846311551</c:v>
                </c:pt>
                <c:pt idx="264">
                  <c:v>38.083400854873709</c:v>
                </c:pt>
                <c:pt idx="265">
                  <c:v>38.067133311391757</c:v>
                </c:pt>
                <c:pt idx="266">
                  <c:v>38.042770875807761</c:v>
                </c:pt>
                <c:pt idx="267">
                  <c:v>38.093396681032992</c:v>
                </c:pt>
                <c:pt idx="268">
                  <c:v>38.146288243287167</c:v>
                </c:pt>
                <c:pt idx="269">
                  <c:v>38.094849597950898</c:v>
                </c:pt>
                <c:pt idx="270">
                  <c:v>38.042108880685532</c:v>
                </c:pt>
                <c:pt idx="271">
                  <c:v>37.976704370463942</c:v>
                </c:pt>
                <c:pt idx="272">
                  <c:v>37.881183416996159</c:v>
                </c:pt>
                <c:pt idx="273">
                  <c:v>37.941097910793211</c:v>
                </c:pt>
                <c:pt idx="274">
                  <c:v>37.970193912839633</c:v>
                </c:pt>
                <c:pt idx="275">
                  <c:v>38.114948853653921</c:v>
                </c:pt>
                <c:pt idx="276">
                  <c:v>38.16435476192261</c:v>
                </c:pt>
                <c:pt idx="277">
                  <c:v>38.262794609640814</c:v>
                </c:pt>
                <c:pt idx="278">
                  <c:v>38.36246781947191</c:v>
                </c:pt>
                <c:pt idx="279">
                  <c:v>38.630427969976054</c:v>
                </c:pt>
                <c:pt idx="280">
                  <c:v>38.806825994214087</c:v>
                </c:pt>
                <c:pt idx="281">
                  <c:v>39.022953743007022</c:v>
                </c:pt>
                <c:pt idx="282">
                  <c:v>39.350041626416022</c:v>
                </c:pt>
                <c:pt idx="283">
                  <c:v>39.430149649933355</c:v>
                </c:pt>
                <c:pt idx="284">
                  <c:v>39.585011224686504</c:v>
                </c:pt>
                <c:pt idx="285">
                  <c:v>39.740858155332482</c:v>
                </c:pt>
                <c:pt idx="286">
                  <c:v>40.040515732601619</c:v>
                </c:pt>
                <c:pt idx="287">
                  <c:v>40.202244679062531</c:v>
                </c:pt>
                <c:pt idx="288">
                  <c:v>40.365348123220848</c:v>
                </c:pt>
                <c:pt idx="289">
                  <c:v>40.551703704710491</c:v>
                </c:pt>
                <c:pt idx="290">
                  <c:v>40.741779548559357</c:v>
                </c:pt>
                <c:pt idx="291">
                  <c:v>40.936570806692146</c:v>
                </c:pt>
                <c:pt idx="292">
                  <c:v>41.279942792344265</c:v>
                </c:pt>
                <c:pt idx="293">
                  <c:v>41.436765376882583</c:v>
                </c:pt>
                <c:pt idx="294">
                  <c:v>41.746660425422867</c:v>
                </c:pt>
                <c:pt idx="295">
                  <c:v>42.374995492161005</c:v>
                </c:pt>
                <c:pt idx="296">
                  <c:v>42.576777961462469</c:v>
                </c:pt>
                <c:pt idx="297">
                  <c:v>43.483733106849996</c:v>
                </c:pt>
                <c:pt idx="298">
                  <c:v>44.088800228886008</c:v>
                </c:pt>
                <c:pt idx="299">
                  <c:v>44.821389781492044</c:v>
                </c:pt>
                <c:pt idx="300">
                  <c:v>45.563194485896631</c:v>
                </c:pt>
                <c:pt idx="301">
                  <c:v>46.376438462340275</c:v>
                </c:pt>
                <c:pt idx="302">
                  <c:v>47.188494834745086</c:v>
                </c:pt>
                <c:pt idx="303">
                  <c:v>48.000844831099464</c:v>
                </c:pt>
                <c:pt idx="304">
                  <c:v>49.12082697366445</c:v>
                </c:pt>
                <c:pt idx="305">
                  <c:v>49.373108134035448</c:v>
                </c:pt>
                <c:pt idx="306">
                  <c:v>49.872039283320362</c:v>
                </c:pt>
                <c:pt idx="307">
                  <c:v>50.296862019110819</c:v>
                </c:pt>
                <c:pt idx="308">
                  <c:v>50.727515909627854</c:v>
                </c:pt>
                <c:pt idx="309">
                  <c:v>51.14868640153459</c:v>
                </c:pt>
                <c:pt idx="310">
                  <c:v>51.652904894127879</c:v>
                </c:pt>
                <c:pt idx="311">
                  <c:v>51.959367249606522</c:v>
                </c:pt>
                <c:pt idx="312">
                  <c:v>52.269679695978091</c:v>
                </c:pt>
                <c:pt idx="313">
                  <c:v>52.512616425678473</c:v>
                </c:pt>
                <c:pt idx="314">
                  <c:v>52.756876419689348</c:v>
                </c:pt>
                <c:pt idx="315">
                  <c:v>53.056125969771657</c:v>
                </c:pt>
                <c:pt idx="316">
                  <c:v>53.364730448845108</c:v>
                </c:pt>
                <c:pt idx="317">
                  <c:v>53.89980615904868</c:v>
                </c:pt>
                <c:pt idx="318">
                  <c:v>54.080890325777894</c:v>
                </c:pt>
                <c:pt idx="319">
                  <c:v>54.667467593985123</c:v>
                </c:pt>
                <c:pt idx="320">
                  <c:v>55.247800893632402</c:v>
                </c:pt>
                <c:pt idx="321">
                  <c:v>55.82839584887887</c:v>
                </c:pt>
                <c:pt idx="322">
                  <c:v>57.566962906338979</c:v>
                </c:pt>
                <c:pt idx="323">
                  <c:v>57.917640764116733</c:v>
                </c:pt>
                <c:pt idx="324">
                  <c:v>58.246358286787419</c:v>
                </c:pt>
                <c:pt idx="325">
                  <c:v>58.988657708383073</c:v>
                </c:pt>
                <c:pt idx="326">
                  <c:v>59.743495175120707</c:v>
                </c:pt>
                <c:pt idx="327">
                  <c:v>60.950468230611591</c:v>
                </c:pt>
                <c:pt idx="328">
                  <c:v>61.361130658549577</c:v>
                </c:pt>
                <c:pt idx="329">
                  <c:v>62.167100891586074</c:v>
                </c:pt>
                <c:pt idx="330">
                  <c:v>63.393708256682054</c:v>
                </c:pt>
                <c:pt idx="331">
                  <c:v>64.233602214059545</c:v>
                </c:pt>
                <c:pt idx="332">
                  <c:v>65.088774014200098</c:v>
                </c:pt>
                <c:pt idx="333">
                  <c:v>65.918184127037378</c:v>
                </c:pt>
                <c:pt idx="334">
                  <c:v>66.368055392521981</c:v>
                </c:pt>
                <c:pt idx="335">
                  <c:v>67.858735830239809</c:v>
                </c:pt>
                <c:pt idx="336">
                  <c:v>68.876108831874305</c:v>
                </c:pt>
                <c:pt idx="337">
                  <c:v>69.924346804880159</c:v>
                </c:pt>
                <c:pt idx="338">
                  <c:v>70.987837263272667</c:v>
                </c:pt>
                <c:pt idx="339">
                  <c:v>72.041162835630914</c:v>
                </c:pt>
                <c:pt idx="340">
                  <c:v>73.082651432121082</c:v>
                </c:pt>
                <c:pt idx="341">
                  <c:v>74.13838976232249</c:v>
                </c:pt>
                <c:pt idx="342">
                  <c:v>75.755307355526583</c:v>
                </c:pt>
                <c:pt idx="343">
                  <c:v>76.899864624341461</c:v>
                </c:pt>
                <c:pt idx="344">
                  <c:v>78.015758963384229</c:v>
                </c:pt>
                <c:pt idx="345">
                  <c:v>79.155675285623602</c:v>
                </c:pt>
                <c:pt idx="346">
                  <c:v>80.279863993784701</c:v>
                </c:pt>
                <c:pt idx="347">
                  <c:v>81.391747809941862</c:v>
                </c:pt>
                <c:pt idx="348">
                  <c:v>82.580305057519013</c:v>
                </c:pt>
                <c:pt idx="349">
                  <c:v>83.774145836202976</c:v>
                </c:pt>
                <c:pt idx="350">
                  <c:v>85.477086475684601</c:v>
                </c:pt>
                <c:pt idx="351">
                  <c:v>86.641275169080586</c:v>
                </c:pt>
                <c:pt idx="352">
                  <c:v>87.801804780742117</c:v>
                </c:pt>
                <c:pt idx="353">
                  <c:v>88.413588689377136</c:v>
                </c:pt>
                <c:pt idx="354">
                  <c:v>90.257799103664837</c:v>
                </c:pt>
                <c:pt idx="355">
                  <c:v>92.369575371063021</c:v>
                </c:pt>
                <c:pt idx="356">
                  <c:v>93.087430575503404</c:v>
                </c:pt>
                <c:pt idx="357">
                  <c:v>94.439337085873674</c:v>
                </c:pt>
                <c:pt idx="358">
                  <c:v>95.818147207500473</c:v>
                </c:pt>
                <c:pt idx="359">
                  <c:v>97.188211431702911</c:v>
                </c:pt>
                <c:pt idx="360">
                  <c:v>99.261705894664729</c:v>
                </c:pt>
                <c:pt idx="361">
                  <c:v>99.937082258294097</c:v>
                </c:pt>
                <c:pt idx="362">
                  <c:v>102.78159038734147</c:v>
                </c:pt>
                <c:pt idx="363">
                  <c:v>103.51837258992799</c:v>
                </c:pt>
                <c:pt idx="364">
                  <c:v>104.93722691319158</c:v>
                </c:pt>
                <c:pt idx="365">
                  <c:v>106.33334312703738</c:v>
                </c:pt>
                <c:pt idx="366">
                  <c:v>107.72812069101451</c:v>
                </c:pt>
                <c:pt idx="367">
                  <c:v>109.09799838076091</c:v>
                </c:pt>
                <c:pt idx="368">
                  <c:v>111.29200912565791</c:v>
                </c:pt>
                <c:pt idx="369">
                  <c:v>112.80593212679032</c:v>
                </c:pt>
                <c:pt idx="370">
                  <c:v>114.26484768916058</c:v>
                </c:pt>
                <c:pt idx="371">
                  <c:v>115.72270118653972</c:v>
                </c:pt>
                <c:pt idx="372">
                  <c:v>117.96026735375305</c:v>
                </c:pt>
                <c:pt idx="373">
                  <c:v>119.49025230170425</c:v>
                </c:pt>
                <c:pt idx="374">
                  <c:v>120.28068586486864</c:v>
                </c:pt>
                <c:pt idx="375">
                  <c:v>121.85107263501328</c:v>
                </c:pt>
                <c:pt idx="376">
                  <c:v>123.36815006790826</c:v>
                </c:pt>
                <c:pt idx="377">
                  <c:v>124.89476908482354</c:v>
                </c:pt>
                <c:pt idx="378">
                  <c:v>126.56864869168523</c:v>
                </c:pt>
                <c:pt idx="379">
                  <c:v>128.18453025048427</c:v>
                </c:pt>
                <c:pt idx="380">
                  <c:v>130.75677071025194</c:v>
                </c:pt>
                <c:pt idx="381">
                  <c:v>132.49212967049061</c:v>
                </c:pt>
                <c:pt idx="382">
                  <c:v>134.14079274369297</c:v>
                </c:pt>
                <c:pt idx="383">
                  <c:v>135.81383210914302</c:v>
                </c:pt>
                <c:pt idx="384">
                  <c:v>137.55598460827159</c:v>
                </c:pt>
                <c:pt idx="385">
                  <c:v>139.2630497096761</c:v>
                </c:pt>
                <c:pt idx="386">
                  <c:v>141.80909912972109</c:v>
                </c:pt>
                <c:pt idx="387">
                  <c:v>143.49246863091227</c:v>
                </c:pt>
                <c:pt idx="388">
                  <c:v>145.16567254864538</c:v>
                </c:pt>
                <c:pt idx="389">
                  <c:v>146.77540227569665</c:v>
                </c:pt>
                <c:pt idx="390">
                  <c:v>147.62214845547965</c:v>
                </c:pt>
                <c:pt idx="391">
                  <c:v>149.34606225579634</c:v>
                </c:pt>
                <c:pt idx="392">
                  <c:v>151.02179106005568</c:v>
                </c:pt>
                <c:pt idx="393">
                  <c:v>153.43648945541264</c:v>
                </c:pt>
                <c:pt idx="394">
                  <c:v>154.98740927466318</c:v>
                </c:pt>
                <c:pt idx="395">
                  <c:v>156.49092413177323</c:v>
                </c:pt>
                <c:pt idx="396">
                  <c:v>157.9742770398349</c:v>
                </c:pt>
                <c:pt idx="397">
                  <c:v>159.51564901699925</c:v>
                </c:pt>
                <c:pt idx="398">
                  <c:v>161.10896978196141</c:v>
                </c:pt>
                <c:pt idx="399">
                  <c:v>163.48311916997977</c:v>
                </c:pt>
                <c:pt idx="400">
                  <c:v>165.18778856829741</c:v>
                </c:pt>
                <c:pt idx="401">
                  <c:v>166.8638029065969</c:v>
                </c:pt>
                <c:pt idx="402">
                  <c:v>168.56370465386078</c:v>
                </c:pt>
                <c:pt idx="403">
                  <c:v>170.30030763470131</c:v>
                </c:pt>
                <c:pt idx="404">
                  <c:v>171.9650993040396</c:v>
                </c:pt>
                <c:pt idx="405">
                  <c:v>173.64988987212311</c:v>
                </c:pt>
                <c:pt idx="406">
                  <c:v>175.40636198734325</c:v>
                </c:pt>
                <c:pt idx="407">
                  <c:v>177.12388579399808</c:v>
                </c:pt>
                <c:pt idx="408">
                  <c:v>178.89239525703653</c:v>
                </c:pt>
                <c:pt idx="409">
                  <c:v>180.65425892420652</c:v>
                </c:pt>
                <c:pt idx="410">
                  <c:v>182.3494218474375</c:v>
                </c:pt>
                <c:pt idx="411">
                  <c:v>184.90403034869519</c:v>
                </c:pt>
                <c:pt idx="412">
                  <c:v>185.73919383175357</c:v>
                </c:pt>
                <c:pt idx="413">
                  <c:v>188.20512438848516</c:v>
                </c:pt>
                <c:pt idx="414">
                  <c:v>189.87396713164247</c:v>
                </c:pt>
                <c:pt idx="415">
                  <c:v>191.53841728227488</c:v>
                </c:pt>
                <c:pt idx="416">
                  <c:v>193.20972839967038</c:v>
                </c:pt>
                <c:pt idx="417">
                  <c:v>195.69432491125772</c:v>
                </c:pt>
                <c:pt idx="418">
                  <c:v>199.33914305316671</c:v>
                </c:pt>
                <c:pt idx="419">
                  <c:v>200.10238717566403</c:v>
                </c:pt>
                <c:pt idx="420">
                  <c:v>201.59317167136928</c:v>
                </c:pt>
                <c:pt idx="421">
                  <c:v>202.31373663368035</c:v>
                </c:pt>
                <c:pt idx="422">
                  <c:v>203.77549697289427</c:v>
                </c:pt>
                <c:pt idx="423">
                  <c:v>205.22835324669347</c:v>
                </c:pt>
                <c:pt idx="424">
                  <c:v>207.39157263990415</c:v>
                </c:pt>
                <c:pt idx="425">
                  <c:v>208.85535749068657</c:v>
                </c:pt>
                <c:pt idx="426">
                  <c:v>210.35556898277252</c:v>
                </c:pt>
                <c:pt idx="427">
                  <c:v>211.83982509005196</c:v>
                </c:pt>
                <c:pt idx="428">
                  <c:v>213.26802076049992</c:v>
                </c:pt>
                <c:pt idx="429">
                  <c:v>214.77088029914006</c:v>
                </c:pt>
                <c:pt idx="430">
                  <c:v>215.88330985176054</c:v>
                </c:pt>
                <c:pt idx="431">
                  <c:v>218.60959909754774</c:v>
                </c:pt>
                <c:pt idx="432">
                  <c:v>220.06370281839469</c:v>
                </c:pt>
                <c:pt idx="433">
                  <c:v>221.51829219971361</c:v>
                </c:pt>
                <c:pt idx="434">
                  <c:v>222.96103749467883</c:v>
                </c:pt>
                <c:pt idx="435">
                  <c:v>224.21782917456409</c:v>
                </c:pt>
                <c:pt idx="436">
                  <c:v>225.48669701997943</c:v>
                </c:pt>
                <c:pt idx="437">
                  <c:v>226.63954337425841</c:v>
                </c:pt>
                <c:pt idx="438">
                  <c:v>228.38143650345711</c:v>
                </c:pt>
                <c:pt idx="439">
                  <c:v>229.38215657717481</c:v>
                </c:pt>
                <c:pt idx="440">
                  <c:v>229.87336887594421</c:v>
                </c:pt>
                <c:pt idx="441">
                  <c:v>231.35606903971441</c:v>
                </c:pt>
                <c:pt idx="442">
                  <c:v>232.33093217614672</c:v>
                </c:pt>
                <c:pt idx="443">
                  <c:v>233.31110333362182</c:v>
                </c:pt>
                <c:pt idx="444">
                  <c:v>234.31994818323099</c:v>
                </c:pt>
                <c:pt idx="445">
                  <c:v>235.28505336107028</c:v>
                </c:pt>
                <c:pt idx="446">
                  <c:v>236.23367175415785</c:v>
                </c:pt>
                <c:pt idx="447">
                  <c:v>237.59266591651058</c:v>
                </c:pt>
                <c:pt idx="448">
                  <c:v>238.49683323693506</c:v>
                </c:pt>
                <c:pt idx="449">
                  <c:v>239.33418939689193</c:v>
                </c:pt>
                <c:pt idx="450">
                  <c:v>240.18343907258782</c:v>
                </c:pt>
                <c:pt idx="451">
                  <c:v>240.98449634663388</c:v>
                </c:pt>
                <c:pt idx="452">
                  <c:v>241.77147400215222</c:v>
                </c:pt>
                <c:pt idx="453">
                  <c:v>242.58322883977627</c:v>
                </c:pt>
                <c:pt idx="454">
                  <c:v>243.35427550920724</c:v>
                </c:pt>
                <c:pt idx="455">
                  <c:v>244.53291389257336</c:v>
                </c:pt>
                <c:pt idx="456">
                  <c:v>245.30790348158351</c:v>
                </c:pt>
                <c:pt idx="457">
                  <c:v>245.69248283576223</c:v>
                </c:pt>
                <c:pt idx="458">
                  <c:v>246.44486344307541</c:v>
                </c:pt>
                <c:pt idx="459">
                  <c:v>247.22931494151021</c:v>
                </c:pt>
                <c:pt idx="460">
                  <c:v>248.01652548743024</c:v>
                </c:pt>
                <c:pt idx="461">
                  <c:v>249.04179781787059</c:v>
                </c:pt>
                <c:pt idx="462">
                  <c:v>249.72640276098517</c:v>
                </c:pt>
                <c:pt idx="463">
                  <c:v>250.35762641169541</c:v>
                </c:pt>
                <c:pt idx="464">
                  <c:v>251.00807852049948</c:v>
                </c:pt>
                <c:pt idx="465">
                  <c:v>251.69720129941877</c:v>
                </c:pt>
                <c:pt idx="466">
                  <c:v>252.38474373678801</c:v>
                </c:pt>
                <c:pt idx="467">
                  <c:v>253.00187312711881</c:v>
                </c:pt>
                <c:pt idx="468">
                  <c:v>253.63255317461085</c:v>
                </c:pt>
                <c:pt idx="469">
                  <c:v>254.71929813770163</c:v>
                </c:pt>
                <c:pt idx="470">
                  <c:v>255.43605169065327</c:v>
                </c:pt>
                <c:pt idx="471">
                  <c:v>255.80196492081512</c:v>
                </c:pt>
                <c:pt idx="472">
                  <c:v>256.9140561097617</c:v>
                </c:pt>
                <c:pt idx="473">
                  <c:v>257.55417181080867</c:v>
                </c:pt>
                <c:pt idx="474">
                  <c:v>257.86979231394338</c:v>
                </c:pt>
                <c:pt idx="475">
                  <c:v>258.4160944217636</c:v>
                </c:pt>
                <c:pt idx="476">
                  <c:v>259.2417530594015</c:v>
                </c:pt>
                <c:pt idx="477">
                  <c:v>259.63963197091624</c:v>
                </c:pt>
                <c:pt idx="478">
                  <c:v>260.03800831082606</c:v>
                </c:pt>
                <c:pt idx="479">
                  <c:v>260.61210562377772</c:v>
                </c:pt>
                <c:pt idx="480">
                  <c:v>261.18399538602262</c:v>
                </c:pt>
                <c:pt idx="481">
                  <c:v>261.97766727831839</c:v>
                </c:pt>
                <c:pt idx="482">
                  <c:v>262.52320549540121</c:v>
                </c:pt>
                <c:pt idx="483">
                  <c:v>263.04288606047805</c:v>
                </c:pt>
                <c:pt idx="484">
                  <c:v>263.53829090931237</c:v>
                </c:pt>
                <c:pt idx="485">
                  <c:v>264.00094082084559</c:v>
                </c:pt>
                <c:pt idx="486">
                  <c:v>264.47088033070105</c:v>
                </c:pt>
                <c:pt idx="487">
                  <c:v>264.98992933138794</c:v>
                </c:pt>
                <c:pt idx="488">
                  <c:v>265.75967842440741</c:v>
                </c:pt>
                <c:pt idx="489">
                  <c:v>266.22024914309981</c:v>
                </c:pt>
                <c:pt idx="490">
                  <c:v>266.67978620203166</c:v>
                </c:pt>
                <c:pt idx="491">
                  <c:v>266.89347966683277</c:v>
                </c:pt>
                <c:pt idx="492">
                  <c:v>267.49644111912608</c:v>
                </c:pt>
                <c:pt idx="493">
                  <c:v>267.67558033391435</c:v>
                </c:pt>
                <c:pt idx="494">
                  <c:v>268.03805865458719</c:v>
                </c:pt>
                <c:pt idx="495">
                  <c:v>268.4992306272564</c:v>
                </c:pt>
                <c:pt idx="496">
                  <c:v>268.80775376863909</c:v>
                </c:pt>
                <c:pt idx="497">
                  <c:v>269.07726864162652</c:v>
                </c:pt>
                <c:pt idx="498">
                  <c:v>269.34329863214441</c:v>
                </c:pt>
                <c:pt idx="499">
                  <c:v>269.61558462365497</c:v>
                </c:pt>
                <c:pt idx="500">
                  <c:v>270.00912032432944</c:v>
                </c:pt>
                <c:pt idx="501">
                  <c:v>270.27286499117719</c:v>
                </c:pt>
                <c:pt idx="502">
                  <c:v>270.66392272583505</c:v>
                </c:pt>
                <c:pt idx="503">
                  <c:v>270.76287850174805</c:v>
                </c:pt>
                <c:pt idx="504">
                  <c:v>270.86541093675714</c:v>
                </c:pt>
                <c:pt idx="505">
                  <c:v>271.00586822644652</c:v>
                </c:pt>
                <c:pt idx="506">
                  <c:v>271.22424860719832</c:v>
                </c:pt>
                <c:pt idx="507">
                  <c:v>271.40441463092469</c:v>
                </c:pt>
                <c:pt idx="508">
                  <c:v>271.59030856320862</c:v>
                </c:pt>
                <c:pt idx="509">
                  <c:v>271.75017199570175</c:v>
                </c:pt>
                <c:pt idx="510">
                  <c:v>271.90905784623675</c:v>
                </c:pt>
                <c:pt idx="511">
                  <c:v>272.16148138967299</c:v>
                </c:pt>
                <c:pt idx="512">
                  <c:v>272.32641537182167</c:v>
                </c:pt>
                <c:pt idx="513">
                  <c:v>272.47839965774716</c:v>
                </c:pt>
                <c:pt idx="514">
                  <c:v>272.62816660717721</c:v>
                </c:pt>
                <c:pt idx="515">
                  <c:v>272.79902749567873</c:v>
                </c:pt>
                <c:pt idx="516">
                  <c:v>272.96462117891934</c:v>
                </c:pt>
                <c:pt idx="517">
                  <c:v>273.08780452206008</c:v>
                </c:pt>
                <c:pt idx="518">
                  <c:v>273.33308392918354</c:v>
                </c:pt>
                <c:pt idx="519">
                  <c:v>273.76253719403724</c:v>
                </c:pt>
                <c:pt idx="520">
                  <c:v>274.04585998213105</c:v>
                </c:pt>
                <c:pt idx="521">
                  <c:v>274.18622611673976</c:v>
                </c:pt>
                <c:pt idx="522">
                  <c:v>274.40558520357848</c:v>
                </c:pt>
                <c:pt idx="523">
                  <c:v>274.53252294609354</c:v>
                </c:pt>
                <c:pt idx="524">
                  <c:v>274.90160357346576</c:v>
                </c:pt>
                <c:pt idx="525">
                  <c:v>275.18087220903783</c:v>
                </c:pt>
                <c:pt idx="526">
                  <c:v>275.46681310894201</c:v>
                </c:pt>
                <c:pt idx="527">
                  <c:v>275.46681310894201</c:v>
                </c:pt>
                <c:pt idx="528">
                  <c:v>275.80805581207676</c:v>
                </c:pt>
                <c:pt idx="529">
                  <c:v>276.15922369395861</c:v>
                </c:pt>
                <c:pt idx="530">
                  <c:v>276.53124285684282</c:v>
                </c:pt>
                <c:pt idx="531">
                  <c:v>276.90592928690944</c:v>
                </c:pt>
                <c:pt idx="532">
                  <c:v>277.29303898931465</c:v>
                </c:pt>
                <c:pt idx="533">
                  <c:v>277.84562218480704</c:v>
                </c:pt>
                <c:pt idx="534">
                  <c:v>278.19386094038333</c:v>
                </c:pt>
                <c:pt idx="535">
                  <c:v>278.35811267759505</c:v>
                </c:pt>
                <c:pt idx="536">
                  <c:v>278.72666662682457</c:v>
                </c:pt>
                <c:pt idx="537">
                  <c:v>279.08737596443473</c:v>
                </c:pt>
                <c:pt idx="538">
                  <c:v>279.39891909959005</c:v>
                </c:pt>
                <c:pt idx="539">
                  <c:v>279.61119042898332</c:v>
                </c:pt>
                <c:pt idx="540">
                  <c:v>279.8230964964896</c:v>
                </c:pt>
                <c:pt idx="541">
                  <c:v>280.02998583950659</c:v>
                </c:pt>
                <c:pt idx="542">
                  <c:v>280.26236602442748</c:v>
                </c:pt>
                <c:pt idx="543">
                  <c:v>280.48684507583062</c:v>
                </c:pt>
                <c:pt idx="544">
                  <c:v>280.7145626219675</c:v>
                </c:pt>
                <c:pt idx="545">
                  <c:v>281.1709640944581</c:v>
                </c:pt>
                <c:pt idx="546">
                  <c:v>281.68354568021982</c:v>
                </c:pt>
                <c:pt idx="547">
                  <c:v>282.02169445653141</c:v>
                </c:pt>
                <c:pt idx="548">
                  <c:v>282.33159959778942</c:v>
                </c:pt>
                <c:pt idx="549">
                  <c:v>282.64124387110655</c:v>
                </c:pt>
                <c:pt idx="550">
                  <c:v>282.95761694424527</c:v>
                </c:pt>
                <c:pt idx="551">
                  <c:v>283.07433333061408</c:v>
                </c:pt>
                <c:pt idx="552">
                  <c:v>283.18705397277085</c:v>
                </c:pt>
                <c:pt idx="553">
                  <c:v>283.26242549176584</c:v>
                </c:pt>
                <c:pt idx="554">
                  <c:v>283.18139062491548</c:v>
                </c:pt>
                <c:pt idx="555">
                  <c:v>283.09991589532638</c:v>
                </c:pt>
                <c:pt idx="556">
                  <c:v>283.01866435631536</c:v>
                </c:pt>
                <c:pt idx="557">
                  <c:v>282.99889513465359</c:v>
                </c:pt>
                <c:pt idx="558">
                  <c:v>282.97949684799272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1F2-428B-AA39-8D70889B485A}"/>
            </c:ext>
          </c:extLst>
        </c:ser>
        <c:ser>
          <c:idx val="5"/>
          <c:order val="2"/>
          <c:tx>
            <c:strRef>
              <c:f>'Maju 0.05'!$L$6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0.05'!$L$7:$L$565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43.323</c:v>
                </c:pt>
                <c:pt idx="173">
                  <c:v>42.798999999999999</c:v>
                </c:pt>
                <c:pt idx="174">
                  <c:v>41.750999999999998</c:v>
                </c:pt>
                <c:pt idx="175">
                  <c:v>41.226999999999997</c:v>
                </c:pt>
                <c:pt idx="176">
                  <c:v>40.965000000000003</c:v>
                </c:pt>
                <c:pt idx="177">
                  <c:v>40.834000000000003</c:v>
                </c:pt>
                <c:pt idx="178">
                  <c:v>40.965000000000003</c:v>
                </c:pt>
                <c:pt idx="179">
                  <c:v>41.226999999999997</c:v>
                </c:pt>
                <c:pt idx="180">
                  <c:v>41.488999999999997</c:v>
                </c:pt>
                <c:pt idx="181">
                  <c:v>41.750999999999998</c:v>
                </c:pt>
                <c:pt idx="182">
                  <c:v>42.93</c:v>
                </c:pt>
                <c:pt idx="183">
                  <c:v>43.323</c:v>
                </c:pt>
                <c:pt idx="184">
                  <c:v>43.716000000000001</c:v>
                </c:pt>
                <c:pt idx="185">
                  <c:v>44.24</c:v>
                </c:pt>
                <c:pt idx="186">
                  <c:v>44.764000000000003</c:v>
                </c:pt>
                <c:pt idx="187">
                  <c:v>45.025999999999897</c:v>
                </c:pt>
                <c:pt idx="188">
                  <c:v>45.287999999999997</c:v>
                </c:pt>
                <c:pt idx="189">
                  <c:v>45.55</c:v>
                </c:pt>
                <c:pt idx="190">
                  <c:v>45.811999999999998</c:v>
                </c:pt>
                <c:pt idx="191">
                  <c:v>45.680999999999997</c:v>
                </c:pt>
                <c:pt idx="192">
                  <c:v>45.418999999999997</c:v>
                </c:pt>
                <c:pt idx="193">
                  <c:v>45.025999999999897</c:v>
                </c:pt>
                <c:pt idx="194">
                  <c:v>44.502000000000002</c:v>
                </c:pt>
                <c:pt idx="195">
                  <c:v>44.24</c:v>
                </c:pt>
                <c:pt idx="196">
                  <c:v>43.427799999999898</c:v>
                </c:pt>
                <c:pt idx="197">
                  <c:v>43.4435199999999</c:v>
                </c:pt>
                <c:pt idx="198">
                  <c:v>43.464479999999902</c:v>
                </c:pt>
                <c:pt idx="199">
                  <c:v>43.51164</c:v>
                </c:pt>
                <c:pt idx="200">
                  <c:v>43.564039999999999</c:v>
                </c:pt>
                <c:pt idx="201">
                  <c:v>43.5745199999999</c:v>
                </c:pt>
                <c:pt idx="202">
                  <c:v>43.569279999999999</c:v>
                </c:pt>
                <c:pt idx="203">
                  <c:v>43.532600000000002</c:v>
                </c:pt>
                <c:pt idx="204">
                  <c:v>43.474959999999903</c:v>
                </c:pt>
                <c:pt idx="205">
                  <c:v>43.396359999999902</c:v>
                </c:pt>
                <c:pt idx="206">
                  <c:v>43.296799999999898</c:v>
                </c:pt>
                <c:pt idx="207">
                  <c:v>43.150079999999903</c:v>
                </c:pt>
                <c:pt idx="208">
                  <c:v>42.982399999999998</c:v>
                </c:pt>
                <c:pt idx="209">
                  <c:v>42.798999999999999</c:v>
                </c:pt>
                <c:pt idx="210">
                  <c:v>42.599879999999899</c:v>
                </c:pt>
                <c:pt idx="211">
                  <c:v>42.385039999999897</c:v>
                </c:pt>
                <c:pt idx="212">
                  <c:v>42.164959999999901</c:v>
                </c:pt>
                <c:pt idx="213">
                  <c:v>41.944879999999898</c:v>
                </c:pt>
                <c:pt idx="214">
                  <c:v>41.714320000000001</c:v>
                </c:pt>
                <c:pt idx="215">
                  <c:v>41.473279999999903</c:v>
                </c:pt>
                <c:pt idx="216">
                  <c:v>41.232239999999898</c:v>
                </c:pt>
                <c:pt idx="217">
                  <c:v>40.9911999999999</c:v>
                </c:pt>
                <c:pt idx="218">
                  <c:v>40.760639999999903</c:v>
                </c:pt>
                <c:pt idx="219">
                  <c:v>40.540559999999999</c:v>
                </c:pt>
                <c:pt idx="220">
                  <c:v>40.325719999999997</c:v>
                </c:pt>
                <c:pt idx="221">
                  <c:v>40.121360000000003</c:v>
                </c:pt>
                <c:pt idx="222">
                  <c:v>39.911760000000001</c:v>
                </c:pt>
                <c:pt idx="223">
                  <c:v>39.7074</c:v>
                </c:pt>
                <c:pt idx="224">
                  <c:v>39.508279999999999</c:v>
                </c:pt>
                <c:pt idx="225">
                  <c:v>39.31964</c:v>
                </c:pt>
                <c:pt idx="226">
                  <c:v>39.178159999999998</c:v>
                </c:pt>
                <c:pt idx="227">
                  <c:v>39.057639999999999</c:v>
                </c:pt>
                <c:pt idx="228">
                  <c:v>38.958080000000002</c:v>
                </c:pt>
                <c:pt idx="229">
                  <c:v>38.869</c:v>
                </c:pt>
                <c:pt idx="230">
                  <c:v>38.795639999999999</c:v>
                </c:pt>
                <c:pt idx="231">
                  <c:v>38.74324</c:v>
                </c:pt>
                <c:pt idx="232">
                  <c:v>38.706560000000003</c:v>
                </c:pt>
                <c:pt idx="233">
                  <c:v>38.701319999999903</c:v>
                </c:pt>
                <c:pt idx="234">
                  <c:v>38.717039999999997</c:v>
                </c:pt>
                <c:pt idx="235">
                  <c:v>38.753720000000001</c:v>
                </c:pt>
                <c:pt idx="236">
                  <c:v>38.811360000000001</c:v>
                </c:pt>
                <c:pt idx="237">
                  <c:v>38.895200000000003</c:v>
                </c:pt>
                <c:pt idx="238">
                  <c:v>38.686799999999998</c:v>
                </c:pt>
                <c:pt idx="239">
                  <c:v>38.034799999999997</c:v>
                </c:pt>
                <c:pt idx="240">
                  <c:v>37.408999999999999</c:v>
                </c:pt>
                <c:pt idx="241">
                  <c:v>36.809399999999997</c:v>
                </c:pt>
                <c:pt idx="242">
                  <c:v>36.241239999999998</c:v>
                </c:pt>
                <c:pt idx="243">
                  <c:v>35.699279999999902</c:v>
                </c:pt>
                <c:pt idx="244">
                  <c:v>35.183519999999902</c:v>
                </c:pt>
                <c:pt idx="245">
                  <c:v>34.683479999999903</c:v>
                </c:pt>
                <c:pt idx="246">
                  <c:v>34.193919999999899</c:v>
                </c:pt>
                <c:pt idx="247">
                  <c:v>33.730559999999997</c:v>
                </c:pt>
                <c:pt idx="248">
                  <c:v>33.282919999999997</c:v>
                </c:pt>
                <c:pt idx="249">
                  <c:v>32.9538742857142</c:v>
                </c:pt>
                <c:pt idx="251">
                  <c:v>32.619588571428501</c:v>
                </c:pt>
                <c:pt idx="252">
                  <c:v>32.269582857142801</c:v>
                </c:pt>
                <c:pt idx="253">
                  <c:v>31.769542857142799</c:v>
                </c:pt>
                <c:pt idx="254">
                  <c:v>31.248542857142802</c:v>
                </c:pt>
                <c:pt idx="255">
                  <c:v>30.706582857142799</c:v>
                </c:pt>
                <c:pt idx="256">
                  <c:v>30.300262857142801</c:v>
                </c:pt>
                <c:pt idx="257">
                  <c:v>29.872982857142802</c:v>
                </c:pt>
                <c:pt idx="258">
                  <c:v>29.4247428571428</c:v>
                </c:pt>
                <c:pt idx="259">
                  <c:v>28.950302857142798</c:v>
                </c:pt>
                <c:pt idx="260">
                  <c:v>28.460142857142799</c:v>
                </c:pt>
                <c:pt idx="261">
                  <c:v>27.949022857142801</c:v>
                </c:pt>
                <c:pt idx="262">
                  <c:v>27.427422857142801</c:v>
                </c:pt>
                <c:pt idx="263">
                  <c:v>26.884862857142799</c:v>
                </c:pt>
                <c:pt idx="264">
                  <c:v>26.639782857142801</c:v>
                </c:pt>
                <c:pt idx="265">
                  <c:v>26.843542857142801</c:v>
                </c:pt>
                <c:pt idx="266">
                  <c:v>27.0158628571428</c:v>
                </c:pt>
                <c:pt idx="267">
                  <c:v>27.156742857142799</c:v>
                </c:pt>
                <c:pt idx="268">
                  <c:v>27.271422857142799</c:v>
                </c:pt>
                <c:pt idx="269">
                  <c:v>27.3651428571428</c:v>
                </c:pt>
                <c:pt idx="270">
                  <c:v>27.437902857142799</c:v>
                </c:pt>
                <c:pt idx="271">
                  <c:v>27.5001828571428</c:v>
                </c:pt>
                <c:pt idx="272">
                  <c:v>27.562462857142801</c:v>
                </c:pt>
                <c:pt idx="273">
                  <c:v>27.739622857142798</c:v>
                </c:pt>
                <c:pt idx="274">
                  <c:v>27.916782857142799</c:v>
                </c:pt>
                <c:pt idx="275">
                  <c:v>27.991068571428499</c:v>
                </c:pt>
                <c:pt idx="276">
                  <c:v>28.081074285714202</c:v>
                </c:pt>
                <c:pt idx="277">
                  <c:v>28.060114285714199</c:v>
                </c:pt>
                <c:pt idx="278">
                  <c:v>28.070594285714201</c:v>
                </c:pt>
                <c:pt idx="279">
                  <c:v>28.112514285714202</c:v>
                </c:pt>
                <c:pt idx="280">
                  <c:v>28.180634285714198</c:v>
                </c:pt>
                <c:pt idx="281">
                  <c:v>28.1131142857142</c:v>
                </c:pt>
                <c:pt idx="282">
                  <c:v>28.066554285714201</c:v>
                </c:pt>
                <c:pt idx="283">
                  <c:v>27.932839999999999</c:v>
                </c:pt>
                <c:pt idx="284">
                  <c:v>27.809605714285698</c:v>
                </c:pt>
                <c:pt idx="285">
                  <c:v>27.815445714285701</c:v>
                </c:pt>
                <c:pt idx="286">
                  <c:v>27.8160457142857</c:v>
                </c:pt>
                <c:pt idx="287">
                  <c:v>27.7956857142857</c:v>
                </c:pt>
                <c:pt idx="288">
                  <c:v>27.759605714285701</c:v>
                </c:pt>
                <c:pt idx="289">
                  <c:v>27.6973257142857</c:v>
                </c:pt>
                <c:pt idx="290">
                  <c:v>27.619325714285701</c:v>
                </c:pt>
                <c:pt idx="291">
                  <c:v>27.5308457142857</c:v>
                </c:pt>
                <c:pt idx="292">
                  <c:v>27.437125714285699</c:v>
                </c:pt>
                <c:pt idx="293">
                  <c:v>27.3329257142857</c:v>
                </c:pt>
                <c:pt idx="294">
                  <c:v>27.2130057142857</c:v>
                </c:pt>
                <c:pt idx="295">
                  <c:v>27.087845714285699</c:v>
                </c:pt>
                <c:pt idx="296">
                  <c:v>26.9469657142857</c:v>
                </c:pt>
                <c:pt idx="297">
                  <c:v>26.779885714285701</c:v>
                </c:pt>
                <c:pt idx="298">
                  <c:v>26.876325714285699</c:v>
                </c:pt>
                <c:pt idx="299">
                  <c:v>26.951805714285701</c:v>
                </c:pt>
                <c:pt idx="300">
                  <c:v>27.001085714285701</c:v>
                </c:pt>
                <c:pt idx="301">
                  <c:v>27.428765714285699</c:v>
                </c:pt>
                <c:pt idx="302">
                  <c:v>27.9778914285714</c:v>
                </c:pt>
                <c:pt idx="303">
                  <c:v>28.629891428571401</c:v>
                </c:pt>
                <c:pt idx="304">
                  <c:v>29.266171428571401</c:v>
                </c:pt>
                <c:pt idx="305">
                  <c:v>29.881491428571401</c:v>
                </c:pt>
                <c:pt idx="306">
                  <c:v>30.475851428571399</c:v>
                </c:pt>
                <c:pt idx="307">
                  <c:v>31.044011428571402</c:v>
                </c:pt>
                <c:pt idx="308">
                  <c:v>31.6783657142857</c:v>
                </c:pt>
                <c:pt idx="309">
                  <c:v>32.276039999999902</c:v>
                </c:pt>
                <c:pt idx="310">
                  <c:v>32.70796</c:v>
                </c:pt>
                <c:pt idx="311">
                  <c:v>33.103199999999902</c:v>
                </c:pt>
                <c:pt idx="312">
                  <c:v>33.461759999999998</c:v>
                </c:pt>
                <c:pt idx="313">
                  <c:v>34.1829999999999</c:v>
                </c:pt>
                <c:pt idx="314">
                  <c:v>35.115559999999903</c:v>
                </c:pt>
                <c:pt idx="315">
                  <c:v>36.162799999999997</c:v>
                </c:pt>
                <c:pt idx="316">
                  <c:v>37.333874285714202</c:v>
                </c:pt>
                <c:pt idx="317">
                  <c:v>38.468268571428503</c:v>
                </c:pt>
                <c:pt idx="318">
                  <c:v>39.597422857142803</c:v>
                </c:pt>
                <c:pt idx="319">
                  <c:v>40.721337142857102</c:v>
                </c:pt>
                <c:pt idx="320">
                  <c:v>41.7318971428571</c:v>
                </c:pt>
                <c:pt idx="321">
                  <c:v>42.747697142857099</c:v>
                </c:pt>
                <c:pt idx="322">
                  <c:v>43.763497142857098</c:v>
                </c:pt>
                <c:pt idx="323">
                  <c:v>44.374697142857102</c:v>
                </c:pt>
                <c:pt idx="324">
                  <c:v>44.985897142857098</c:v>
                </c:pt>
                <c:pt idx="325">
                  <c:v>45.607577142857103</c:v>
                </c:pt>
                <c:pt idx="326">
                  <c:v>45.8351371428571</c:v>
                </c:pt>
                <c:pt idx="327">
                  <c:v>46.062697142857097</c:v>
                </c:pt>
                <c:pt idx="328">
                  <c:v>46.290257142857101</c:v>
                </c:pt>
                <c:pt idx="329">
                  <c:v>46.507337142857097</c:v>
                </c:pt>
                <c:pt idx="330">
                  <c:v>46.605822857142797</c:v>
                </c:pt>
                <c:pt idx="331">
                  <c:v>46.812422857142799</c:v>
                </c:pt>
                <c:pt idx="332">
                  <c:v>47.003302857142799</c:v>
                </c:pt>
                <c:pt idx="333">
                  <c:v>47.350782857142804</c:v>
                </c:pt>
                <c:pt idx="334">
                  <c:v>47.930542857142797</c:v>
                </c:pt>
                <c:pt idx="335">
                  <c:v>48.888702857142803</c:v>
                </c:pt>
                <c:pt idx="336">
                  <c:v>49.862582857142797</c:v>
                </c:pt>
                <c:pt idx="337">
                  <c:v>50.836462857142799</c:v>
                </c:pt>
                <c:pt idx="338">
                  <c:v>51.410982857142798</c:v>
                </c:pt>
                <c:pt idx="339">
                  <c:v>51.742742857142801</c:v>
                </c:pt>
                <c:pt idx="340">
                  <c:v>51.9231428571428</c:v>
                </c:pt>
                <c:pt idx="341">
                  <c:v>51.9535085714285</c:v>
                </c:pt>
                <c:pt idx="342">
                  <c:v>51.989114285714201</c:v>
                </c:pt>
                <c:pt idx="343">
                  <c:v>52.635399999999997</c:v>
                </c:pt>
                <c:pt idx="344">
                  <c:v>53.422565714285703</c:v>
                </c:pt>
                <c:pt idx="345">
                  <c:v>54.286405714285699</c:v>
                </c:pt>
                <c:pt idx="346">
                  <c:v>55.103085714285697</c:v>
                </c:pt>
                <c:pt idx="347">
                  <c:v>55.888325714285699</c:v>
                </c:pt>
                <c:pt idx="348">
                  <c:v>56.621165714285702</c:v>
                </c:pt>
                <c:pt idx="349">
                  <c:v>57.3068457142857</c:v>
                </c:pt>
                <c:pt idx="350">
                  <c:v>57.940125714285699</c:v>
                </c:pt>
                <c:pt idx="351">
                  <c:v>58.688085714285698</c:v>
                </c:pt>
                <c:pt idx="352">
                  <c:v>60.015285714285703</c:v>
                </c:pt>
                <c:pt idx="353">
                  <c:v>61.300565714285703</c:v>
                </c:pt>
                <c:pt idx="354">
                  <c:v>62.543925714285699</c:v>
                </c:pt>
                <c:pt idx="355">
                  <c:v>63.863959999999999</c:v>
                </c:pt>
                <c:pt idx="356">
                  <c:v>65.028720000000007</c:v>
                </c:pt>
                <c:pt idx="357">
                  <c:v>66.793679999999995</c:v>
                </c:pt>
                <c:pt idx="358">
                  <c:v>68.537679999999995</c:v>
                </c:pt>
                <c:pt idx="359">
                  <c:v>70.131314285714197</c:v>
                </c:pt>
                <c:pt idx="360">
                  <c:v>71.206994285714202</c:v>
                </c:pt>
                <c:pt idx="361">
                  <c:v>72.240754285714203</c:v>
                </c:pt>
                <c:pt idx="362">
                  <c:v>73.258794285714202</c:v>
                </c:pt>
                <c:pt idx="363">
                  <c:v>74.2611142857142</c:v>
                </c:pt>
                <c:pt idx="364">
                  <c:v>75.366308571428505</c:v>
                </c:pt>
                <c:pt idx="365">
                  <c:v>76.613908571428496</c:v>
                </c:pt>
                <c:pt idx="366">
                  <c:v>78.362548571428505</c:v>
                </c:pt>
                <c:pt idx="367">
                  <c:v>80.090228571428497</c:v>
                </c:pt>
                <c:pt idx="368">
                  <c:v>81.160068571428496</c:v>
                </c:pt>
                <c:pt idx="369">
                  <c:v>82.344588571428503</c:v>
                </c:pt>
                <c:pt idx="370">
                  <c:v>83.722188571428603</c:v>
                </c:pt>
                <c:pt idx="371">
                  <c:v>85.257914285714193</c:v>
                </c:pt>
                <c:pt idx="372">
                  <c:v>86.777919999999995</c:v>
                </c:pt>
                <c:pt idx="373">
                  <c:v>88.287445714285695</c:v>
                </c:pt>
                <c:pt idx="374">
                  <c:v>89.786491428571395</c:v>
                </c:pt>
                <c:pt idx="375">
                  <c:v>91.398891428571403</c:v>
                </c:pt>
                <c:pt idx="376">
                  <c:v>92.833731428571397</c:v>
                </c:pt>
                <c:pt idx="377">
                  <c:v>94.425171428571403</c:v>
                </c:pt>
                <c:pt idx="378">
                  <c:v>96.000891428571407</c:v>
                </c:pt>
                <c:pt idx="379">
                  <c:v>97.566131428571396</c:v>
                </c:pt>
                <c:pt idx="380">
                  <c:v>99.115651428571397</c:v>
                </c:pt>
                <c:pt idx="381">
                  <c:v>101.048811428571</c:v>
                </c:pt>
                <c:pt idx="382">
                  <c:v>102.71825142857099</c:v>
                </c:pt>
                <c:pt idx="383">
                  <c:v>104.210131428571</c:v>
                </c:pt>
                <c:pt idx="384">
                  <c:v>105.609617142857</c:v>
                </c:pt>
                <c:pt idx="385">
                  <c:v>107.064817142857</c:v>
                </c:pt>
                <c:pt idx="386">
                  <c:v>108.546217142857</c:v>
                </c:pt>
                <c:pt idx="387">
                  <c:v>110.137057142857</c:v>
                </c:pt>
                <c:pt idx="388">
                  <c:v>112.34381714285701</c:v>
                </c:pt>
                <c:pt idx="389">
                  <c:v>114.400542857142</c:v>
                </c:pt>
                <c:pt idx="390">
                  <c:v>116.278182857142</c:v>
                </c:pt>
                <c:pt idx="391">
                  <c:v>117.63382285714199</c:v>
                </c:pt>
                <c:pt idx="392">
                  <c:v>119.64862857142801</c:v>
                </c:pt>
                <c:pt idx="393">
                  <c:v>121.766308571428</c:v>
                </c:pt>
                <c:pt idx="394">
                  <c:v>123.565548571428</c:v>
                </c:pt>
                <c:pt idx="395">
                  <c:v>125.12978857142799</c:v>
                </c:pt>
                <c:pt idx="396">
                  <c:v>126.504462857142</c:v>
                </c:pt>
                <c:pt idx="397">
                  <c:v>128.35941714285701</c:v>
                </c:pt>
                <c:pt idx="398">
                  <c:v>130.50661142857101</c:v>
                </c:pt>
                <c:pt idx="399">
                  <c:v>132.64856571428501</c:v>
                </c:pt>
                <c:pt idx="400">
                  <c:v>134.65620571428499</c:v>
                </c:pt>
                <c:pt idx="401">
                  <c:v>136.65860571428499</c:v>
                </c:pt>
                <c:pt idx="402">
                  <c:v>138.277365714285</c:v>
                </c:pt>
                <c:pt idx="403">
                  <c:v>140.30596571428501</c:v>
                </c:pt>
                <c:pt idx="404">
                  <c:v>142.318845714285</c:v>
                </c:pt>
                <c:pt idx="405">
                  <c:v>144.321245714285</c:v>
                </c:pt>
                <c:pt idx="406">
                  <c:v>145.91904571428501</c:v>
                </c:pt>
                <c:pt idx="407">
                  <c:v>147.553525714285</c:v>
                </c:pt>
                <c:pt idx="408">
                  <c:v>149.57164571428501</c:v>
                </c:pt>
                <c:pt idx="409">
                  <c:v>151.553085714285</c:v>
                </c:pt>
                <c:pt idx="410">
                  <c:v>153.565965714285</c:v>
                </c:pt>
                <c:pt idx="411">
                  <c:v>155.531685714285</c:v>
                </c:pt>
                <c:pt idx="412">
                  <c:v>157.988165714285</c:v>
                </c:pt>
                <c:pt idx="413">
                  <c:v>159.96436571428501</c:v>
                </c:pt>
                <c:pt idx="414">
                  <c:v>161.945805714285</c:v>
                </c:pt>
                <c:pt idx="415">
                  <c:v>163.92200571428501</c:v>
                </c:pt>
                <c:pt idx="416">
                  <c:v>165.872005714285</c:v>
                </c:pt>
                <c:pt idx="417">
                  <c:v>167.14187999999999</c:v>
                </c:pt>
                <c:pt idx="418">
                  <c:v>169.09187999999901</c:v>
                </c:pt>
                <c:pt idx="419">
                  <c:v>171.03664000000001</c:v>
                </c:pt>
                <c:pt idx="420">
                  <c:v>172.97615999999999</c:v>
                </c:pt>
                <c:pt idx="421">
                  <c:v>174.91567999999901</c:v>
                </c:pt>
                <c:pt idx="422">
                  <c:v>177.16316</c:v>
                </c:pt>
                <c:pt idx="423">
                  <c:v>179.10792000000001</c:v>
                </c:pt>
                <c:pt idx="424">
                  <c:v>181.04743999999999</c:v>
                </c:pt>
                <c:pt idx="425">
                  <c:v>182.98696000000001</c:v>
                </c:pt>
                <c:pt idx="426">
                  <c:v>184.92124000000001</c:v>
                </c:pt>
                <c:pt idx="427">
                  <c:v>186.8398</c:v>
                </c:pt>
                <c:pt idx="428">
                  <c:v>188.73740000000001</c:v>
                </c:pt>
                <c:pt idx="429">
                  <c:v>190.64024000000001</c:v>
                </c:pt>
                <c:pt idx="430">
                  <c:v>192.56404000000001</c:v>
                </c:pt>
                <c:pt idx="431">
                  <c:v>194.96268000000001</c:v>
                </c:pt>
                <c:pt idx="432">
                  <c:v>197.22819999999999</c:v>
                </c:pt>
                <c:pt idx="433">
                  <c:v>199.10484</c:v>
                </c:pt>
                <c:pt idx="434">
                  <c:v>200.99196000000001</c:v>
                </c:pt>
                <c:pt idx="435">
                  <c:v>202.88955999999999</c:v>
                </c:pt>
                <c:pt idx="436">
                  <c:v>204.79764</c:v>
                </c:pt>
                <c:pt idx="437">
                  <c:v>206.21363428571399</c:v>
                </c:pt>
                <c:pt idx="438">
                  <c:v>208.168874285714</c:v>
                </c:pt>
                <c:pt idx="439">
                  <c:v>210.134594285714</c:v>
                </c:pt>
                <c:pt idx="440">
                  <c:v>212.11603428571399</c:v>
                </c:pt>
                <c:pt idx="441">
                  <c:v>214.113194285714</c:v>
                </c:pt>
                <c:pt idx="442">
                  <c:v>216.12083428571401</c:v>
                </c:pt>
                <c:pt idx="443">
                  <c:v>218.02036000000001</c:v>
                </c:pt>
                <c:pt idx="444">
                  <c:v>220.05420000000001</c:v>
                </c:pt>
                <c:pt idx="445">
                  <c:v>222.10375999999999</c:v>
                </c:pt>
                <c:pt idx="446">
                  <c:v>224.16904</c:v>
                </c:pt>
                <c:pt idx="447">
                  <c:v>225.45132000000001</c:v>
                </c:pt>
                <c:pt idx="448">
                  <c:v>226.75980000000001</c:v>
                </c:pt>
                <c:pt idx="449">
                  <c:v>228.38692</c:v>
                </c:pt>
                <c:pt idx="450">
                  <c:v>230.26476</c:v>
                </c:pt>
                <c:pt idx="451">
                  <c:v>232.49771999999999</c:v>
                </c:pt>
                <c:pt idx="452">
                  <c:v>234.36276000000001</c:v>
                </c:pt>
                <c:pt idx="453">
                  <c:v>235.8494</c:v>
                </c:pt>
                <c:pt idx="454">
                  <c:v>237.37796</c:v>
                </c:pt>
                <c:pt idx="455">
                  <c:v>238.94319999999999</c:v>
                </c:pt>
                <c:pt idx="456">
                  <c:v>240.04931999999999</c:v>
                </c:pt>
                <c:pt idx="457">
                  <c:v>240.90492</c:v>
                </c:pt>
                <c:pt idx="458">
                  <c:v>242.1104</c:v>
                </c:pt>
                <c:pt idx="459">
                  <c:v>243.71948571428501</c:v>
                </c:pt>
                <c:pt idx="460">
                  <c:v>245.47336571428499</c:v>
                </c:pt>
                <c:pt idx="461">
                  <c:v>247.25868571428501</c:v>
                </c:pt>
                <c:pt idx="462">
                  <c:v>248.84349714285699</c:v>
                </c:pt>
                <c:pt idx="463">
                  <c:v>249.89297714285701</c:v>
                </c:pt>
                <c:pt idx="464">
                  <c:v>250.984377142857</c:v>
                </c:pt>
                <c:pt idx="465">
                  <c:v>252.11245714285701</c:v>
                </c:pt>
                <c:pt idx="466">
                  <c:v>253.27721714285701</c:v>
                </c:pt>
                <c:pt idx="467">
                  <c:v>254.478657142857</c:v>
                </c:pt>
                <c:pt idx="468">
                  <c:v>255.03665142857099</c:v>
                </c:pt>
                <c:pt idx="469">
                  <c:v>255.517971428571</c:v>
                </c:pt>
                <c:pt idx="470">
                  <c:v>256.21877142857102</c:v>
                </c:pt>
                <c:pt idx="471">
                  <c:v>257.27469142857097</c:v>
                </c:pt>
                <c:pt idx="472">
                  <c:v>258.67525142857102</c:v>
                </c:pt>
                <c:pt idx="473">
                  <c:v>260.10725142857098</c:v>
                </c:pt>
                <c:pt idx="474">
                  <c:v>261.27825142857102</c:v>
                </c:pt>
                <c:pt idx="475">
                  <c:v>262.25617142857101</c:v>
                </c:pt>
                <c:pt idx="476">
                  <c:v>262.93137142857103</c:v>
                </c:pt>
                <c:pt idx="477">
                  <c:v>263.61705142857102</c:v>
                </c:pt>
                <c:pt idx="478">
                  <c:v>264.32893142857102</c:v>
                </c:pt>
                <c:pt idx="479">
                  <c:v>265.05129142857101</c:v>
                </c:pt>
                <c:pt idx="480">
                  <c:v>265.77365142857099</c:v>
                </c:pt>
                <c:pt idx="481">
                  <c:v>266.527451428571</c:v>
                </c:pt>
                <c:pt idx="482">
                  <c:v>267.29173142857098</c:v>
                </c:pt>
                <c:pt idx="483">
                  <c:v>268.28053142857101</c:v>
                </c:pt>
                <c:pt idx="484">
                  <c:v>269.05529142857102</c:v>
                </c:pt>
                <c:pt idx="485">
                  <c:v>269.84577142857103</c:v>
                </c:pt>
                <c:pt idx="486">
                  <c:v>270.65197142857102</c:v>
                </c:pt>
                <c:pt idx="487">
                  <c:v>271.57676571428499</c:v>
                </c:pt>
                <c:pt idx="488">
                  <c:v>272.39344571428501</c:v>
                </c:pt>
                <c:pt idx="489">
                  <c:v>273.22584571428501</c:v>
                </c:pt>
                <c:pt idx="490">
                  <c:v>274.07920571428502</c:v>
                </c:pt>
                <c:pt idx="491">
                  <c:v>274.94828571428502</c:v>
                </c:pt>
                <c:pt idx="492">
                  <c:v>275.82784571428499</c:v>
                </c:pt>
                <c:pt idx="493">
                  <c:v>276.71788571428499</c:v>
                </c:pt>
                <c:pt idx="494">
                  <c:v>277.72127999999998</c:v>
                </c:pt>
                <c:pt idx="495">
                  <c:v>278.55235428571399</c:v>
                </c:pt>
                <c:pt idx="496">
                  <c:v>279.07546857142802</c:v>
                </c:pt>
                <c:pt idx="497">
                  <c:v>279.16678857142801</c:v>
                </c:pt>
                <c:pt idx="498">
                  <c:v>279.43042857142802</c:v>
                </c:pt>
                <c:pt idx="499">
                  <c:v>279.952548571428</c:v>
                </c:pt>
                <c:pt idx="500">
                  <c:v>280.47466857142803</c:v>
                </c:pt>
                <c:pt idx="501">
                  <c:v>281.417108571428</c:v>
                </c:pt>
                <c:pt idx="502">
                  <c:v>282.37002857142801</c:v>
                </c:pt>
                <c:pt idx="503">
                  <c:v>283.338668571428</c:v>
                </c:pt>
                <c:pt idx="504">
                  <c:v>284.32302857142798</c:v>
                </c:pt>
                <c:pt idx="505">
                  <c:v>285.32310857142801</c:v>
                </c:pt>
                <c:pt idx="506">
                  <c:v>286.34414857142798</c:v>
                </c:pt>
                <c:pt idx="507">
                  <c:v>287.38090857142799</c:v>
                </c:pt>
                <c:pt idx="508">
                  <c:v>287.90614857142799</c:v>
                </c:pt>
                <c:pt idx="509">
                  <c:v>288.29422285714202</c:v>
                </c:pt>
                <c:pt idx="510">
                  <c:v>288.58466285714201</c:v>
                </c:pt>
                <c:pt idx="511">
                  <c:v>288.89082285714198</c:v>
                </c:pt>
                <c:pt idx="512">
                  <c:v>289.21794285714202</c:v>
                </c:pt>
                <c:pt idx="513">
                  <c:v>289.56078285714199</c:v>
                </c:pt>
                <c:pt idx="514">
                  <c:v>289.90886285714203</c:v>
                </c:pt>
                <c:pt idx="515">
                  <c:v>290.26742285714198</c:v>
                </c:pt>
                <c:pt idx="516">
                  <c:v>290.64170285714198</c:v>
                </c:pt>
                <c:pt idx="517">
                  <c:v>291.04742285714201</c:v>
                </c:pt>
                <c:pt idx="518">
                  <c:v>291.479342857142</c:v>
                </c:pt>
                <c:pt idx="519">
                  <c:v>291.829348571428</c:v>
                </c:pt>
                <c:pt idx="520">
                  <c:v>292.20555428571402</c:v>
                </c:pt>
                <c:pt idx="521">
                  <c:v>292.60271999999998</c:v>
                </c:pt>
                <c:pt idx="522">
                  <c:v>293.14467999999999</c:v>
                </c:pt>
                <c:pt idx="523">
                  <c:v>293.53528</c:v>
                </c:pt>
                <c:pt idx="524">
                  <c:v>293.68835999999999</c:v>
                </c:pt>
                <c:pt idx="525">
                  <c:v>293.86763999999999</c:v>
                </c:pt>
                <c:pt idx="527">
                  <c:v>293.65279999999899</c:v>
                </c:pt>
                <c:pt idx="528">
                  <c:v>293.45891999999998</c:v>
                </c:pt>
                <c:pt idx="529">
                  <c:v>293.27551999999997</c:v>
                </c:pt>
                <c:pt idx="530">
                  <c:v>293.1026</c:v>
                </c:pt>
                <c:pt idx="531">
                  <c:v>292.91395999999997</c:v>
                </c:pt>
                <c:pt idx="532">
                  <c:v>292.72531999999899</c:v>
                </c:pt>
                <c:pt idx="533">
                  <c:v>292.53667999999902</c:v>
                </c:pt>
                <c:pt idx="534">
                  <c:v>292.348039999999</c:v>
                </c:pt>
                <c:pt idx="535">
                  <c:v>292.164639999999</c:v>
                </c:pt>
                <c:pt idx="536">
                  <c:v>291.98123999999899</c:v>
                </c:pt>
                <c:pt idx="537">
                  <c:v>291.78735999999901</c:v>
                </c:pt>
                <c:pt idx="538">
                  <c:v>291.90667999999903</c:v>
                </c:pt>
                <c:pt idx="539">
                  <c:v>292.38244571428498</c:v>
                </c:pt>
                <c:pt idx="540">
                  <c:v>293.07443999999998</c:v>
                </c:pt>
                <c:pt idx="541">
                  <c:v>293.62687999999901</c:v>
                </c:pt>
                <c:pt idx="542">
                  <c:v>294.16359999999997</c:v>
                </c:pt>
                <c:pt idx="543">
                  <c:v>294.67935999999997</c:v>
                </c:pt>
                <c:pt idx="544">
                  <c:v>295.16891999999899</c:v>
                </c:pt>
                <c:pt idx="545">
                  <c:v>295.63227999999998</c:v>
                </c:pt>
                <c:pt idx="546">
                  <c:v>296.06943999999999</c:v>
                </c:pt>
                <c:pt idx="547">
                  <c:v>296.48039999999997</c:v>
                </c:pt>
                <c:pt idx="548">
                  <c:v>296.87039999999899</c:v>
                </c:pt>
                <c:pt idx="549">
                  <c:v>297.23419999999999</c:v>
                </c:pt>
                <c:pt idx="550">
                  <c:v>297.57704000000001</c:v>
                </c:pt>
                <c:pt idx="551">
                  <c:v>297.90415999999999</c:v>
                </c:pt>
                <c:pt idx="552">
                  <c:v>298.21555999999998</c:v>
                </c:pt>
                <c:pt idx="553">
                  <c:v>298.50599999999997</c:v>
                </c:pt>
                <c:pt idx="554">
                  <c:v>298.78595999999999</c:v>
                </c:pt>
                <c:pt idx="555">
                  <c:v>299.05020000000002</c:v>
                </c:pt>
                <c:pt idx="556">
                  <c:v>299.31443999999999</c:v>
                </c:pt>
                <c:pt idx="557">
                  <c:v>299.73003999999997</c:v>
                </c:pt>
                <c:pt idx="558">
                  <c:v>300.37791999999899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1F2-428B-AA39-8D70889B485A}"/>
            </c:ext>
          </c:extLst>
        </c:ser>
        <c:ser>
          <c:idx val="6"/>
          <c:order val="3"/>
          <c:tx>
            <c:strRef>
              <c:f>'Maju 0.05'!$M$6</c:f>
              <c:strCache>
                <c:ptCount val="1"/>
                <c:pt idx="0">
                  <c:v>'estimator'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0.05'!$M$7:$M$565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32.619588571428501</c:v>
                </c:pt>
                <c:pt idx="252">
                  <c:v>32.310053748249302</c:v>
                </c:pt>
                <c:pt idx="253">
                  <c:v>31.8821872614329</c:v>
                </c:pt>
                <c:pt idx="254">
                  <c:v>31.412855803096399</c:v>
                </c:pt>
                <c:pt idx="255">
                  <c:v>31.072485701285601</c:v>
                </c:pt>
                <c:pt idx="256">
                  <c:v>30.8422993691367</c:v>
                </c:pt>
                <c:pt idx="257">
                  <c:v>30.515112034661399</c:v>
                </c:pt>
                <c:pt idx="258">
                  <c:v>30.289550001189401</c:v>
                </c:pt>
                <c:pt idx="259">
                  <c:v>30.071772469080599</c:v>
                </c:pt>
                <c:pt idx="260">
                  <c:v>30.0087677736419</c:v>
                </c:pt>
                <c:pt idx="261">
                  <c:v>29.818831502841402</c:v>
                </c:pt>
                <c:pt idx="262">
                  <c:v>29.656325052285901</c:v>
                </c:pt>
                <c:pt idx="263">
                  <c:v>29.4976140720022</c:v>
                </c:pt>
                <c:pt idx="264">
                  <c:v>29.667960777580699</c:v>
                </c:pt>
                <c:pt idx="265">
                  <c:v>30.308275301503599</c:v>
                </c:pt>
                <c:pt idx="266">
                  <c:v>31.182096134028399</c:v>
                </c:pt>
                <c:pt idx="267">
                  <c:v>31.8006552025014</c:v>
                </c:pt>
                <c:pt idx="268">
                  <c:v>32.437972065239897</c:v>
                </c:pt>
                <c:pt idx="269">
                  <c:v>33.074075942161002</c:v>
                </c:pt>
                <c:pt idx="270">
                  <c:v>33.726426763985501</c:v>
                </c:pt>
                <c:pt idx="271">
                  <c:v>34.385968930418599</c:v>
                </c:pt>
                <c:pt idx="272">
                  <c:v>35.3602433607238</c:v>
                </c:pt>
                <c:pt idx="273">
                  <c:v>36.1893097245296</c:v>
                </c:pt>
                <c:pt idx="274">
                  <c:v>36.690627663016997</c:v>
                </c:pt>
                <c:pt idx="275">
                  <c:v>37.761549015775202</c:v>
                </c:pt>
                <c:pt idx="276">
                  <c:v>38.201371153788003</c:v>
                </c:pt>
                <c:pt idx="277">
                  <c:v>38.885733232020797</c:v>
                </c:pt>
                <c:pt idx="278">
                  <c:v>39.629051087388802</c:v>
                </c:pt>
                <c:pt idx="279">
                  <c:v>40.817146049045299</c:v>
                </c:pt>
                <c:pt idx="280">
                  <c:v>41.662035581682197</c:v>
                </c:pt>
                <c:pt idx="281">
                  <c:v>42.376892294174098</c:v>
                </c:pt>
                <c:pt idx="282">
                  <c:v>43.545154237225098</c:v>
                </c:pt>
                <c:pt idx="283">
                  <c:v>43.835065121255496</c:v>
                </c:pt>
                <c:pt idx="284">
                  <c:v>44.5424459939359</c:v>
                </c:pt>
                <c:pt idx="285">
                  <c:v>45.399409037020703</c:v>
                </c:pt>
                <c:pt idx="286">
                  <c:v>46.675310644162103</c:v>
                </c:pt>
                <c:pt idx="287">
                  <c:v>47.552960029568801</c:v>
                </c:pt>
                <c:pt idx="288">
                  <c:v>48.437045939682903</c:v>
                </c:pt>
                <c:pt idx="289">
                  <c:v>49.268430827149203</c:v>
                </c:pt>
                <c:pt idx="290">
                  <c:v>50.0798800135588</c:v>
                </c:pt>
                <c:pt idx="291">
                  <c:v>50.879947703082998</c:v>
                </c:pt>
                <c:pt idx="292">
                  <c:v>52.0416066949889</c:v>
                </c:pt>
                <c:pt idx="293">
                  <c:v>52.347575339726397</c:v>
                </c:pt>
                <c:pt idx="294">
                  <c:v>53.023116227561701</c:v>
                </c:pt>
                <c:pt idx="295">
                  <c:v>54.083272053094397</c:v>
                </c:pt>
                <c:pt idx="296">
                  <c:v>54.313496378236501</c:v>
                </c:pt>
                <c:pt idx="297">
                  <c:v>55.251924249548502</c:v>
                </c:pt>
                <c:pt idx="298">
                  <c:v>56.063096142140701</c:v>
                </c:pt>
                <c:pt idx="299">
                  <c:v>56.848708766302302</c:v>
                </c:pt>
                <c:pt idx="300">
                  <c:v>57.598779691925401</c:v>
                </c:pt>
                <c:pt idx="301">
                  <c:v>58.686430768997703</c:v>
                </c:pt>
                <c:pt idx="302">
                  <c:v>59.8782887696388</c:v>
                </c:pt>
                <c:pt idx="303">
                  <c:v>61.157383317464102</c:v>
                </c:pt>
                <c:pt idx="304">
                  <c:v>62.725239506319603</c:v>
                </c:pt>
                <c:pt idx="305">
                  <c:v>63.649618813375703</c:v>
                </c:pt>
                <c:pt idx="306">
                  <c:v>64.843452949434607</c:v>
                </c:pt>
                <c:pt idx="307">
                  <c:v>65.985789772226596</c:v>
                </c:pt>
                <c:pt idx="308">
                  <c:v>67.187531600528999</c:v>
                </c:pt>
                <c:pt idx="309">
                  <c:v>68.326171129007506</c:v>
                </c:pt>
                <c:pt idx="310">
                  <c:v>69.528084273286893</c:v>
                </c:pt>
                <c:pt idx="311">
                  <c:v>70.435657738517193</c:v>
                </c:pt>
                <c:pt idx="312">
                  <c:v>71.299931032178904</c:v>
                </c:pt>
                <c:pt idx="313">
                  <c:v>72.501170276242306</c:v>
                </c:pt>
                <c:pt idx="314">
                  <c:v>73.904410411079198</c:v>
                </c:pt>
                <c:pt idx="315">
                  <c:v>75.404600789153704</c:v>
                </c:pt>
                <c:pt idx="316">
                  <c:v>77.031181117299298</c:v>
                </c:pt>
                <c:pt idx="317">
                  <c:v>78.816603595450502</c:v>
                </c:pt>
                <c:pt idx="318">
                  <c:v>80.160585797579202</c:v>
                </c:pt>
                <c:pt idx="319">
                  <c:v>81.700034738771393</c:v>
                </c:pt>
                <c:pt idx="320">
                  <c:v>83.111553898112803</c:v>
                </c:pt>
                <c:pt idx="321">
                  <c:v>84.518638227398796</c:v>
                </c:pt>
                <c:pt idx="322">
                  <c:v>86.489195390018295</c:v>
                </c:pt>
                <c:pt idx="323">
                  <c:v>87.285741834948695</c:v>
                </c:pt>
                <c:pt idx="324">
                  <c:v>88.068540820163605</c:v>
                </c:pt>
                <c:pt idx="325">
                  <c:v>89.039810622464202</c:v>
                </c:pt>
                <c:pt idx="326">
                  <c:v>89.614052705289794</c:v>
                </c:pt>
                <c:pt idx="327">
                  <c:v>90.336808224784207</c:v>
                </c:pt>
                <c:pt idx="328">
                  <c:v>90.7286860778744</c:v>
                </c:pt>
                <c:pt idx="329">
                  <c:v>91.262257122848098</c:v>
                </c:pt>
                <c:pt idx="330">
                  <c:v>91.824450353402497</c:v>
                </c:pt>
                <c:pt idx="331">
                  <c:v>92.331577966495502</c:v>
                </c:pt>
                <c:pt idx="332">
                  <c:v>92.820773768074702</c:v>
                </c:pt>
                <c:pt idx="333">
                  <c:v>93.450366257468403</c:v>
                </c:pt>
                <c:pt idx="334">
                  <c:v>94.168068730738995</c:v>
                </c:pt>
                <c:pt idx="335">
                  <c:v>95.527738525486399</c:v>
                </c:pt>
                <c:pt idx="336">
                  <c:v>96.767246787477902</c:v>
                </c:pt>
                <c:pt idx="337">
                  <c:v>97.993776965817403</c:v>
                </c:pt>
                <c:pt idx="338">
                  <c:v>98.818350194408794</c:v>
                </c:pt>
                <c:pt idx="339">
                  <c:v>99.391697540452498</c:v>
                </c:pt>
                <c:pt idx="340">
                  <c:v>99.805819967887899</c:v>
                </c:pt>
                <c:pt idx="341">
                  <c:v>100.067330951035</c:v>
                </c:pt>
                <c:pt idx="342">
                  <c:v>100.439805170339</c:v>
                </c:pt>
                <c:pt idx="343">
                  <c:v>101.304359569401</c:v>
                </c:pt>
                <c:pt idx="344">
                  <c:v>102.29914495545199</c:v>
                </c:pt>
                <c:pt idx="345">
                  <c:v>103.36991946835001</c:v>
                </c:pt>
                <c:pt idx="346">
                  <c:v>104.38756354774701</c:v>
                </c:pt>
                <c:pt idx="347">
                  <c:v>105.366733817625</c:v>
                </c:pt>
                <c:pt idx="348">
                  <c:v>106.29625493710699</c:v>
                </c:pt>
                <c:pt idx="349">
                  <c:v>107.17451309199799</c:v>
                </c:pt>
                <c:pt idx="350">
                  <c:v>108.07603493614999</c:v>
                </c:pt>
                <c:pt idx="351">
                  <c:v>109.001782874611</c:v>
                </c:pt>
                <c:pt idx="352">
                  <c:v>110.502817923715</c:v>
                </c:pt>
                <c:pt idx="353">
                  <c:v>111.877989195026</c:v>
                </c:pt>
                <c:pt idx="354">
                  <c:v>113.361515045564</c:v>
                </c:pt>
                <c:pt idx="355">
                  <c:v>114.92222947447701</c:v>
                </c:pt>
                <c:pt idx="356">
                  <c:v>116.16675243763299</c:v>
                </c:pt>
                <c:pt idx="357">
                  <c:v>118.079170649315</c:v>
                </c:pt>
                <c:pt idx="358">
                  <c:v>119.973083601401</c:v>
                </c:pt>
                <c:pt idx="359">
                  <c:v>121.71197984570099</c:v>
                </c:pt>
                <c:pt idx="360">
                  <c:v>122.999080745885</c:v>
                </c:pt>
                <c:pt idx="361">
                  <c:v>124.100003511815</c:v>
                </c:pt>
                <c:pt idx="362">
                  <c:v>125.38378749607</c:v>
                </c:pt>
                <c:pt idx="363">
                  <c:v>126.45279858422499</c:v>
                </c:pt>
                <c:pt idx="364">
                  <c:v>127.682803667573</c:v>
                </c:pt>
                <c:pt idx="365">
                  <c:v>129.05023850549401</c:v>
                </c:pt>
                <c:pt idx="366">
                  <c:v>130.918382455504</c:v>
                </c:pt>
                <c:pt idx="367">
                  <c:v>132.76057562729599</c:v>
                </c:pt>
                <c:pt idx="368">
                  <c:v>134.002628873959</c:v>
                </c:pt>
                <c:pt idx="369">
                  <c:v>135.30223229956999</c:v>
                </c:pt>
                <c:pt idx="370">
                  <c:v>136.78869081478999</c:v>
                </c:pt>
                <c:pt idx="371">
                  <c:v>138.43047105853199</c:v>
                </c:pt>
                <c:pt idx="372">
                  <c:v>140.10361258777201</c:v>
                </c:pt>
                <c:pt idx="373">
                  <c:v>141.712008225071</c:v>
                </c:pt>
                <c:pt idx="374">
                  <c:v>143.261165944677</c:v>
                </c:pt>
                <c:pt idx="375">
                  <c:v>144.971212170873</c:v>
                </c:pt>
                <c:pt idx="376">
                  <c:v>146.497714322576</c:v>
                </c:pt>
                <c:pt idx="377">
                  <c:v>148.17911908942</c:v>
                </c:pt>
                <c:pt idx="378">
                  <c:v>149.84447375747001</c:v>
                </c:pt>
                <c:pt idx="379">
                  <c:v>151.49409395628001</c:v>
                </c:pt>
                <c:pt idx="380">
                  <c:v>153.16744261409701</c:v>
                </c:pt>
                <c:pt idx="381">
                  <c:v>155.18156592252799</c:v>
                </c:pt>
                <c:pt idx="382">
                  <c:v>156.92895158361199</c:v>
                </c:pt>
                <c:pt idx="383">
                  <c:v>158.49797021402901</c:v>
                </c:pt>
                <c:pt idx="384">
                  <c:v>159.972577470651</c:v>
                </c:pt>
                <c:pt idx="385">
                  <c:v>161.499569694152</c:v>
                </c:pt>
                <c:pt idx="386">
                  <c:v>163.08563040089999</c:v>
                </c:pt>
                <c:pt idx="387">
                  <c:v>164.74356213529401</c:v>
                </c:pt>
                <c:pt idx="388">
                  <c:v>167.01846051946401</c:v>
                </c:pt>
                <c:pt idx="389">
                  <c:v>169.13911356300201</c:v>
                </c:pt>
                <c:pt idx="390">
                  <c:v>171.04921709783301</c:v>
                </c:pt>
                <c:pt idx="391">
                  <c:v>172.469685512746</c:v>
                </c:pt>
                <c:pt idx="392">
                  <c:v>174.54668580131801</c:v>
                </c:pt>
                <c:pt idx="393">
                  <c:v>176.751238925282</c:v>
                </c:pt>
                <c:pt idx="394">
                  <c:v>178.60875379051501</c:v>
                </c:pt>
                <c:pt idx="395">
                  <c:v>180.22808798450799</c:v>
                </c:pt>
                <c:pt idx="396">
                  <c:v>181.65651961772301</c:v>
                </c:pt>
                <c:pt idx="397">
                  <c:v>183.56594504457499</c:v>
                </c:pt>
                <c:pt idx="398">
                  <c:v>185.76508036028</c:v>
                </c:pt>
                <c:pt idx="399">
                  <c:v>187.98205132556899</c:v>
                </c:pt>
                <c:pt idx="400">
                  <c:v>190.03936940267499</c:v>
                </c:pt>
                <c:pt idx="401">
                  <c:v>192.089389989289</c:v>
                </c:pt>
                <c:pt idx="402">
                  <c:v>193.75435248653</c:v>
                </c:pt>
                <c:pt idx="403">
                  <c:v>195.828974729208</c:v>
                </c:pt>
                <c:pt idx="404">
                  <c:v>197.885350216772</c:v>
                </c:pt>
                <c:pt idx="405">
                  <c:v>199.93068564963099</c:v>
                </c:pt>
                <c:pt idx="406">
                  <c:v>201.57162188221301</c:v>
                </c:pt>
                <c:pt idx="407">
                  <c:v>203.24721835555599</c:v>
                </c:pt>
                <c:pt idx="408">
                  <c:v>205.30550087559499</c:v>
                </c:pt>
                <c:pt idx="409">
                  <c:v>207.32595516788999</c:v>
                </c:pt>
                <c:pt idx="410">
                  <c:v>209.37608422373901</c:v>
                </c:pt>
                <c:pt idx="411">
                  <c:v>211.396231567097</c:v>
                </c:pt>
                <c:pt idx="412">
                  <c:v>213.87053767918201</c:v>
                </c:pt>
                <c:pt idx="413">
                  <c:v>215.89809205117999</c:v>
                </c:pt>
                <c:pt idx="414">
                  <c:v>217.91353255880401</c:v>
                </c:pt>
                <c:pt idx="415">
                  <c:v>219.922802019183</c:v>
                </c:pt>
                <c:pt idx="416">
                  <c:v>221.90491080850299</c:v>
                </c:pt>
                <c:pt idx="417">
                  <c:v>223.22105995266301</c:v>
                </c:pt>
                <c:pt idx="418">
                  <c:v>225.245117710377</c:v>
                </c:pt>
                <c:pt idx="419">
                  <c:v>227.20480854218999</c:v>
                </c:pt>
                <c:pt idx="420">
                  <c:v>229.17293438282201</c:v>
                </c:pt>
                <c:pt idx="421">
                  <c:v>231.126164515478</c:v>
                </c:pt>
                <c:pt idx="422">
                  <c:v>233.40093709072599</c:v>
                </c:pt>
                <c:pt idx="423">
                  <c:v>235.371797597935</c:v>
                </c:pt>
                <c:pt idx="424">
                  <c:v>237.348998419905</c:v>
                </c:pt>
                <c:pt idx="425">
                  <c:v>239.313005182545</c:v>
                </c:pt>
                <c:pt idx="426">
                  <c:v>241.271759554205</c:v>
                </c:pt>
                <c:pt idx="427">
                  <c:v>243.21435543653001</c:v>
                </c:pt>
                <c:pt idx="428">
                  <c:v>245.13451009861501</c:v>
                </c:pt>
                <c:pt idx="429">
                  <c:v>247.05928817284601</c:v>
                </c:pt>
                <c:pt idx="430">
                  <c:v>248.99898365778901</c:v>
                </c:pt>
                <c:pt idx="431">
                  <c:v>251.43561731438501</c:v>
                </c:pt>
                <c:pt idx="432">
                  <c:v>253.720716267044</c:v>
                </c:pt>
                <c:pt idx="433">
                  <c:v>255.61755919632</c:v>
                </c:pt>
                <c:pt idx="434">
                  <c:v>257.524219526423</c:v>
                </c:pt>
                <c:pt idx="435">
                  <c:v>259.440681806886</c:v>
                </c:pt>
                <c:pt idx="436">
                  <c:v>261.36733648556998</c:v>
                </c:pt>
                <c:pt idx="437">
                  <c:v>262.80144690207402</c:v>
                </c:pt>
                <c:pt idx="438">
                  <c:v>264.78321293936699</c:v>
                </c:pt>
                <c:pt idx="439">
                  <c:v>266.76609939615901</c:v>
                </c:pt>
                <c:pt idx="440">
                  <c:v>268.75580823771298</c:v>
                </c:pt>
                <c:pt idx="441">
                  <c:v>270.77766086918899</c:v>
                </c:pt>
                <c:pt idx="442">
                  <c:v>272.801032233814</c:v>
                </c:pt>
                <c:pt idx="443">
                  <c:v>274.71585790059902</c:v>
                </c:pt>
                <c:pt idx="444">
                  <c:v>276.76505239814003</c:v>
                </c:pt>
                <c:pt idx="445">
                  <c:v>278.829584234641</c:v>
                </c:pt>
                <c:pt idx="446">
                  <c:v>280.909210746209</c:v>
                </c:pt>
                <c:pt idx="447">
                  <c:v>282.21215254803599</c:v>
                </c:pt>
                <c:pt idx="448">
                  <c:v>283.53395660004099</c:v>
                </c:pt>
                <c:pt idx="449">
                  <c:v>285.17392053400403</c:v>
                </c:pt>
                <c:pt idx="450">
                  <c:v>287.06446773303901</c:v>
                </c:pt>
                <c:pt idx="451">
                  <c:v>289.30989550911102</c:v>
                </c:pt>
                <c:pt idx="452">
                  <c:v>291.18688275974</c:v>
                </c:pt>
                <c:pt idx="453">
                  <c:v>292.68565809115398</c:v>
                </c:pt>
                <c:pt idx="454">
                  <c:v>294.225459376537</c:v>
                </c:pt>
                <c:pt idx="455">
                  <c:v>295.80756236587598</c:v>
                </c:pt>
                <c:pt idx="456">
                  <c:v>296.92442789626398</c:v>
                </c:pt>
                <c:pt idx="457">
                  <c:v>297.78548393866402</c:v>
                </c:pt>
                <c:pt idx="458">
                  <c:v>299.00143716749301</c:v>
                </c:pt>
                <c:pt idx="459">
                  <c:v>300.620973838797</c:v>
                </c:pt>
                <c:pt idx="460">
                  <c:v>302.385074403793</c:v>
                </c:pt>
                <c:pt idx="461">
                  <c:v>304.18484906431399</c:v>
                </c:pt>
                <c:pt idx="462">
                  <c:v>305.77901301124302</c:v>
                </c:pt>
                <c:pt idx="463">
                  <c:v>306.83737346315598</c:v>
                </c:pt>
                <c:pt idx="464">
                  <c:v>307.937699387149</c:v>
                </c:pt>
                <c:pt idx="465">
                  <c:v>309.07454824625103</c:v>
                </c:pt>
                <c:pt idx="466">
                  <c:v>310.24783724034899</c:v>
                </c:pt>
                <c:pt idx="467">
                  <c:v>311.45731999069301</c:v>
                </c:pt>
                <c:pt idx="468">
                  <c:v>312.023332001303</c:v>
                </c:pt>
                <c:pt idx="469">
                  <c:v>312.51630186544003</c:v>
                </c:pt>
                <c:pt idx="470">
                  <c:v>313.22454890243199</c:v>
                </c:pt>
                <c:pt idx="471">
                  <c:v>314.28412052017001</c:v>
                </c:pt>
                <c:pt idx="472">
                  <c:v>315.69550462613199</c:v>
                </c:pt>
                <c:pt idx="473">
                  <c:v>317.13460152709803</c:v>
                </c:pt>
                <c:pt idx="474">
                  <c:v>318.30903470362199</c:v>
                </c:pt>
                <c:pt idx="475">
                  <c:v>319.293602584648</c:v>
                </c:pt>
                <c:pt idx="476">
                  <c:v>319.97854200682502</c:v>
                </c:pt>
                <c:pt idx="477">
                  <c:v>320.670427237409</c:v>
                </c:pt>
                <c:pt idx="478">
                  <c:v>321.38836885984199</c:v>
                </c:pt>
                <c:pt idx="479">
                  <c:v>322.11668545789399</c:v>
                </c:pt>
                <c:pt idx="480">
                  <c:v>322.84483373019901</c:v>
                </c:pt>
                <c:pt idx="481">
                  <c:v>323.60696083882499</c:v>
                </c:pt>
                <c:pt idx="482">
                  <c:v>324.37678970436002</c:v>
                </c:pt>
                <c:pt idx="483">
                  <c:v>325.37116904189298</c:v>
                </c:pt>
                <c:pt idx="484">
                  <c:v>326.151114124034</c:v>
                </c:pt>
                <c:pt idx="485">
                  <c:v>326.94665462032998</c:v>
                </c:pt>
                <c:pt idx="486">
                  <c:v>327.757867726749</c:v>
                </c:pt>
                <c:pt idx="487">
                  <c:v>328.687625528034</c:v>
                </c:pt>
                <c:pt idx="488">
                  <c:v>329.51143609203501</c:v>
                </c:pt>
                <c:pt idx="489">
                  <c:v>330.34845411926</c:v>
                </c:pt>
                <c:pt idx="490">
                  <c:v>331.20630629043302</c:v>
                </c:pt>
                <c:pt idx="491">
                  <c:v>332.07768390300203</c:v>
                </c:pt>
                <c:pt idx="492">
                  <c:v>332.96356547459101</c:v>
                </c:pt>
                <c:pt idx="493">
                  <c:v>333.855647776198</c:v>
                </c:pt>
                <c:pt idx="494">
                  <c:v>334.863098151332</c:v>
                </c:pt>
                <c:pt idx="495">
                  <c:v>335.69998323399199</c:v>
                </c:pt>
                <c:pt idx="496">
                  <c:v>336.226866793694</c:v>
                </c:pt>
                <c:pt idx="497">
                  <c:v>336.32198825995198</c:v>
                </c:pt>
                <c:pt idx="498">
                  <c:v>336.58928647673002</c:v>
                </c:pt>
                <c:pt idx="499">
                  <c:v>337.115081295739</c:v>
                </c:pt>
                <c:pt idx="500">
                  <c:v>337.642346480112</c:v>
                </c:pt>
                <c:pt idx="501">
                  <c:v>338.58813591654899</c:v>
                </c:pt>
                <c:pt idx="502">
                  <c:v>339.54586909432101</c:v>
                </c:pt>
                <c:pt idx="503">
                  <c:v>340.51602528798202</c:v>
                </c:pt>
                <c:pt idx="504">
                  <c:v>341.50193706849001</c:v>
                </c:pt>
                <c:pt idx="505">
                  <c:v>342.50499680623301</c:v>
                </c:pt>
                <c:pt idx="506">
                  <c:v>343.53052706365003</c:v>
                </c:pt>
                <c:pt idx="507">
                  <c:v>344.57015463429002</c:v>
                </c:pt>
                <c:pt idx="508">
                  <c:v>345.09827886241698</c:v>
                </c:pt>
                <c:pt idx="509">
                  <c:v>345.48907632848199</c:v>
                </c:pt>
                <c:pt idx="510">
                  <c:v>345.78215599228503</c:v>
                </c:pt>
                <c:pt idx="511">
                  <c:v>346.09230448156399</c:v>
                </c:pt>
                <c:pt idx="512">
                  <c:v>346.42194799791997</c:v>
                </c:pt>
                <c:pt idx="513">
                  <c:v>346.76721125270302</c:v>
                </c:pt>
                <c:pt idx="514">
                  <c:v>347.11762054546699</c:v>
                </c:pt>
                <c:pt idx="515">
                  <c:v>347.478526610887</c:v>
                </c:pt>
                <c:pt idx="516">
                  <c:v>347.85502402764598</c:v>
                </c:pt>
                <c:pt idx="517">
                  <c:v>348.261866242069</c:v>
                </c:pt>
                <c:pt idx="518">
                  <c:v>348.69597866430303</c:v>
                </c:pt>
                <c:pt idx="519">
                  <c:v>349.04913370390602</c:v>
                </c:pt>
                <c:pt idx="520">
                  <c:v>349.427353260068</c:v>
                </c:pt>
                <c:pt idx="521">
                  <c:v>349.82646080955402</c:v>
                </c:pt>
                <c:pt idx="522">
                  <c:v>350.37136175104501</c:v>
                </c:pt>
                <c:pt idx="523">
                  <c:v>350.762921826384</c:v>
                </c:pt>
                <c:pt idx="524">
                  <c:v>350.91872438054401</c:v>
                </c:pt>
                <c:pt idx="525">
                  <c:v>351.09975343768099</c:v>
                </c:pt>
                <c:pt idx="527">
                  <c:v>351.09975343768099</c:v>
                </c:pt>
                <c:pt idx="528">
                  <c:v>351.09975343768099</c:v>
                </c:pt>
                <c:pt idx="529">
                  <c:v>351.09975343768099</c:v>
                </c:pt>
                <c:pt idx="530">
                  <c:v>351.09975343768099</c:v>
                </c:pt>
                <c:pt idx="531">
                  <c:v>351.09975343768099</c:v>
                </c:pt>
                <c:pt idx="532">
                  <c:v>351.09975343768099</c:v>
                </c:pt>
                <c:pt idx="533">
                  <c:v>351.09975343768099</c:v>
                </c:pt>
                <c:pt idx="534">
                  <c:v>351.09975343768099</c:v>
                </c:pt>
                <c:pt idx="535">
                  <c:v>351.09975343768099</c:v>
                </c:pt>
                <c:pt idx="536">
                  <c:v>351.09975343768099</c:v>
                </c:pt>
                <c:pt idx="537">
                  <c:v>351.09975343768099</c:v>
                </c:pt>
                <c:pt idx="538">
                  <c:v>351.09975343768099</c:v>
                </c:pt>
                <c:pt idx="539">
                  <c:v>351.09975343768099</c:v>
                </c:pt>
                <c:pt idx="540">
                  <c:v>351.09975343768099</c:v>
                </c:pt>
                <c:pt idx="541">
                  <c:v>351.09975343768099</c:v>
                </c:pt>
                <c:pt idx="542">
                  <c:v>351.09975343768099</c:v>
                </c:pt>
                <c:pt idx="543">
                  <c:v>351.09975343768099</c:v>
                </c:pt>
                <c:pt idx="544">
                  <c:v>351.09975343768099</c:v>
                </c:pt>
                <c:pt idx="545">
                  <c:v>351.09975343768099</c:v>
                </c:pt>
                <c:pt idx="546">
                  <c:v>351.09975343768099</c:v>
                </c:pt>
                <c:pt idx="547">
                  <c:v>351.09975343768099</c:v>
                </c:pt>
                <c:pt idx="548">
                  <c:v>351.09975343768099</c:v>
                </c:pt>
                <c:pt idx="549">
                  <c:v>351.09975343768099</c:v>
                </c:pt>
                <c:pt idx="550">
                  <c:v>351.09975343768099</c:v>
                </c:pt>
                <c:pt idx="551">
                  <c:v>351.09975343768099</c:v>
                </c:pt>
                <c:pt idx="552">
                  <c:v>351.09975343768099</c:v>
                </c:pt>
                <c:pt idx="553">
                  <c:v>351.09975343768099</c:v>
                </c:pt>
                <c:pt idx="554">
                  <c:v>351.09975343768099</c:v>
                </c:pt>
                <c:pt idx="555">
                  <c:v>351.09975343768099</c:v>
                </c:pt>
                <c:pt idx="556">
                  <c:v>351.09975343768099</c:v>
                </c:pt>
                <c:pt idx="557">
                  <c:v>351.09975343768099</c:v>
                </c:pt>
                <c:pt idx="558">
                  <c:v>351.09975343768099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1F2-428B-AA39-8D70889B485A}"/>
            </c:ext>
          </c:extLst>
        </c:ser>
        <c:ser>
          <c:idx val="9"/>
          <c:order val="6"/>
          <c:tx>
            <c:strRef>
              <c:f>'Maju 0.05'!$A$6</c:f>
              <c:strCache>
                <c:ptCount val="1"/>
                <c:pt idx="0">
                  <c:v>Input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0.05'!$A$7:$A$565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500</c:v>
                </c:pt>
                <c:pt idx="252">
                  <c:v>500</c:v>
                </c:pt>
                <c:pt idx="253">
                  <c:v>500</c:v>
                </c:pt>
                <c:pt idx="254">
                  <c:v>500</c:v>
                </c:pt>
                <c:pt idx="255">
                  <c:v>500</c:v>
                </c:pt>
                <c:pt idx="256">
                  <c:v>500</c:v>
                </c:pt>
                <c:pt idx="257">
                  <c:v>500</c:v>
                </c:pt>
                <c:pt idx="258">
                  <c:v>500</c:v>
                </c:pt>
                <c:pt idx="259">
                  <c:v>500</c:v>
                </c:pt>
                <c:pt idx="260">
                  <c:v>500</c:v>
                </c:pt>
                <c:pt idx="261">
                  <c:v>500</c:v>
                </c:pt>
                <c:pt idx="262">
                  <c:v>500</c:v>
                </c:pt>
                <c:pt idx="263">
                  <c:v>500</c:v>
                </c:pt>
                <c:pt idx="264">
                  <c:v>500</c:v>
                </c:pt>
                <c:pt idx="265">
                  <c:v>500</c:v>
                </c:pt>
                <c:pt idx="266">
                  <c:v>500</c:v>
                </c:pt>
                <c:pt idx="267">
                  <c:v>500</c:v>
                </c:pt>
                <c:pt idx="268">
                  <c:v>500</c:v>
                </c:pt>
                <c:pt idx="269">
                  <c:v>500</c:v>
                </c:pt>
                <c:pt idx="270">
                  <c:v>500</c:v>
                </c:pt>
                <c:pt idx="271">
                  <c:v>500</c:v>
                </c:pt>
                <c:pt idx="272">
                  <c:v>500</c:v>
                </c:pt>
                <c:pt idx="273">
                  <c:v>500</c:v>
                </c:pt>
                <c:pt idx="274">
                  <c:v>500</c:v>
                </c:pt>
                <c:pt idx="275">
                  <c:v>500</c:v>
                </c:pt>
                <c:pt idx="276">
                  <c:v>500</c:v>
                </c:pt>
                <c:pt idx="277">
                  <c:v>500</c:v>
                </c:pt>
                <c:pt idx="278">
                  <c:v>500</c:v>
                </c:pt>
                <c:pt idx="279">
                  <c:v>500</c:v>
                </c:pt>
                <c:pt idx="280">
                  <c:v>500</c:v>
                </c:pt>
                <c:pt idx="281">
                  <c:v>500</c:v>
                </c:pt>
                <c:pt idx="282">
                  <c:v>500</c:v>
                </c:pt>
                <c:pt idx="283">
                  <c:v>500</c:v>
                </c:pt>
                <c:pt idx="284">
                  <c:v>500</c:v>
                </c:pt>
                <c:pt idx="285">
                  <c:v>500</c:v>
                </c:pt>
                <c:pt idx="286">
                  <c:v>500</c:v>
                </c:pt>
                <c:pt idx="287">
                  <c:v>500</c:v>
                </c:pt>
                <c:pt idx="288">
                  <c:v>500</c:v>
                </c:pt>
                <c:pt idx="289">
                  <c:v>500</c:v>
                </c:pt>
                <c:pt idx="290">
                  <c:v>500</c:v>
                </c:pt>
                <c:pt idx="291">
                  <c:v>500</c:v>
                </c:pt>
                <c:pt idx="292">
                  <c:v>500</c:v>
                </c:pt>
                <c:pt idx="293">
                  <c:v>500</c:v>
                </c:pt>
                <c:pt idx="294">
                  <c:v>500</c:v>
                </c:pt>
                <c:pt idx="295">
                  <c:v>500</c:v>
                </c:pt>
                <c:pt idx="296">
                  <c:v>500</c:v>
                </c:pt>
                <c:pt idx="297">
                  <c:v>500</c:v>
                </c:pt>
                <c:pt idx="298">
                  <c:v>500</c:v>
                </c:pt>
                <c:pt idx="299">
                  <c:v>500</c:v>
                </c:pt>
                <c:pt idx="300">
                  <c:v>500</c:v>
                </c:pt>
                <c:pt idx="301">
                  <c:v>500</c:v>
                </c:pt>
                <c:pt idx="302">
                  <c:v>500</c:v>
                </c:pt>
                <c:pt idx="303">
                  <c:v>500</c:v>
                </c:pt>
                <c:pt idx="304">
                  <c:v>500</c:v>
                </c:pt>
                <c:pt idx="305">
                  <c:v>500</c:v>
                </c:pt>
                <c:pt idx="306">
                  <c:v>500</c:v>
                </c:pt>
                <c:pt idx="307">
                  <c:v>500</c:v>
                </c:pt>
                <c:pt idx="308">
                  <c:v>500</c:v>
                </c:pt>
                <c:pt idx="309">
                  <c:v>500</c:v>
                </c:pt>
                <c:pt idx="310">
                  <c:v>500</c:v>
                </c:pt>
                <c:pt idx="311">
                  <c:v>500</c:v>
                </c:pt>
                <c:pt idx="312">
                  <c:v>500</c:v>
                </c:pt>
                <c:pt idx="313">
                  <c:v>500</c:v>
                </c:pt>
                <c:pt idx="314">
                  <c:v>500</c:v>
                </c:pt>
                <c:pt idx="315">
                  <c:v>500</c:v>
                </c:pt>
                <c:pt idx="316">
                  <c:v>500</c:v>
                </c:pt>
                <c:pt idx="317">
                  <c:v>500</c:v>
                </c:pt>
                <c:pt idx="318">
                  <c:v>500</c:v>
                </c:pt>
                <c:pt idx="319">
                  <c:v>500</c:v>
                </c:pt>
                <c:pt idx="320">
                  <c:v>500</c:v>
                </c:pt>
                <c:pt idx="321">
                  <c:v>500</c:v>
                </c:pt>
                <c:pt idx="322">
                  <c:v>500</c:v>
                </c:pt>
                <c:pt idx="323">
                  <c:v>500</c:v>
                </c:pt>
                <c:pt idx="324">
                  <c:v>500</c:v>
                </c:pt>
                <c:pt idx="325">
                  <c:v>500</c:v>
                </c:pt>
                <c:pt idx="326">
                  <c:v>500</c:v>
                </c:pt>
                <c:pt idx="327">
                  <c:v>500</c:v>
                </c:pt>
                <c:pt idx="328">
                  <c:v>500</c:v>
                </c:pt>
                <c:pt idx="329">
                  <c:v>500</c:v>
                </c:pt>
                <c:pt idx="330">
                  <c:v>500</c:v>
                </c:pt>
                <c:pt idx="331">
                  <c:v>500</c:v>
                </c:pt>
                <c:pt idx="332">
                  <c:v>500</c:v>
                </c:pt>
                <c:pt idx="333">
                  <c:v>500</c:v>
                </c:pt>
                <c:pt idx="334">
                  <c:v>500</c:v>
                </c:pt>
                <c:pt idx="335">
                  <c:v>500</c:v>
                </c:pt>
                <c:pt idx="336">
                  <c:v>500</c:v>
                </c:pt>
                <c:pt idx="337">
                  <c:v>500</c:v>
                </c:pt>
                <c:pt idx="338">
                  <c:v>500</c:v>
                </c:pt>
                <c:pt idx="339">
                  <c:v>500</c:v>
                </c:pt>
                <c:pt idx="340">
                  <c:v>500</c:v>
                </c:pt>
                <c:pt idx="341">
                  <c:v>500</c:v>
                </c:pt>
                <c:pt idx="342">
                  <c:v>500</c:v>
                </c:pt>
                <c:pt idx="343">
                  <c:v>500</c:v>
                </c:pt>
                <c:pt idx="344">
                  <c:v>500</c:v>
                </c:pt>
                <c:pt idx="345">
                  <c:v>500</c:v>
                </c:pt>
                <c:pt idx="346">
                  <c:v>500</c:v>
                </c:pt>
                <c:pt idx="347">
                  <c:v>500</c:v>
                </c:pt>
                <c:pt idx="348">
                  <c:v>500</c:v>
                </c:pt>
                <c:pt idx="349">
                  <c:v>500</c:v>
                </c:pt>
                <c:pt idx="350">
                  <c:v>500</c:v>
                </c:pt>
                <c:pt idx="351">
                  <c:v>500</c:v>
                </c:pt>
                <c:pt idx="352">
                  <c:v>500</c:v>
                </c:pt>
                <c:pt idx="353">
                  <c:v>500</c:v>
                </c:pt>
                <c:pt idx="354">
                  <c:v>500</c:v>
                </c:pt>
                <c:pt idx="355">
                  <c:v>500</c:v>
                </c:pt>
                <c:pt idx="356">
                  <c:v>500</c:v>
                </c:pt>
                <c:pt idx="357">
                  <c:v>500</c:v>
                </c:pt>
                <c:pt idx="358">
                  <c:v>500</c:v>
                </c:pt>
                <c:pt idx="359">
                  <c:v>500</c:v>
                </c:pt>
                <c:pt idx="360">
                  <c:v>500</c:v>
                </c:pt>
                <c:pt idx="361">
                  <c:v>500</c:v>
                </c:pt>
                <c:pt idx="362">
                  <c:v>500</c:v>
                </c:pt>
                <c:pt idx="363">
                  <c:v>500</c:v>
                </c:pt>
                <c:pt idx="364">
                  <c:v>500</c:v>
                </c:pt>
                <c:pt idx="365">
                  <c:v>500</c:v>
                </c:pt>
                <c:pt idx="366">
                  <c:v>500</c:v>
                </c:pt>
                <c:pt idx="367">
                  <c:v>500</c:v>
                </c:pt>
                <c:pt idx="368">
                  <c:v>500</c:v>
                </c:pt>
                <c:pt idx="369">
                  <c:v>500</c:v>
                </c:pt>
                <c:pt idx="370">
                  <c:v>500</c:v>
                </c:pt>
                <c:pt idx="371">
                  <c:v>500</c:v>
                </c:pt>
                <c:pt idx="372">
                  <c:v>500</c:v>
                </c:pt>
                <c:pt idx="373">
                  <c:v>500</c:v>
                </c:pt>
                <c:pt idx="374">
                  <c:v>500</c:v>
                </c:pt>
                <c:pt idx="375">
                  <c:v>500</c:v>
                </c:pt>
                <c:pt idx="376">
                  <c:v>500</c:v>
                </c:pt>
                <c:pt idx="377">
                  <c:v>500</c:v>
                </c:pt>
                <c:pt idx="378">
                  <c:v>500</c:v>
                </c:pt>
                <c:pt idx="379">
                  <c:v>500</c:v>
                </c:pt>
                <c:pt idx="380">
                  <c:v>500</c:v>
                </c:pt>
                <c:pt idx="381">
                  <c:v>500</c:v>
                </c:pt>
                <c:pt idx="382">
                  <c:v>500</c:v>
                </c:pt>
                <c:pt idx="383">
                  <c:v>500</c:v>
                </c:pt>
                <c:pt idx="384">
                  <c:v>500</c:v>
                </c:pt>
                <c:pt idx="385">
                  <c:v>500</c:v>
                </c:pt>
                <c:pt idx="386">
                  <c:v>500</c:v>
                </c:pt>
                <c:pt idx="387">
                  <c:v>500</c:v>
                </c:pt>
                <c:pt idx="388">
                  <c:v>500</c:v>
                </c:pt>
                <c:pt idx="389">
                  <c:v>500</c:v>
                </c:pt>
                <c:pt idx="390">
                  <c:v>500</c:v>
                </c:pt>
                <c:pt idx="391">
                  <c:v>500</c:v>
                </c:pt>
                <c:pt idx="392">
                  <c:v>500</c:v>
                </c:pt>
                <c:pt idx="393">
                  <c:v>500</c:v>
                </c:pt>
                <c:pt idx="394">
                  <c:v>500</c:v>
                </c:pt>
                <c:pt idx="395">
                  <c:v>500</c:v>
                </c:pt>
                <c:pt idx="396">
                  <c:v>500</c:v>
                </c:pt>
                <c:pt idx="397">
                  <c:v>500</c:v>
                </c:pt>
                <c:pt idx="398">
                  <c:v>500</c:v>
                </c:pt>
                <c:pt idx="399">
                  <c:v>500</c:v>
                </c:pt>
                <c:pt idx="400">
                  <c:v>500</c:v>
                </c:pt>
                <c:pt idx="401">
                  <c:v>500</c:v>
                </c:pt>
                <c:pt idx="402">
                  <c:v>500</c:v>
                </c:pt>
                <c:pt idx="403">
                  <c:v>500</c:v>
                </c:pt>
                <c:pt idx="404">
                  <c:v>500</c:v>
                </c:pt>
                <c:pt idx="405">
                  <c:v>500</c:v>
                </c:pt>
                <c:pt idx="406">
                  <c:v>500</c:v>
                </c:pt>
                <c:pt idx="407">
                  <c:v>500</c:v>
                </c:pt>
                <c:pt idx="408">
                  <c:v>500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500</c:v>
                </c:pt>
                <c:pt idx="416">
                  <c:v>500</c:v>
                </c:pt>
                <c:pt idx="417">
                  <c:v>500</c:v>
                </c:pt>
                <c:pt idx="418">
                  <c:v>500</c:v>
                </c:pt>
                <c:pt idx="419">
                  <c:v>500</c:v>
                </c:pt>
                <c:pt idx="420">
                  <c:v>500</c:v>
                </c:pt>
                <c:pt idx="421">
                  <c:v>500</c:v>
                </c:pt>
                <c:pt idx="422">
                  <c:v>500</c:v>
                </c:pt>
                <c:pt idx="423">
                  <c:v>500</c:v>
                </c:pt>
                <c:pt idx="424">
                  <c:v>500</c:v>
                </c:pt>
                <c:pt idx="425">
                  <c:v>500</c:v>
                </c:pt>
                <c:pt idx="426">
                  <c:v>500</c:v>
                </c:pt>
                <c:pt idx="427">
                  <c:v>500</c:v>
                </c:pt>
                <c:pt idx="428">
                  <c:v>500</c:v>
                </c:pt>
                <c:pt idx="429">
                  <c:v>500</c:v>
                </c:pt>
                <c:pt idx="430">
                  <c:v>500</c:v>
                </c:pt>
                <c:pt idx="431">
                  <c:v>500</c:v>
                </c:pt>
                <c:pt idx="432">
                  <c:v>500</c:v>
                </c:pt>
                <c:pt idx="433">
                  <c:v>500</c:v>
                </c:pt>
                <c:pt idx="434">
                  <c:v>500</c:v>
                </c:pt>
                <c:pt idx="435">
                  <c:v>500</c:v>
                </c:pt>
                <c:pt idx="436">
                  <c:v>500</c:v>
                </c:pt>
                <c:pt idx="437">
                  <c:v>500</c:v>
                </c:pt>
                <c:pt idx="438">
                  <c:v>500</c:v>
                </c:pt>
                <c:pt idx="439">
                  <c:v>500</c:v>
                </c:pt>
                <c:pt idx="440">
                  <c:v>500</c:v>
                </c:pt>
                <c:pt idx="441">
                  <c:v>500</c:v>
                </c:pt>
                <c:pt idx="442">
                  <c:v>500</c:v>
                </c:pt>
                <c:pt idx="443">
                  <c:v>500</c:v>
                </c:pt>
                <c:pt idx="444">
                  <c:v>500</c:v>
                </c:pt>
                <c:pt idx="445">
                  <c:v>500</c:v>
                </c:pt>
                <c:pt idx="446">
                  <c:v>500</c:v>
                </c:pt>
                <c:pt idx="447">
                  <c:v>500</c:v>
                </c:pt>
                <c:pt idx="448">
                  <c:v>500</c:v>
                </c:pt>
                <c:pt idx="449">
                  <c:v>500</c:v>
                </c:pt>
                <c:pt idx="450">
                  <c:v>500</c:v>
                </c:pt>
                <c:pt idx="451">
                  <c:v>500</c:v>
                </c:pt>
                <c:pt idx="452">
                  <c:v>500</c:v>
                </c:pt>
                <c:pt idx="453">
                  <c:v>500</c:v>
                </c:pt>
                <c:pt idx="454">
                  <c:v>500</c:v>
                </c:pt>
                <c:pt idx="455">
                  <c:v>500</c:v>
                </c:pt>
                <c:pt idx="456">
                  <c:v>500</c:v>
                </c:pt>
                <c:pt idx="457">
                  <c:v>500</c:v>
                </c:pt>
                <c:pt idx="458">
                  <c:v>500</c:v>
                </c:pt>
                <c:pt idx="459">
                  <c:v>500</c:v>
                </c:pt>
                <c:pt idx="460">
                  <c:v>500</c:v>
                </c:pt>
                <c:pt idx="461">
                  <c:v>500</c:v>
                </c:pt>
                <c:pt idx="462">
                  <c:v>500</c:v>
                </c:pt>
                <c:pt idx="463">
                  <c:v>500</c:v>
                </c:pt>
                <c:pt idx="464">
                  <c:v>500</c:v>
                </c:pt>
                <c:pt idx="465">
                  <c:v>500</c:v>
                </c:pt>
                <c:pt idx="466">
                  <c:v>500</c:v>
                </c:pt>
                <c:pt idx="467">
                  <c:v>500</c:v>
                </c:pt>
                <c:pt idx="468">
                  <c:v>500</c:v>
                </c:pt>
                <c:pt idx="469">
                  <c:v>500</c:v>
                </c:pt>
                <c:pt idx="470">
                  <c:v>500</c:v>
                </c:pt>
                <c:pt idx="471">
                  <c:v>500</c:v>
                </c:pt>
                <c:pt idx="472">
                  <c:v>500</c:v>
                </c:pt>
                <c:pt idx="473">
                  <c:v>500</c:v>
                </c:pt>
                <c:pt idx="474">
                  <c:v>500</c:v>
                </c:pt>
                <c:pt idx="475">
                  <c:v>500</c:v>
                </c:pt>
                <c:pt idx="476">
                  <c:v>500</c:v>
                </c:pt>
                <c:pt idx="477">
                  <c:v>500</c:v>
                </c:pt>
                <c:pt idx="478">
                  <c:v>500</c:v>
                </c:pt>
                <c:pt idx="479">
                  <c:v>500</c:v>
                </c:pt>
                <c:pt idx="480">
                  <c:v>500</c:v>
                </c:pt>
                <c:pt idx="481">
                  <c:v>500</c:v>
                </c:pt>
                <c:pt idx="482">
                  <c:v>500</c:v>
                </c:pt>
                <c:pt idx="483">
                  <c:v>500</c:v>
                </c:pt>
                <c:pt idx="484">
                  <c:v>500</c:v>
                </c:pt>
                <c:pt idx="485">
                  <c:v>500</c:v>
                </c:pt>
                <c:pt idx="486">
                  <c:v>500</c:v>
                </c:pt>
                <c:pt idx="487">
                  <c:v>500</c:v>
                </c:pt>
                <c:pt idx="488">
                  <c:v>500</c:v>
                </c:pt>
                <c:pt idx="489">
                  <c:v>500</c:v>
                </c:pt>
                <c:pt idx="490">
                  <c:v>500</c:v>
                </c:pt>
                <c:pt idx="491">
                  <c:v>500</c:v>
                </c:pt>
                <c:pt idx="492">
                  <c:v>500</c:v>
                </c:pt>
                <c:pt idx="493">
                  <c:v>500</c:v>
                </c:pt>
                <c:pt idx="494">
                  <c:v>500</c:v>
                </c:pt>
                <c:pt idx="495">
                  <c:v>500</c:v>
                </c:pt>
                <c:pt idx="496">
                  <c:v>500</c:v>
                </c:pt>
                <c:pt idx="497">
                  <c:v>500</c:v>
                </c:pt>
                <c:pt idx="498">
                  <c:v>500</c:v>
                </c:pt>
                <c:pt idx="499">
                  <c:v>500</c:v>
                </c:pt>
                <c:pt idx="500">
                  <c:v>500</c:v>
                </c:pt>
                <c:pt idx="501">
                  <c:v>500</c:v>
                </c:pt>
                <c:pt idx="502">
                  <c:v>500</c:v>
                </c:pt>
                <c:pt idx="503">
                  <c:v>500</c:v>
                </c:pt>
                <c:pt idx="504">
                  <c:v>500</c:v>
                </c:pt>
                <c:pt idx="505">
                  <c:v>500</c:v>
                </c:pt>
                <c:pt idx="506">
                  <c:v>500</c:v>
                </c:pt>
                <c:pt idx="507">
                  <c:v>500</c:v>
                </c:pt>
                <c:pt idx="508">
                  <c:v>500</c:v>
                </c:pt>
                <c:pt idx="509">
                  <c:v>500</c:v>
                </c:pt>
                <c:pt idx="510">
                  <c:v>500</c:v>
                </c:pt>
                <c:pt idx="511">
                  <c:v>500</c:v>
                </c:pt>
                <c:pt idx="512">
                  <c:v>500</c:v>
                </c:pt>
                <c:pt idx="513">
                  <c:v>500</c:v>
                </c:pt>
                <c:pt idx="514">
                  <c:v>500</c:v>
                </c:pt>
                <c:pt idx="515">
                  <c:v>500</c:v>
                </c:pt>
                <c:pt idx="516">
                  <c:v>500</c:v>
                </c:pt>
                <c:pt idx="517">
                  <c:v>500</c:v>
                </c:pt>
                <c:pt idx="518">
                  <c:v>500</c:v>
                </c:pt>
                <c:pt idx="519">
                  <c:v>500</c:v>
                </c:pt>
                <c:pt idx="520">
                  <c:v>500</c:v>
                </c:pt>
                <c:pt idx="521">
                  <c:v>500</c:v>
                </c:pt>
                <c:pt idx="522">
                  <c:v>500</c:v>
                </c:pt>
                <c:pt idx="523">
                  <c:v>500</c:v>
                </c:pt>
                <c:pt idx="524">
                  <c:v>500</c:v>
                </c:pt>
                <c:pt idx="525">
                  <c:v>500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1F2-428B-AA39-8D70889B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104904"/>
        <c:axId val="461669760"/>
      </c:scatterChart>
      <c:scatterChart>
        <c:scatterStyle val="smoothMarker"/>
        <c:varyColors val="0"/>
        <c:ser>
          <c:idx val="8"/>
          <c:order val="4"/>
          <c:tx>
            <c:strRef>
              <c:f>'Maju 0.05'!$AC$6</c:f>
              <c:strCache>
                <c:ptCount val="1"/>
                <c:pt idx="0">
                  <c:v>dy/dt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0.05'!$AC$7:$AC$565</c:f>
              <c:numCache>
                <c:formatCode>General</c:formatCode>
                <c:ptCount val="55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-16.256934016761598</c:v>
                </c:pt>
                <c:pt idx="177">
                  <c:v>-8.5421597971175736</c:v>
                </c:pt>
                <c:pt idx="178">
                  <c:v>8.736420201546478</c:v>
                </c:pt>
                <c:pt idx="179">
                  <c:v>16.194331984236793</c:v>
                </c:pt>
                <c:pt idx="180">
                  <c:v>17.696843612110388</c:v>
                </c:pt>
                <c:pt idx="181">
                  <c:v>17.076858900814276</c:v>
                </c:pt>
                <c:pt idx="182">
                  <c:v>0</c:v>
                </c:pt>
                <c:pt idx="183">
                  <c:v>40.605046182811826</c:v>
                </c:pt>
                <c:pt idx="184">
                  <c:v>25.312216203702082</c:v>
                </c:pt>
                <c:pt idx="185">
                  <c:v>33.135196661471561</c:v>
                </c:pt>
                <c:pt idx="186">
                  <c:v>33.77529118357748</c:v>
                </c:pt>
                <c:pt idx="187">
                  <c:v>16.70460269139901</c:v>
                </c:pt>
                <c:pt idx="188">
                  <c:v>16.674409872522325</c:v>
                </c:pt>
                <c:pt idx="189">
                  <c:v>17.125526185080115</c:v>
                </c:pt>
                <c:pt idx="190">
                  <c:v>16.524234492954609</c:v>
                </c:pt>
                <c:pt idx="191">
                  <c:v>-8.4507950843316504</c:v>
                </c:pt>
                <c:pt idx="192">
                  <c:v>-16.530907117550019</c:v>
                </c:pt>
                <c:pt idx="193">
                  <c:v>-16.530907117550019</c:v>
                </c:pt>
                <c:pt idx="194">
                  <c:v>-16.530907117550019</c:v>
                </c:pt>
                <c:pt idx="195">
                  <c:v>-17.118700546831725</c:v>
                </c:pt>
                <c:pt idx="196">
                  <c:v>-17.118700546831725</c:v>
                </c:pt>
                <c:pt idx="197">
                  <c:v>1.0192833893141939</c:v>
                </c:pt>
                <c:pt idx="198">
                  <c:v>1.3631101804170764</c:v>
                </c:pt>
                <c:pt idx="199">
                  <c:v>3.000458085163535</c:v>
                </c:pt>
                <c:pt idx="200">
                  <c:v>3.3327185189174804</c:v>
                </c:pt>
                <c:pt idx="201">
                  <c:v>0.686848296954232</c:v>
                </c:pt>
                <c:pt idx="202">
                  <c:v>-0.32911678620554485</c:v>
                </c:pt>
                <c:pt idx="203">
                  <c:v>-2.3393304718891721</c:v>
                </c:pt>
                <c:pt idx="204">
                  <c:v>-3.722600395292742</c:v>
                </c:pt>
                <c:pt idx="205">
                  <c:v>-5.0906076345223754</c:v>
                </c:pt>
                <c:pt idx="206">
                  <c:v>-6.2058605365240274</c:v>
                </c:pt>
                <c:pt idx="207">
                  <c:v>-9.875014302352449</c:v>
                </c:pt>
                <c:pt idx="208">
                  <c:v>-10.609837891308018</c:v>
                </c:pt>
                <c:pt idx="209">
                  <c:v>-11.61715335382442</c:v>
                </c:pt>
                <c:pt idx="210">
                  <c:v>-12.992894103341404</c:v>
                </c:pt>
                <c:pt idx="211">
                  <c:v>-13.950649350443859</c:v>
                </c:pt>
                <c:pt idx="212">
                  <c:v>-13.929202083716003</c:v>
                </c:pt>
                <c:pt idx="213">
                  <c:v>-14.360660872282796</c:v>
                </c:pt>
                <c:pt idx="214">
                  <c:v>-14.937770089233142</c:v>
                </c:pt>
                <c:pt idx="215">
                  <c:v>-16.659985347693759</c:v>
                </c:pt>
                <c:pt idx="216">
                  <c:v>-15.140037812263952</c:v>
                </c:pt>
                <c:pt idx="217">
                  <c:v>-15.671180864813994</c:v>
                </c:pt>
                <c:pt idx="218">
                  <c:v>-7.5564703260511417</c:v>
                </c:pt>
                <c:pt idx="219">
                  <c:v>-7.1224683973999214</c:v>
                </c:pt>
                <c:pt idx="220">
                  <c:v>-6.7600138447208815</c:v>
                </c:pt>
                <c:pt idx="221">
                  <c:v>-4.3810924432865264</c:v>
                </c:pt>
                <c:pt idx="222">
                  <c:v>-6.6861253330157622</c:v>
                </c:pt>
                <c:pt idx="223">
                  <c:v>-6.5060632204165234</c:v>
                </c:pt>
                <c:pt idx="224">
                  <c:v>-6.4256717073607312</c:v>
                </c:pt>
                <c:pt idx="225">
                  <c:v>-6.0803166508840922</c:v>
                </c:pt>
                <c:pt idx="226">
                  <c:v>-9.7035705959208904</c:v>
                </c:pt>
                <c:pt idx="227">
                  <c:v>-2.4676949411257505</c:v>
                </c:pt>
                <c:pt idx="228">
                  <c:v>-3.23457840996325</c:v>
                </c:pt>
                <c:pt idx="229">
                  <c:v>-2.9019973221247151</c:v>
                </c:pt>
                <c:pt idx="230">
                  <c:v>-2.3654672732997502</c:v>
                </c:pt>
                <c:pt idx="231">
                  <c:v>-1.6589733361244732</c:v>
                </c:pt>
                <c:pt idx="232">
                  <c:v>-1.1869820302265512</c:v>
                </c:pt>
                <c:pt idx="233">
                  <c:v>-0.16722354660964256</c:v>
                </c:pt>
                <c:pt idx="234">
                  <c:v>0.33996319228470617</c:v>
                </c:pt>
                <c:pt idx="235">
                  <c:v>1.1888980004536598</c:v>
                </c:pt>
                <c:pt idx="236">
                  <c:v>1.9231603356456641</c:v>
                </c:pt>
                <c:pt idx="237">
                  <c:v>2.6359391948456707</c:v>
                </c:pt>
                <c:pt idx="238">
                  <c:v>-6.5834573259752149</c:v>
                </c:pt>
                <c:pt idx="239">
                  <c:v>-14.33906162711834</c:v>
                </c:pt>
                <c:pt idx="240">
                  <c:v>-14.33906162711834</c:v>
                </c:pt>
                <c:pt idx="241">
                  <c:v>-13.110395389019242</c:v>
                </c:pt>
                <c:pt idx="242">
                  <c:v>-17.702280396174505</c:v>
                </c:pt>
                <c:pt idx="243">
                  <c:v>-17.231720151560676</c:v>
                </c:pt>
                <c:pt idx="244">
                  <c:v>-16.517375333364438</c:v>
                </c:pt>
                <c:pt idx="245">
                  <c:v>-16.049351016229231</c:v>
                </c:pt>
                <c:pt idx="246">
                  <c:v>-15.862513649191548</c:v>
                </c:pt>
                <c:pt idx="247">
                  <c:v>-14.79768786128999</c:v>
                </c:pt>
                <c:pt idx="248">
                  <c:v>-13.93006958179018</c:v>
                </c:pt>
                <c:pt idx="249">
                  <c:v>-10.886145228427328</c:v>
                </c:pt>
                <c:pt idx="250">
                  <c:v>-10.886145228427328</c:v>
                </c:pt>
                <c:pt idx="251">
                  <c:v>0</c:v>
                </c:pt>
                <c:pt idx="252">
                  <c:v>-7.5318962914664498</c:v>
                </c:pt>
                <c:pt idx="253">
                  <c:v>-15.933721022946393</c:v>
                </c:pt>
                <c:pt idx="254">
                  <c:v>-15.933721022946393</c:v>
                </c:pt>
                <c:pt idx="255">
                  <c:v>-11.465248425030889</c:v>
                </c:pt>
                <c:pt idx="256">
                  <c:v>-12.925226331461104</c:v>
                </c:pt>
                <c:pt idx="257">
                  <c:v>-12.925226331461104</c:v>
                </c:pt>
                <c:pt idx="258">
                  <c:v>-14.38100157528295</c:v>
                </c:pt>
                <c:pt idx="259">
                  <c:v>-15.04797246928181</c:v>
                </c:pt>
                <c:pt idx="260">
                  <c:v>-10.710461797987314</c:v>
                </c:pt>
                <c:pt idx="261">
                  <c:v>-16.676726908590222</c:v>
                </c:pt>
                <c:pt idx="262">
                  <c:v>-16.537677432720731</c:v>
                </c:pt>
                <c:pt idx="263">
                  <c:v>-17.353701287116479</c:v>
                </c:pt>
                <c:pt idx="264">
                  <c:v>-7.7565307660102132</c:v>
                </c:pt>
                <c:pt idx="265">
                  <c:v>6.5323813890113414</c:v>
                </c:pt>
                <c:pt idx="266">
                  <c:v>3.6888377977264089</c:v>
                </c:pt>
                <c:pt idx="267">
                  <c:v>4.7165484293279896</c:v>
                </c:pt>
                <c:pt idx="268">
                  <c:v>3.6749225311761387</c:v>
                </c:pt>
                <c:pt idx="269">
                  <c:v>3.0236354602633044</c:v>
                </c:pt>
                <c:pt idx="270">
                  <c:v>2.2894614290812649</c:v>
                </c:pt>
                <c:pt idx="271">
                  <c:v>1.9774190680478789</c:v>
                </c:pt>
                <c:pt idx="272">
                  <c:v>1.3539660247646383</c:v>
                </c:pt>
                <c:pt idx="273">
                  <c:v>5.616050568495913</c:v>
                </c:pt>
                <c:pt idx="274">
                  <c:v>11.564572562691181</c:v>
                </c:pt>
                <c:pt idx="275">
                  <c:v>1.624054495770979</c:v>
                </c:pt>
                <c:pt idx="276">
                  <c:v>5.765273114710042</c:v>
                </c:pt>
                <c:pt idx="277">
                  <c:v>-0.67945617572426742</c:v>
                </c:pt>
                <c:pt idx="278">
                  <c:v>0.33552427268487139</c:v>
                </c:pt>
                <c:pt idx="279">
                  <c:v>0.88499498601669269</c:v>
                </c:pt>
                <c:pt idx="280">
                  <c:v>2.1845936758264957</c:v>
                </c:pt>
                <c:pt idx="281">
                  <c:v>-2.1969512096085757</c:v>
                </c:pt>
                <c:pt idx="282">
                  <c:v>-1.001029839542813</c:v>
                </c:pt>
                <c:pt idx="283">
                  <c:v>-8.4086458126896577</c:v>
                </c:pt>
                <c:pt idx="284">
                  <c:v>-4.00877931221574</c:v>
                </c:pt>
                <c:pt idx="285">
                  <c:v>0.18877255815926663</c:v>
                </c:pt>
                <c:pt idx="286">
                  <c:v>1.3221974922249566E-2</c:v>
                </c:pt>
                <c:pt idx="287">
                  <c:v>-0.6502631713484347</c:v>
                </c:pt>
                <c:pt idx="288">
                  <c:v>-1.1426218865284619</c:v>
                </c:pt>
                <c:pt idx="289">
                  <c:v>-2.0328825608857417</c:v>
                </c:pt>
                <c:pt idx="290">
                  <c:v>-2.496167742441882</c:v>
                </c:pt>
                <c:pt idx="291">
                  <c:v>-2.7630054554709016</c:v>
                </c:pt>
                <c:pt idx="292">
                  <c:v>-2.0067706024703909</c:v>
                </c:pt>
                <c:pt idx="293">
                  <c:v>-6.6588702925913825</c:v>
                </c:pt>
                <c:pt idx="294">
                  <c:v>-3.8780948438946856</c:v>
                </c:pt>
                <c:pt idx="295">
                  <c:v>-2.6317504841378128</c:v>
                </c:pt>
                <c:pt idx="296">
                  <c:v>-9.2243625839034067</c:v>
                </c:pt>
                <c:pt idx="297">
                  <c:v>-3.5819717995913765</c:v>
                </c:pt>
                <c:pt idx="298">
                  <c:v>3.0991111425420277</c:v>
                </c:pt>
                <c:pt idx="299">
                  <c:v>2.3801790494962596</c:v>
                </c:pt>
                <c:pt idx="300">
                  <c:v>1.5346861492165926</c:v>
                </c:pt>
                <c:pt idx="301">
                  <c:v>13.787056259655655</c:v>
                </c:pt>
                <c:pt idx="302">
                  <c:v>17.727972283740616</c:v>
                </c:pt>
                <c:pt idx="303">
                  <c:v>21.041557075381377</c:v>
                </c:pt>
                <c:pt idx="304">
                  <c:v>13.39237980579898</c:v>
                </c:pt>
                <c:pt idx="305">
                  <c:v>38.045891015888543</c:v>
                </c:pt>
                <c:pt idx="306">
                  <c:v>18.582344334381833</c:v>
                </c:pt>
                <c:pt idx="307">
                  <c:v>18.07745663252734</c:v>
                </c:pt>
                <c:pt idx="308">
                  <c:v>19.910305697722276</c:v>
                </c:pt>
                <c:pt idx="309">
                  <c:v>19.181433477348392</c:v>
                </c:pt>
                <c:pt idx="310">
                  <c:v>9.4415553471413247</c:v>
                </c:pt>
                <c:pt idx="311">
                  <c:v>12.586579707440738</c:v>
                </c:pt>
                <c:pt idx="312">
                  <c:v>11.276819242583468</c:v>
                </c:pt>
                <c:pt idx="313">
                  <c:v>23.301058698283097</c:v>
                </c:pt>
                <c:pt idx="314">
                  <c:v>29.964944074528802</c:v>
                </c:pt>
                <c:pt idx="315">
                  <c:v>34.105719784930542</c:v>
                </c:pt>
                <c:pt idx="316">
                  <c:v>36.982538960712247</c:v>
                </c:pt>
                <c:pt idx="317">
                  <c:v>24.285949781950183</c:v>
                </c:pt>
                <c:pt idx="318">
                  <c:v>71.429746246884449</c:v>
                </c:pt>
                <c:pt idx="319">
                  <c:v>36.068094493841848</c:v>
                </c:pt>
                <c:pt idx="320">
                  <c:v>32.779313118762339</c:v>
                </c:pt>
                <c:pt idx="321">
                  <c:v>32.93443266094296</c:v>
                </c:pt>
                <c:pt idx="322">
                  <c:v>12.916105078463447</c:v>
                </c:pt>
                <c:pt idx="323">
                  <c:v>38.529183713128113</c:v>
                </c:pt>
                <c:pt idx="324">
                  <c:v>41.103168144708441</c:v>
                </c:pt>
                <c:pt idx="325">
                  <c:v>20.147130310957301</c:v>
                </c:pt>
                <c:pt idx="326">
                  <c:v>7.2521687030451725</c:v>
                </c:pt>
                <c:pt idx="327">
                  <c:v>4.9208333153322368</c:v>
                </c:pt>
                <c:pt idx="328">
                  <c:v>14.462762644224481</c:v>
                </c:pt>
                <c:pt idx="329">
                  <c:v>7.0297699813945371</c:v>
                </c:pt>
                <c:pt idx="330">
                  <c:v>2.109791802642222</c:v>
                </c:pt>
                <c:pt idx="331">
                  <c:v>6.6175316543503957</c:v>
                </c:pt>
                <c:pt idx="332">
                  <c:v>6.0047816785767916</c:v>
                </c:pt>
                <c:pt idx="333">
                  <c:v>11.270693860600337</c:v>
                </c:pt>
                <c:pt idx="334">
                  <c:v>37.747986483282531</c:v>
                </c:pt>
                <c:pt idx="335">
                  <c:v>20.911757516663364</c:v>
                </c:pt>
                <c:pt idx="336">
                  <c:v>31.143132157027868</c:v>
                </c:pt>
                <c:pt idx="337">
                  <c:v>31.937193378044778</c:v>
                </c:pt>
                <c:pt idx="338">
                  <c:v>18.570463485821513</c:v>
                </c:pt>
                <c:pt idx="339">
                  <c:v>10.827110855881838</c:v>
                </c:pt>
                <c:pt idx="340">
                  <c:v>5.9375699408684879</c:v>
                </c:pt>
                <c:pt idx="341">
                  <c:v>0.98594783141236064</c:v>
                </c:pt>
                <c:pt idx="342">
                  <c:v>0.76899367163426346</c:v>
                </c:pt>
                <c:pt idx="343">
                  <c:v>20.88093161067177</c:v>
                </c:pt>
                <c:pt idx="344">
                  <c:v>26.085906776209363</c:v>
                </c:pt>
                <c:pt idx="345">
                  <c:v>28.023551929416485</c:v>
                </c:pt>
                <c:pt idx="346">
                  <c:v>26.612183184428279</c:v>
                </c:pt>
                <c:pt idx="347">
                  <c:v>25.870856574098607</c:v>
                </c:pt>
                <c:pt idx="348">
                  <c:v>23.219649443029805</c:v>
                </c:pt>
                <c:pt idx="349">
                  <c:v>21.629260445052587</c:v>
                </c:pt>
                <c:pt idx="350">
                  <c:v>13.901956609090115</c:v>
                </c:pt>
                <c:pt idx="351">
                  <c:v>24.017879505913616</c:v>
                </c:pt>
                <c:pt idx="352">
                  <c:v>42.504267400225537</c:v>
                </c:pt>
                <c:pt idx="353">
                  <c:v>78.082208425698099</c:v>
                </c:pt>
                <c:pt idx="354">
                  <c:v>27.580210108030311</c:v>
                </c:pt>
                <c:pt idx="355">
                  <c:v>28.15454493643659</c:v>
                </c:pt>
                <c:pt idx="356">
                  <c:v>73.082063283935412</c:v>
                </c:pt>
                <c:pt idx="357">
                  <c:v>58.802990524444382</c:v>
                </c:pt>
                <c:pt idx="358">
                  <c:v>55.757684265561799</c:v>
                </c:pt>
                <c:pt idx="359">
                  <c:v>51.275564377354605</c:v>
                </c:pt>
                <c:pt idx="360">
                  <c:v>23.046367831661783</c:v>
                </c:pt>
                <c:pt idx="361">
                  <c:v>67.998000367348368</c:v>
                </c:pt>
                <c:pt idx="362">
                  <c:v>16.406504327116689</c:v>
                </c:pt>
                <c:pt idx="363">
                  <c:v>62.362808293418553</c:v>
                </c:pt>
                <c:pt idx="364">
                  <c:v>36.057599987680192</c:v>
                </c:pt>
                <c:pt idx="365">
                  <c:v>41.366596374048058</c:v>
                </c:pt>
                <c:pt idx="366">
                  <c:v>56.72742844382627</c:v>
                </c:pt>
                <c:pt idx="367">
                  <c:v>57.066226259149701</c:v>
                </c:pt>
                <c:pt idx="368">
                  <c:v>22.77757669953003</c:v>
                </c:pt>
                <c:pt idx="369">
                  <c:v>36.548204555304345</c:v>
                </c:pt>
                <c:pt idx="370">
                  <c:v>43.79339284367903</c:v>
                </c:pt>
                <c:pt idx="371">
                  <c:v>48.855716735080165</c:v>
                </c:pt>
                <c:pt idx="372">
                  <c:v>32.449009653397461</c:v>
                </c:pt>
                <c:pt idx="373">
                  <c:v>48.363942940738355</c:v>
                </c:pt>
                <c:pt idx="374">
                  <c:v>92.964651830693057</c:v>
                </c:pt>
                <c:pt idx="375">
                  <c:v>50.330877762420165</c:v>
                </c:pt>
                <c:pt idx="376">
                  <c:v>46.517297610623146</c:v>
                </c:pt>
                <c:pt idx="377">
                  <c:v>51.271774814550994</c:v>
                </c:pt>
                <c:pt idx="378">
                  <c:v>49.678733345701815</c:v>
                </c:pt>
                <c:pt idx="379">
                  <c:v>51.119558969837101</c:v>
                </c:pt>
                <c:pt idx="380">
                  <c:v>33.431357107728829</c:v>
                </c:pt>
                <c:pt idx="381">
                  <c:v>61.822542733756194</c:v>
                </c:pt>
                <c:pt idx="382">
                  <c:v>54.083017743001079</c:v>
                </c:pt>
                <c:pt idx="383">
                  <c:v>47.626618142029926</c:v>
                </c:pt>
                <c:pt idx="384">
                  <c:v>44.732583497964541</c:v>
                </c:pt>
                <c:pt idx="385">
                  <c:v>47.469458988187718</c:v>
                </c:pt>
                <c:pt idx="386">
                  <c:v>32.138603422047503</c:v>
                </c:pt>
                <c:pt idx="387">
                  <c:v>52.199763748681356</c:v>
                </c:pt>
                <c:pt idx="388">
                  <c:v>69.530750302072249</c:v>
                </c:pt>
                <c:pt idx="389">
                  <c:v>67.358762368245806</c:v>
                </c:pt>
                <c:pt idx="390">
                  <c:v>0</c:v>
                </c:pt>
                <c:pt idx="391">
                  <c:v>42.146956591748221</c:v>
                </c:pt>
                <c:pt idx="392">
                  <c:v>63.633615505137904</c:v>
                </c:pt>
                <c:pt idx="393">
                  <c:v>46.41459891795386</c:v>
                </c:pt>
                <c:pt idx="394">
                  <c:v>56.983778099914986</c:v>
                </c:pt>
                <c:pt idx="395">
                  <c:v>51.103088910168104</c:v>
                </c:pt>
                <c:pt idx="396">
                  <c:v>44.904185594942234</c:v>
                </c:pt>
                <c:pt idx="397">
                  <c:v>58.311908362103786</c:v>
                </c:pt>
                <c:pt idx="398">
                  <c:v>69.012547310421567</c:v>
                </c:pt>
                <c:pt idx="399">
                  <c:v>46.202139444449386</c:v>
                </c:pt>
                <c:pt idx="400">
                  <c:v>63.364474182469856</c:v>
                </c:pt>
                <c:pt idx="401">
                  <c:v>64.279615041380794</c:v>
                </c:pt>
                <c:pt idx="402">
                  <c:v>52.233397546104314</c:v>
                </c:pt>
                <c:pt idx="403">
                  <c:v>64.074542008638474</c:v>
                </c:pt>
                <c:pt idx="404">
                  <c:v>65.600740455590199</c:v>
                </c:pt>
                <c:pt idx="405">
                  <c:v>64.484548698048556</c:v>
                </c:pt>
                <c:pt idx="406">
                  <c:v>49.929377648743284</c:v>
                </c:pt>
                <c:pt idx="407">
                  <c:v>52.233826329956919</c:v>
                </c:pt>
                <c:pt idx="408">
                  <c:v>64.37856684866783</c:v>
                </c:pt>
                <c:pt idx="409">
                  <c:v>63.446889039550165</c:v>
                </c:pt>
                <c:pt idx="410">
                  <c:v>65.846022996382814</c:v>
                </c:pt>
                <c:pt idx="411">
                  <c:v>42.669780890248951</c:v>
                </c:pt>
                <c:pt idx="412">
                  <c:v>0</c:v>
                </c:pt>
                <c:pt idx="413">
                  <c:v>43.26920971629076</c:v>
                </c:pt>
                <c:pt idx="414">
                  <c:v>63.524795137036996</c:v>
                </c:pt>
                <c:pt idx="415">
                  <c:v>63.524003921255719</c:v>
                </c:pt>
                <c:pt idx="416">
                  <c:v>62.96070283514991</c:v>
                </c:pt>
                <c:pt idx="417">
                  <c:v>27.580181259252573</c:v>
                </c:pt>
                <c:pt idx="418">
                  <c:v>25.180232355347094</c:v>
                </c:pt>
                <c:pt idx="419">
                  <c:v>0</c:v>
                </c:pt>
                <c:pt idx="420">
                  <c:v>61.232272974062397</c:v>
                </c:pt>
                <c:pt idx="421">
                  <c:v>0</c:v>
                </c:pt>
                <c:pt idx="422">
                  <c:v>71.601791732526365</c:v>
                </c:pt>
                <c:pt idx="423">
                  <c:v>63.18279136762095</c:v>
                </c:pt>
                <c:pt idx="424">
                  <c:v>42.320339519019591</c:v>
                </c:pt>
                <c:pt idx="425">
                  <c:v>63.141582837605299</c:v>
                </c:pt>
                <c:pt idx="426">
                  <c:v>61.441994319865479</c:v>
                </c:pt>
                <c:pt idx="427">
                  <c:v>60.492628234104984</c:v>
                </c:pt>
                <c:pt idx="428">
                  <c:v>62.180308476682697</c:v>
                </c:pt>
                <c:pt idx="429">
                  <c:v>62.547950338480092</c:v>
                </c:pt>
                <c:pt idx="430">
                  <c:v>85.431219386207204</c:v>
                </c:pt>
                <c:pt idx="431">
                  <c:v>43.185746384804517</c:v>
                </c:pt>
                <c:pt idx="432">
                  <c:v>76.475055950041778</c:v>
                </c:pt>
                <c:pt idx="433">
                  <c:v>59.900667748390724</c:v>
                </c:pt>
                <c:pt idx="434">
                  <c:v>60.729675195163018</c:v>
                </c:pt>
                <c:pt idx="435">
                  <c:v>61.703947218642092</c:v>
                </c:pt>
                <c:pt idx="436">
                  <c:v>61.454226894422185</c:v>
                </c:pt>
                <c:pt idx="437">
                  <c:v>45.603093219989773</c:v>
                </c:pt>
                <c:pt idx="438">
                  <c:v>41.675689962471495</c:v>
                </c:pt>
                <c:pt idx="439">
                  <c:v>62.729805369450006</c:v>
                </c:pt>
                <c:pt idx="440">
                  <c:v>0</c:v>
                </c:pt>
                <c:pt idx="441">
                  <c:v>42.399757128344632</c:v>
                </c:pt>
                <c:pt idx="442">
                  <c:v>64.825524138067721</c:v>
                </c:pt>
                <c:pt idx="443">
                  <c:v>61.510150552764756</c:v>
                </c:pt>
                <c:pt idx="444">
                  <c:v>63.987616761779485</c:v>
                </c:pt>
                <c:pt idx="445">
                  <c:v>64.455828843781774</c:v>
                </c:pt>
                <c:pt idx="446">
                  <c:v>66.079021715423565</c:v>
                </c:pt>
                <c:pt idx="447">
                  <c:v>27.608866496432231</c:v>
                </c:pt>
                <c:pt idx="448">
                  <c:v>42.344945874777338</c:v>
                </c:pt>
                <c:pt idx="449">
                  <c:v>53.288094739307617</c:v>
                </c:pt>
                <c:pt idx="450">
                  <c:v>60.637882207161034</c:v>
                </c:pt>
                <c:pt idx="451">
                  <c:v>71.671224435479346</c:v>
                </c:pt>
                <c:pt idx="452">
                  <c:v>60.933089388337613</c:v>
                </c:pt>
                <c:pt idx="453">
                  <c:v>46.627398583633088</c:v>
                </c:pt>
                <c:pt idx="454">
                  <c:v>50.473344449952762</c:v>
                </c:pt>
                <c:pt idx="455">
                  <c:v>33.399695714567365</c:v>
                </c:pt>
                <c:pt idx="456">
                  <c:v>35.896204371919318</c:v>
                </c:pt>
                <c:pt idx="457">
                  <c:v>53.662146737008555</c:v>
                </c:pt>
                <c:pt idx="458">
                  <c:v>38.646097817322286</c:v>
                </c:pt>
                <c:pt idx="459">
                  <c:v>50.395586292174585</c:v>
                </c:pt>
                <c:pt idx="460">
                  <c:v>54.737932799784943</c:v>
                </c:pt>
                <c:pt idx="461">
                  <c:v>38.166130797613334</c:v>
                </c:pt>
                <c:pt idx="462">
                  <c:v>50.738644990869325</c:v>
                </c:pt>
                <c:pt idx="463">
                  <c:v>34.516804857490811</c:v>
                </c:pt>
                <c:pt idx="464">
                  <c:v>34.834397770917498</c:v>
                </c:pt>
                <c:pt idx="465">
                  <c:v>35.731865305517886</c:v>
                </c:pt>
                <c:pt idx="466">
                  <c:v>36.978503601436607</c:v>
                </c:pt>
                <c:pt idx="467">
                  <c:v>39.450716157513511</c:v>
                </c:pt>
                <c:pt idx="468">
                  <c:v>17.928736901631169</c:v>
                </c:pt>
                <c:pt idx="469">
                  <c:v>10.315075715030673</c:v>
                </c:pt>
                <c:pt idx="470">
                  <c:v>22.771434327389251</c:v>
                </c:pt>
                <c:pt idx="471">
                  <c:v>68.680403788434887</c:v>
                </c:pt>
                <c:pt idx="472">
                  <c:v>29.973762043440999</c:v>
                </c:pt>
                <c:pt idx="473">
                  <c:v>45.28636033003518</c:v>
                </c:pt>
                <c:pt idx="474">
                  <c:v>75.105988596838117</c:v>
                </c:pt>
                <c:pt idx="475">
                  <c:v>31.79235100608863</c:v>
                </c:pt>
                <c:pt idx="476">
                  <c:v>14.523928343989843</c:v>
                </c:pt>
                <c:pt idx="477">
                  <c:v>22.440770935035456</c:v>
                </c:pt>
                <c:pt idx="478">
                  <c:v>23.269147166237175</c:v>
                </c:pt>
                <c:pt idx="479">
                  <c:v>23.440156795554092</c:v>
                </c:pt>
                <c:pt idx="480">
                  <c:v>23.530638105270661</c:v>
                </c:pt>
                <c:pt idx="481">
                  <c:v>16.551936146106641</c:v>
                </c:pt>
                <c:pt idx="482">
                  <c:v>24.41523923913315</c:v>
                </c:pt>
                <c:pt idx="483">
                  <c:v>30.619544113513058</c:v>
                </c:pt>
                <c:pt idx="484">
                  <c:v>25.167129019005682</c:v>
                </c:pt>
                <c:pt idx="485">
                  <c:v>25.664435108389977</c:v>
                </c:pt>
                <c:pt idx="486">
                  <c:v>25.768796806181602</c:v>
                </c:pt>
                <c:pt idx="487">
                  <c:v>29.105011761568143</c:v>
                </c:pt>
                <c:pt idx="488">
                  <c:v>17.331403565969222</c:v>
                </c:pt>
                <c:pt idx="489">
                  <c:v>26.423719129096646</c:v>
                </c:pt>
                <c:pt idx="490">
                  <c:v>27.150006522252291</c:v>
                </c:pt>
                <c:pt idx="491">
                  <c:v>53.026309367202394</c:v>
                </c:pt>
                <c:pt idx="492">
                  <c:v>19.019487427818916</c:v>
                </c:pt>
                <c:pt idx="493">
                  <c:v>58.108743340022485</c:v>
                </c:pt>
                <c:pt idx="494">
                  <c:v>32.375181436921935</c:v>
                </c:pt>
                <c:pt idx="495">
                  <c:v>18.147390933465019</c:v>
                </c:pt>
                <c:pt idx="496">
                  <c:v>17.074425152234042</c:v>
                </c:pt>
                <c:pt idx="497">
                  <c:v>2.8820753972550421</c:v>
                </c:pt>
                <c:pt idx="498">
                  <c:v>8.4295205878021822</c:v>
                </c:pt>
                <c:pt idx="499">
                  <c:v>16.198356337751299</c:v>
                </c:pt>
                <c:pt idx="500">
                  <c:v>11.207586779818357</c:v>
                </c:pt>
                <c:pt idx="501">
                  <c:v>30.113945002249647</c:v>
                </c:pt>
                <c:pt idx="502">
                  <c:v>20.535873990172284</c:v>
                </c:pt>
                <c:pt idx="503">
                  <c:v>64.642797557120431</c:v>
                </c:pt>
                <c:pt idx="504">
                  <c:v>63.400338784416434</c:v>
                </c:pt>
                <c:pt idx="505">
                  <c:v>32.930081857371</c:v>
                </c:pt>
                <c:pt idx="506">
                  <c:v>21.623773783300091</c:v>
                </c:pt>
                <c:pt idx="507">
                  <c:v>33.310842505964224</c:v>
                </c:pt>
                <c:pt idx="508">
                  <c:v>16.355840103752953</c:v>
                </c:pt>
                <c:pt idx="509">
                  <c:v>12.476948931807287</c:v>
                </c:pt>
                <c:pt idx="510">
                  <c:v>9.3953696006179737</c:v>
                </c:pt>
                <c:pt idx="511">
                  <c:v>6.3489166860527373</c:v>
                </c:pt>
                <c:pt idx="512">
                  <c:v>10.381927473753098</c:v>
                </c:pt>
                <c:pt idx="513">
                  <c:v>11.048769404762908</c:v>
                </c:pt>
                <c:pt idx="514">
                  <c:v>11.383719789387726</c:v>
                </c:pt>
                <c:pt idx="515">
                  <c:v>11.354381076042625</c:v>
                </c:pt>
                <c:pt idx="516">
                  <c:v>12.229174494743377</c:v>
                </c:pt>
                <c:pt idx="517">
                  <c:v>25.707768343774745</c:v>
                </c:pt>
                <c:pt idx="518">
                  <c:v>13.744602175944296</c:v>
                </c:pt>
                <c:pt idx="519">
                  <c:v>7.5138029373444848</c:v>
                </c:pt>
                <c:pt idx="520">
                  <c:v>12.241776764664605</c:v>
                </c:pt>
                <c:pt idx="521">
                  <c:v>13.076749043747588</c:v>
                </c:pt>
                <c:pt idx="522">
                  <c:v>11.418314052186989</c:v>
                </c:pt>
                <c:pt idx="523">
                  <c:v>24.571137405549173</c:v>
                </c:pt>
                <c:pt idx="524">
                  <c:v>3.311928828586193</c:v>
                </c:pt>
                <c:pt idx="525">
                  <c:v>5.8531616475790029</c:v>
                </c:pt>
                <c:pt idx="526">
                  <c:v>5.8531616475790029</c:v>
                </c:pt>
                <c:pt idx="527">
                  <c:v>0</c:v>
                </c:pt>
                <c:pt idx="528">
                  <c:v>-6.3091030972247335</c:v>
                </c:pt>
                <c:pt idx="529">
                  <c:v>-5.7993928662258485</c:v>
                </c:pt>
                <c:pt idx="530">
                  <c:v>-5.6662942003090944</c:v>
                </c:pt>
                <c:pt idx="531">
                  <c:v>-6.1374084545515588</c:v>
                </c:pt>
                <c:pt idx="532">
                  <c:v>-5.9404443996633578</c:v>
                </c:pt>
                <c:pt idx="533">
                  <c:v>-3.9739786975914537</c:v>
                </c:pt>
                <c:pt idx="534">
                  <c:v>-6.0309990281240733</c:v>
                </c:pt>
                <c:pt idx="535">
                  <c:v>-12.431454154712801</c:v>
                </c:pt>
                <c:pt idx="536">
                  <c:v>-5.730533683264226</c:v>
                </c:pt>
                <c:pt idx="537">
                  <c:v>-6.1897403808085647</c:v>
                </c:pt>
                <c:pt idx="538">
                  <c:v>2.5665955396557121</c:v>
                </c:pt>
                <c:pt idx="539">
                  <c:v>15.019800993272836</c:v>
                </c:pt>
                <c:pt idx="540">
                  <c:v>21.860781236122065</c:v>
                </c:pt>
                <c:pt idx="541">
                  <c:v>17.87530900958323</c:v>
                </c:pt>
                <c:pt idx="542">
                  <c:v>16.972617771281627</c:v>
                </c:pt>
                <c:pt idx="543">
                  <c:v>16.883869383740276</c:v>
                </c:pt>
                <c:pt idx="544">
                  <c:v>15.798271600287222</c:v>
                </c:pt>
                <c:pt idx="545">
                  <c:v>15.058970350591501</c:v>
                </c:pt>
                <c:pt idx="546">
                  <c:v>9.3018109551114048</c:v>
                </c:pt>
                <c:pt idx="547">
                  <c:v>13.255063862753117</c:v>
                </c:pt>
                <c:pt idx="548">
                  <c:v>12.530120481906478</c:v>
                </c:pt>
                <c:pt idx="549">
                  <c:v>11.698200573646526</c:v>
                </c:pt>
                <c:pt idx="550">
                  <c:v>10.789750303681227</c:v>
                </c:pt>
                <c:pt idx="551">
                  <c:v>20.494314444417903</c:v>
                </c:pt>
                <c:pt idx="552">
                  <c:v>6.8130800635300162</c:v>
                </c:pt>
                <c:pt idx="553">
                  <c:v>9.5033669482149161</c:v>
                </c:pt>
                <c:pt idx="554">
                  <c:v>9.0079538726807353</c:v>
                </c:pt>
                <c:pt idx="555">
                  <c:v>8.456248259904104</c:v>
                </c:pt>
                <c:pt idx="556">
                  <c:v>8.4794768037614219</c:v>
                </c:pt>
                <c:pt idx="557">
                  <c:v>13.357331104820886</c:v>
                </c:pt>
                <c:pt idx="558">
                  <c:v>21.220954989005254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1F2-428B-AA39-8D70889B485A}"/>
            </c:ext>
          </c:extLst>
        </c:ser>
        <c:ser>
          <c:idx val="7"/>
          <c:order val="5"/>
          <c:tx>
            <c:strRef>
              <c:f>'Maju 0.05'!$AA$6</c:f>
              <c:strCache>
                <c:ptCount val="1"/>
                <c:pt idx="0">
                  <c:v>VX m/s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'Maju 0.05'!$D$7:$D$565</c:f>
              <c:numCache>
                <c:formatCode>0.000</c:formatCode>
                <c:ptCount val="559"/>
                <c:pt idx="0">
                  <c:v>0</c:v>
                </c:pt>
                <c:pt idx="1">
                  <c:v>4.9277000002803106E-3</c:v>
                </c:pt>
                <c:pt idx="2">
                  <c:v>8.6642000001120323E-3</c:v>
                </c:pt>
                <c:pt idx="3">
                  <c:v>2.5603100000353152E-2</c:v>
                </c:pt>
                <c:pt idx="4">
                  <c:v>4.1293900000255235E-2</c:v>
                </c:pt>
                <c:pt idx="5">
                  <c:v>5.6562700000085897E-2</c:v>
                </c:pt>
                <c:pt idx="6">
                  <c:v>7.2604200000114361E-2</c:v>
                </c:pt>
                <c:pt idx="7">
                  <c:v>8.7992300000223622E-2</c:v>
                </c:pt>
                <c:pt idx="8">
                  <c:v>0.10418570000001637</c:v>
                </c:pt>
                <c:pt idx="9">
                  <c:v>0.11936910000031276</c:v>
                </c:pt>
                <c:pt idx="10">
                  <c:v>0.13464969999995446</c:v>
                </c:pt>
                <c:pt idx="11">
                  <c:v>0.1505090000000564</c:v>
                </c:pt>
                <c:pt idx="12">
                  <c:v>0.16626739999992424</c:v>
                </c:pt>
                <c:pt idx="13">
                  <c:v>0.18164130000013756</c:v>
                </c:pt>
                <c:pt idx="14">
                  <c:v>0.19775070000014239</c:v>
                </c:pt>
                <c:pt idx="15">
                  <c:v>0.21363259999998263</c:v>
                </c:pt>
                <c:pt idx="16">
                  <c:v>0.21769540000013876</c:v>
                </c:pt>
                <c:pt idx="17">
                  <c:v>0.22962510000024849</c:v>
                </c:pt>
                <c:pt idx="18">
                  <c:v>0.24571610000020883</c:v>
                </c:pt>
                <c:pt idx="19">
                  <c:v>0.26116100000035658</c:v>
                </c:pt>
                <c:pt idx="20">
                  <c:v>0.27647650000017165</c:v>
                </c:pt>
                <c:pt idx="21">
                  <c:v>0.29197760000033668</c:v>
                </c:pt>
                <c:pt idx="22">
                  <c:v>0.30789540000023408</c:v>
                </c:pt>
                <c:pt idx="23">
                  <c:v>0.32390470000018468</c:v>
                </c:pt>
                <c:pt idx="24">
                  <c:v>0.33951300000035189</c:v>
                </c:pt>
                <c:pt idx="25">
                  <c:v>0.35601660000020274</c:v>
                </c:pt>
                <c:pt idx="26">
                  <c:v>0.37149300000010044</c:v>
                </c:pt>
                <c:pt idx="27">
                  <c:v>0.3873063999999431</c:v>
                </c:pt>
                <c:pt idx="28">
                  <c:v>0.40346460000000661</c:v>
                </c:pt>
                <c:pt idx="29">
                  <c:v>0.41816190000008646</c:v>
                </c:pt>
                <c:pt idx="30">
                  <c:v>0.4336554999999862</c:v>
                </c:pt>
                <c:pt idx="31">
                  <c:v>0.44945360000019718</c:v>
                </c:pt>
                <c:pt idx="32">
                  <c:v>0.46465919999991456</c:v>
                </c:pt>
                <c:pt idx="33">
                  <c:v>0.48087450000002718</c:v>
                </c:pt>
                <c:pt idx="34">
                  <c:v>0.49629460000005565</c:v>
                </c:pt>
                <c:pt idx="35">
                  <c:v>0.51126340000018899</c:v>
                </c:pt>
                <c:pt idx="36">
                  <c:v>0.52663260000008449</c:v>
                </c:pt>
                <c:pt idx="37">
                  <c:v>0.54230060000008962</c:v>
                </c:pt>
                <c:pt idx="38">
                  <c:v>0.55810870000004797</c:v>
                </c:pt>
                <c:pt idx="39">
                  <c:v>0.57374729999992269</c:v>
                </c:pt>
                <c:pt idx="40">
                  <c:v>0.58956540000008317</c:v>
                </c:pt>
                <c:pt idx="41">
                  <c:v>0.60434870000017327</c:v>
                </c:pt>
                <c:pt idx="42">
                  <c:v>0.62042289999999412</c:v>
                </c:pt>
                <c:pt idx="43">
                  <c:v>0.63604729999997289</c:v>
                </c:pt>
                <c:pt idx="44">
                  <c:v>0.6521748000000116</c:v>
                </c:pt>
                <c:pt idx="45">
                  <c:v>0.66812329999993381</c:v>
                </c:pt>
                <c:pt idx="46">
                  <c:v>0.68307740000000194</c:v>
                </c:pt>
                <c:pt idx="47">
                  <c:v>0.69862690000036309</c:v>
                </c:pt>
                <c:pt idx="48">
                  <c:v>0.71451010000009774</c:v>
                </c:pt>
                <c:pt idx="49">
                  <c:v>0.73042560000021695</c:v>
                </c:pt>
                <c:pt idx="50">
                  <c:v>0.7459035000001677</c:v>
                </c:pt>
                <c:pt idx="51">
                  <c:v>0.76072019999992335</c:v>
                </c:pt>
                <c:pt idx="52">
                  <c:v>0.77701660000002448</c:v>
                </c:pt>
                <c:pt idx="53">
                  <c:v>0.79272420000006605</c:v>
                </c:pt>
                <c:pt idx="54">
                  <c:v>0.80870640000011917</c:v>
                </c:pt>
                <c:pt idx="55">
                  <c:v>0.8246980000003532</c:v>
                </c:pt>
                <c:pt idx="56">
                  <c:v>0.840325600000142</c:v>
                </c:pt>
                <c:pt idx="57">
                  <c:v>0.85576530000025741</c:v>
                </c:pt>
                <c:pt idx="58">
                  <c:v>0.87164250000023458</c:v>
                </c:pt>
                <c:pt idx="59">
                  <c:v>0.88672919999999067</c:v>
                </c:pt>
                <c:pt idx="60">
                  <c:v>0.90251639999996769</c:v>
                </c:pt>
                <c:pt idx="61">
                  <c:v>0.91721690000031231</c:v>
                </c:pt>
                <c:pt idx="62">
                  <c:v>0.93250020000004952</c:v>
                </c:pt>
                <c:pt idx="63">
                  <c:v>0.94838120000031267</c:v>
                </c:pt>
                <c:pt idx="64">
                  <c:v>0.96455090000017663</c:v>
                </c:pt>
                <c:pt idx="65">
                  <c:v>0.97998610000013286</c:v>
                </c:pt>
                <c:pt idx="66">
                  <c:v>0.99589510000032533</c:v>
                </c:pt>
                <c:pt idx="67">
                  <c:v>1.0112335000003441</c:v>
                </c:pt>
                <c:pt idx="68">
                  <c:v>1.0266655000000355</c:v>
                </c:pt>
                <c:pt idx="69">
                  <c:v>1.0423802000000251</c:v>
                </c:pt>
                <c:pt idx="70">
                  <c:v>1.0577330999999504</c:v>
                </c:pt>
                <c:pt idx="71">
                  <c:v>1.0729927000002135</c:v>
                </c:pt>
                <c:pt idx="72">
                  <c:v>1.0884283000000323</c:v>
                </c:pt>
                <c:pt idx="73">
                  <c:v>1.1043174999999792</c:v>
                </c:pt>
                <c:pt idx="74">
                  <c:v>1.1192201000003479</c:v>
                </c:pt>
                <c:pt idx="75">
                  <c:v>1.1343612000000576</c:v>
                </c:pt>
                <c:pt idx="76">
                  <c:v>1.1499471000001904</c:v>
                </c:pt>
                <c:pt idx="77">
                  <c:v>1.164762200000041</c:v>
                </c:pt>
                <c:pt idx="78">
                  <c:v>1.1808261000001039</c:v>
                </c:pt>
                <c:pt idx="79">
                  <c:v>1.1966345000000729</c:v>
                </c:pt>
                <c:pt idx="80">
                  <c:v>1.2120127000002867</c:v>
                </c:pt>
                <c:pt idx="81">
                  <c:v>1.2272498000002088</c:v>
                </c:pt>
                <c:pt idx="82">
                  <c:v>1.2427708000000166</c:v>
                </c:pt>
                <c:pt idx="83">
                  <c:v>1.2584787999999207</c:v>
                </c:pt>
                <c:pt idx="84">
                  <c:v>1.2745573000001968</c:v>
                </c:pt>
                <c:pt idx="85">
                  <c:v>1.2899234000001343</c:v>
                </c:pt>
                <c:pt idx="86">
                  <c:v>1.3051128000001881</c:v>
                </c:pt>
                <c:pt idx="87">
                  <c:v>1.3212923999999475</c:v>
                </c:pt>
                <c:pt idx="88">
                  <c:v>1.3366943000000902</c:v>
                </c:pt>
                <c:pt idx="89">
                  <c:v>1.3526507000001402</c:v>
                </c:pt>
                <c:pt idx="90">
                  <c:v>1.3678032000002531</c:v>
                </c:pt>
                <c:pt idx="91">
                  <c:v>1.3834366999999475</c:v>
                </c:pt>
                <c:pt idx="92">
                  <c:v>1.3990928000002896</c:v>
                </c:pt>
                <c:pt idx="93">
                  <c:v>1.4147270000003118</c:v>
                </c:pt>
                <c:pt idx="94">
                  <c:v>1.4303551000002699</c:v>
                </c:pt>
                <c:pt idx="95">
                  <c:v>1.445647800000188</c:v>
                </c:pt>
                <c:pt idx="96">
                  <c:v>1.4604286000003412</c:v>
                </c:pt>
                <c:pt idx="97">
                  <c:v>1.4760120000000825</c:v>
                </c:pt>
                <c:pt idx="98">
                  <c:v>1.4917005000002064</c:v>
                </c:pt>
                <c:pt idx="99">
                  <c:v>1.5065240000003541</c:v>
                </c:pt>
                <c:pt idx="100">
                  <c:v>1.5225479000000632</c:v>
                </c:pt>
                <c:pt idx="101">
                  <c:v>1.5379789000003257</c:v>
                </c:pt>
                <c:pt idx="102">
                  <c:v>1.55327699999998</c:v>
                </c:pt>
                <c:pt idx="103">
                  <c:v>1.56901790000029</c:v>
                </c:pt>
                <c:pt idx="104">
                  <c:v>1.5844388000000436</c:v>
                </c:pt>
                <c:pt idx="105">
                  <c:v>1.60000940000009</c:v>
                </c:pt>
                <c:pt idx="106">
                  <c:v>1.6151950000003126</c:v>
                </c:pt>
                <c:pt idx="107">
                  <c:v>1.629671000000144</c:v>
                </c:pt>
                <c:pt idx="108">
                  <c:v>1.645835100000113</c:v>
                </c:pt>
                <c:pt idx="109">
                  <c:v>1.6615914000003613</c:v>
                </c:pt>
                <c:pt idx="110">
                  <c:v>1.6768734000002041</c:v>
                </c:pt>
                <c:pt idx="111">
                  <c:v>1.6927487000002657</c:v>
                </c:pt>
                <c:pt idx="112">
                  <c:v>1.7084164000002602</c:v>
                </c:pt>
                <c:pt idx="113">
                  <c:v>1.7242786000001615</c:v>
                </c:pt>
                <c:pt idx="114">
                  <c:v>1.7394167000002199</c:v>
                </c:pt>
                <c:pt idx="115">
                  <c:v>1.7551720000001296</c:v>
                </c:pt>
                <c:pt idx="116">
                  <c:v>1.7707626999999775</c:v>
                </c:pt>
                <c:pt idx="117">
                  <c:v>1.78561370000034</c:v>
                </c:pt>
                <c:pt idx="118">
                  <c:v>1.8010778000002574</c:v>
                </c:pt>
                <c:pt idx="119">
                  <c:v>1.8174585000001571</c:v>
                </c:pt>
                <c:pt idx="120">
                  <c:v>1.8329407999999603</c:v>
                </c:pt>
                <c:pt idx="121">
                  <c:v>1.8482546000000184</c:v>
                </c:pt>
                <c:pt idx="122">
                  <c:v>1.8640585000002829</c:v>
                </c:pt>
                <c:pt idx="123">
                  <c:v>1.8800171000002592</c:v>
                </c:pt>
                <c:pt idx="124">
                  <c:v>1.8951774000001933</c:v>
                </c:pt>
                <c:pt idx="125">
                  <c:v>1.9108156000002054</c:v>
                </c:pt>
                <c:pt idx="126">
                  <c:v>1.9260041000002275</c:v>
                </c:pt>
                <c:pt idx="127">
                  <c:v>1.9421090000000731</c:v>
                </c:pt>
                <c:pt idx="128">
                  <c:v>1.9574501000001874</c:v>
                </c:pt>
                <c:pt idx="129">
                  <c:v>1.9728600000003098</c:v>
                </c:pt>
                <c:pt idx="130">
                  <c:v>1.9884250000000065</c:v>
                </c:pt>
                <c:pt idx="131">
                  <c:v>2.0037446000001182</c:v>
                </c:pt>
                <c:pt idx="132">
                  <c:v>2.0198847000001479</c:v>
                </c:pt>
                <c:pt idx="133">
                  <c:v>2.0357512000000497</c:v>
                </c:pt>
                <c:pt idx="134">
                  <c:v>2.0503920000001017</c:v>
                </c:pt>
                <c:pt idx="135">
                  <c:v>2.065622699999949</c:v>
                </c:pt>
                <c:pt idx="136">
                  <c:v>2.0805199999999786</c:v>
                </c:pt>
                <c:pt idx="137">
                  <c:v>2.0960724000001392</c:v>
                </c:pt>
                <c:pt idx="138">
                  <c:v>2.110993199999939</c:v>
                </c:pt>
                <c:pt idx="139">
                  <c:v>2.1264012000001458</c:v>
                </c:pt>
                <c:pt idx="140">
                  <c:v>2.1414048000001458</c:v>
                </c:pt>
                <c:pt idx="141">
                  <c:v>2.1568732999999156</c:v>
                </c:pt>
                <c:pt idx="142">
                  <c:v>2.1727332000000388</c:v>
                </c:pt>
                <c:pt idx="143">
                  <c:v>2.1879767000000356</c:v>
                </c:pt>
                <c:pt idx="144">
                  <c:v>2.2038175000002411</c:v>
                </c:pt>
                <c:pt idx="145">
                  <c:v>2.2189456999999493</c:v>
                </c:pt>
                <c:pt idx="146">
                  <c:v>2.2343003999999382</c:v>
                </c:pt>
                <c:pt idx="147">
                  <c:v>2.2496380000002318</c:v>
                </c:pt>
                <c:pt idx="148">
                  <c:v>2.2648432999999386</c:v>
                </c:pt>
                <c:pt idx="149">
                  <c:v>2.2802537000002303</c:v>
                </c:pt>
                <c:pt idx="150">
                  <c:v>2.2957443000000239</c:v>
                </c:pt>
                <c:pt idx="151">
                  <c:v>2.3108601000003546</c:v>
                </c:pt>
                <c:pt idx="152">
                  <c:v>2.3267076000001907</c:v>
                </c:pt>
                <c:pt idx="153">
                  <c:v>2.3422404000002643</c:v>
                </c:pt>
                <c:pt idx="154">
                  <c:v>2.3577167000003101</c:v>
                </c:pt>
                <c:pt idx="155">
                  <c:v>2.3737535000000207</c:v>
                </c:pt>
                <c:pt idx="156">
                  <c:v>2.3891392000000451</c:v>
                </c:pt>
                <c:pt idx="157">
                  <c:v>2.4044258000003538</c:v>
                </c:pt>
                <c:pt idx="158">
                  <c:v>2.4200561000002381</c:v>
                </c:pt>
                <c:pt idx="159">
                  <c:v>2.4353373000003558</c:v>
                </c:pt>
                <c:pt idx="160">
                  <c:v>2.4511147000002893</c:v>
                </c:pt>
                <c:pt idx="161">
                  <c:v>2.4667139000002862</c:v>
                </c:pt>
                <c:pt idx="162">
                  <c:v>2.4820594000002529</c:v>
                </c:pt>
                <c:pt idx="163">
                  <c:v>2.4976512000002913</c:v>
                </c:pt>
                <c:pt idx="164">
                  <c:v>2.5128660000000309</c:v>
                </c:pt>
                <c:pt idx="165">
                  <c:v>2.5291197000001375</c:v>
                </c:pt>
                <c:pt idx="166">
                  <c:v>2.545154100000218</c:v>
                </c:pt>
                <c:pt idx="167">
                  <c:v>2.5607248000001164</c:v>
                </c:pt>
                <c:pt idx="168">
                  <c:v>2.5767462000003434</c:v>
                </c:pt>
                <c:pt idx="169">
                  <c:v>2.5922519000000648</c:v>
                </c:pt>
                <c:pt idx="170">
                  <c:v>2.6073796000000584</c:v>
                </c:pt>
                <c:pt idx="171">
                  <c:v>2.623598800000309</c:v>
                </c:pt>
                <c:pt idx="172">
                  <c:v>2.6386173000000781</c:v>
                </c:pt>
                <c:pt idx="173">
                  <c:v>2.6532913000000917</c:v>
                </c:pt>
                <c:pt idx="174">
                  <c:v>2.6693276000000878</c:v>
                </c:pt>
                <c:pt idx="175">
                  <c:v>2.6842274000000543</c:v>
                </c:pt>
                <c:pt idx="176">
                  <c:v>2.7003435999999965</c:v>
                </c:pt>
                <c:pt idx="177">
                  <c:v>2.7156792999999197</c:v>
                </c:pt>
                <c:pt idx="178">
                  <c:v>2.7306740000003629</c:v>
                </c:pt>
                <c:pt idx="179">
                  <c:v>2.7468524999999318</c:v>
                </c:pt>
                <c:pt idx="180">
                  <c:v>2.7616574000003311</c:v>
                </c:pt>
                <c:pt idx="181">
                  <c:v>2.7769998000003397</c:v>
                </c:pt>
                <c:pt idx="182">
                  <c:v>2.7827747999999701</c:v>
                </c:pt>
                <c:pt idx="183">
                  <c:v>2.7924534000003405</c:v>
                </c:pt>
                <c:pt idx="184">
                  <c:v>2.8079795000003287</c:v>
                </c:pt>
                <c:pt idx="185">
                  <c:v>2.8237935000001926</c:v>
                </c:pt>
                <c:pt idx="186">
                  <c:v>2.839307799999915</c:v>
                </c:pt>
                <c:pt idx="187">
                  <c:v>2.8549921000003451</c:v>
                </c:pt>
                <c:pt idx="188">
                  <c:v>2.8707048000001123</c:v>
                </c:pt>
                <c:pt idx="189">
                  <c:v>2.8860036000000946</c:v>
                </c:pt>
                <c:pt idx="190">
                  <c:v>2.9018590999999105</c:v>
                </c:pt>
                <c:pt idx="191">
                  <c:v>2.9173605999999381</c:v>
                </c:pt>
                <c:pt idx="192">
                  <c:v>2.933209700000134</c:v>
                </c:pt>
                <c:pt idx="193">
                  <c:v>2.948562800000218</c:v>
                </c:pt>
                <c:pt idx="194">
                  <c:v>2.964241800000309</c:v>
                </c:pt>
                <c:pt idx="195">
                  <c:v>2.9795467000003555</c:v>
                </c:pt>
                <c:pt idx="196">
                  <c:v>2.9948434000002635</c:v>
                </c:pt>
                <c:pt idx="197">
                  <c:v>3.0102660000002288</c:v>
                </c:pt>
                <c:pt idx="198">
                  <c:v>3.0256426000000829</c:v>
                </c:pt>
                <c:pt idx="199">
                  <c:v>3.0413602000003266</c:v>
                </c:pt>
                <c:pt idx="200">
                  <c:v>3.0570830999999998</c:v>
                </c:pt>
                <c:pt idx="201">
                  <c:v>3.0723412000002099</c:v>
                </c:pt>
                <c:pt idx="202">
                  <c:v>3.0882626000002347</c:v>
                </c:pt>
                <c:pt idx="203">
                  <c:v>3.1039423000001989</c:v>
                </c:pt>
                <c:pt idx="204">
                  <c:v>3.1194261000000552</c:v>
                </c:pt>
                <c:pt idx="205">
                  <c:v>3.1348663000003398</c:v>
                </c:pt>
                <c:pt idx="206">
                  <c:v>3.1509092000001147</c:v>
                </c:pt>
                <c:pt idx="207">
                  <c:v>3.1657669000001079</c:v>
                </c:pt>
                <c:pt idx="208">
                  <c:v>3.1815710999999283</c:v>
                </c:pt>
                <c:pt idx="209">
                  <c:v>3.1973581000002014</c:v>
                </c:pt>
                <c:pt idx="210">
                  <c:v>3.2126834000000599</c:v>
                </c:pt>
                <c:pt idx="211">
                  <c:v>3.2280834000002869</c:v>
                </c:pt>
                <c:pt idx="212">
                  <c:v>3.2438833000001068</c:v>
                </c:pt>
                <c:pt idx="213">
                  <c:v>3.2592085000001134</c:v>
                </c:pt>
                <c:pt idx="214">
                  <c:v>3.2746432000003551</c:v>
                </c:pt>
                <c:pt idx="215">
                  <c:v>3.2891113999999106</c:v>
                </c:pt>
                <c:pt idx="216">
                  <c:v>3.3050321000000622</c:v>
                </c:pt>
                <c:pt idx="217">
                  <c:v>3.3204132000000754</c:v>
                </c:pt>
                <c:pt idx="218">
                  <c:v>3.3509248000000298</c:v>
                </c:pt>
                <c:pt idx="219">
                  <c:v>3.3818242000002101</c:v>
                </c:pt>
                <c:pt idx="220">
                  <c:v>3.4136052000003474</c:v>
                </c:pt>
                <c:pt idx="221">
                  <c:v>3.4602511000002778</c:v>
                </c:pt>
                <c:pt idx="222">
                  <c:v>3.4915995999999723</c:v>
                </c:pt>
                <c:pt idx="223">
                  <c:v>3.523010300000351</c:v>
                </c:pt>
                <c:pt idx="224">
                  <c:v>3.5539985000000343</c:v>
                </c:pt>
                <c:pt idx="225">
                  <c:v>3.5850232000002507</c:v>
                </c:pt>
                <c:pt idx="226">
                  <c:v>3.5996033999999781</c:v>
                </c:pt>
                <c:pt idx="227">
                  <c:v>3.6484425000003284</c:v>
                </c:pt>
                <c:pt idx="228">
                  <c:v>3.6792224000000715</c:v>
                </c:pt>
                <c:pt idx="229">
                  <c:v>3.7099185000001853</c:v>
                </c:pt>
                <c:pt idx="230">
                  <c:v>3.7409314000001359</c:v>
                </c:pt>
                <c:pt idx="231">
                  <c:v>3.7725172000000384</c:v>
                </c:pt>
                <c:pt idx="232">
                  <c:v>3.8034191000001556</c:v>
                </c:pt>
                <c:pt idx="233">
                  <c:v>3.8347544000002927</c:v>
                </c:pt>
                <c:pt idx="234">
                  <c:v>3.8809946999999738</c:v>
                </c:pt>
                <c:pt idx="235">
                  <c:v>3.9118468000001485</c:v>
                </c:pt>
                <c:pt idx="236">
                  <c:v>3.94181830000025</c:v>
                </c:pt>
                <c:pt idx="237">
                  <c:v>3.973624799999925</c:v>
                </c:pt>
                <c:pt idx="238">
                  <c:v>4.005279900000005</c:v>
                </c:pt>
                <c:pt idx="239">
                  <c:v>4.0507501000001866</c:v>
                </c:pt>
                <c:pt idx="240">
                  <c:v>4.0671081000000413</c:v>
                </c:pt>
                <c:pt idx="241">
                  <c:v>4.1128428000001804</c:v>
                </c:pt>
                <c:pt idx="242">
                  <c:v>4.1449381000002177</c:v>
                </c:pt>
                <c:pt idx="243">
                  <c:v>4.1763894000000619</c:v>
                </c:pt>
                <c:pt idx="244">
                  <c:v>4.2076147000002493</c:v>
                </c:pt>
                <c:pt idx="245">
                  <c:v>4.2387711000001218</c:v>
                </c:pt>
                <c:pt idx="246">
                  <c:v>4.2696338000000651</c:v>
                </c:pt>
                <c:pt idx="247">
                  <c:v>4.3009468000000197</c:v>
                </c:pt>
                <c:pt idx="248">
                  <c:v>4.3330816000002415</c:v>
                </c:pt>
                <c:pt idx="249">
                  <c:v>4.3633076999999503</c:v>
                </c:pt>
                <c:pt idx="250">
                  <c:v>4.394745900000089</c:v>
                </c:pt>
                <c:pt idx="251">
                  <c:v>4.394745900000089</c:v>
                </c:pt>
                <c:pt idx="252">
                  <c:v>4.4412157000001571</c:v>
                </c:pt>
                <c:pt idx="253">
                  <c:v>4.4725981999999931</c:v>
                </c:pt>
                <c:pt idx="254">
                  <c:v>4.488977800000157</c:v>
                </c:pt>
                <c:pt idx="255">
                  <c:v>4.5362476000000242</c:v>
                </c:pt>
                <c:pt idx="256">
                  <c:v>4.5676837999999407</c:v>
                </c:pt>
                <c:pt idx="257">
                  <c:v>4.5833628000000317</c:v>
                </c:pt>
                <c:pt idx="258">
                  <c:v>4.6145317000000432</c:v>
                </c:pt>
                <c:pt idx="259">
                  <c:v>4.6460602000001927</c:v>
                </c:pt>
                <c:pt idx="260">
                  <c:v>4.6918248000001768</c:v>
                </c:pt>
                <c:pt idx="261">
                  <c:v>4.7224734999999782</c:v>
                </c:pt>
                <c:pt idx="262">
                  <c:v>4.7540136000002349</c:v>
                </c:pt>
                <c:pt idx="263">
                  <c:v>4.785278400000152</c:v>
                </c:pt>
                <c:pt idx="264">
                  <c:v>4.8168749999999818</c:v>
                </c:pt>
                <c:pt idx="265">
                  <c:v>4.8480672999999115</c:v>
                </c:pt>
                <c:pt idx="266">
                  <c:v>4.894781200000125</c:v>
                </c:pt>
                <c:pt idx="267">
                  <c:v>4.924650500000098</c:v>
                </c:pt>
                <c:pt idx="268">
                  <c:v>4.955856600000061</c:v>
                </c:pt>
                <c:pt idx="269">
                  <c:v>4.9868524000003163</c:v>
                </c:pt>
                <c:pt idx="270">
                  <c:v>5.0186327999999776</c:v>
                </c:pt>
                <c:pt idx="271">
                  <c:v>5.050128400000176</c:v>
                </c:pt>
                <c:pt idx="272">
                  <c:v>5.0961265999999341</c:v>
                </c:pt>
                <c:pt idx="273">
                  <c:v>5.1276719000002231</c:v>
                </c:pt>
                <c:pt idx="274">
                  <c:v>5.1429911000000175</c:v>
                </c:pt>
                <c:pt idx="275">
                  <c:v>5.1887320000000727</c:v>
                </c:pt>
                <c:pt idx="276">
                  <c:v>5.2043437000002086</c:v>
                </c:pt>
                <c:pt idx="277">
                  <c:v>5.2351919000002454</c:v>
                </c:pt>
                <c:pt idx="278">
                  <c:v>5.2664266000001589</c:v>
                </c:pt>
                <c:pt idx="279">
                  <c:v>5.3137940999999955</c:v>
                </c:pt>
                <c:pt idx="280">
                  <c:v>5.3449761000001672</c:v>
                </c:pt>
                <c:pt idx="281">
                  <c:v>5.3757095999999365</c:v>
                </c:pt>
                <c:pt idx="282">
                  <c:v>5.4222217000001365</c:v>
                </c:pt>
                <c:pt idx="283">
                  <c:v>5.4381237000002329</c:v>
                </c:pt>
                <c:pt idx="284">
                  <c:v>5.4688648000001194</c:v>
                </c:pt>
                <c:pt idx="285">
                  <c:v>5.4998015000001033</c:v>
                </c:pt>
                <c:pt idx="286">
                  <c:v>5.5451805000002423</c:v>
                </c:pt>
                <c:pt idx="287">
                  <c:v>5.5764908999999534</c:v>
                </c:pt>
                <c:pt idx="288">
                  <c:v>5.6080673999999817</c:v>
                </c:pt>
                <c:pt idx="289">
                  <c:v>5.6387036999999509</c:v>
                </c:pt>
                <c:pt idx="290">
                  <c:v>5.6699516000003314</c:v>
                </c:pt>
                <c:pt idx="291">
                  <c:v>5.701974699999937</c:v>
                </c:pt>
                <c:pt idx="292">
                  <c:v>5.7486766000001808</c:v>
                </c:pt>
                <c:pt idx="293">
                  <c:v>5.764324900000247</c:v>
                </c:pt>
                <c:pt idx="294">
                  <c:v>5.7952473000000282</c:v>
                </c:pt>
                <c:pt idx="295">
                  <c:v>5.8428050000002258</c:v>
                </c:pt>
                <c:pt idx="296">
                  <c:v>5.8580776000003425</c:v>
                </c:pt>
                <c:pt idx="297">
                  <c:v>5.9047223000002305</c:v>
                </c:pt>
                <c:pt idx="298">
                  <c:v>5.9358409000001302</c:v>
                </c:pt>
                <c:pt idx="299">
                  <c:v>5.9675528000002487</c:v>
                </c:pt>
                <c:pt idx="300">
                  <c:v>5.9996636000000763</c:v>
                </c:pt>
                <c:pt idx="301">
                  <c:v>6.0306840000002921</c:v>
                </c:pt>
                <c:pt idx="302">
                  <c:v>6.06165910000027</c:v>
                </c:pt>
                <c:pt idx="303">
                  <c:v>6.0926454000000376</c:v>
                </c:pt>
                <c:pt idx="304">
                  <c:v>6.1401559999999336</c:v>
                </c:pt>
                <c:pt idx="305">
                  <c:v>6.1563291000002209</c:v>
                </c:pt>
                <c:pt idx="306">
                  <c:v>6.1883143000000018</c:v>
                </c:pt>
                <c:pt idx="307">
                  <c:v>6.219743500000277</c:v>
                </c:pt>
                <c:pt idx="308">
                  <c:v>6.2516041000003497</c:v>
                </c:pt>
                <c:pt idx="309">
                  <c:v>6.282763100000011</c:v>
                </c:pt>
                <c:pt idx="310">
                  <c:v>6.3285098000001199</c:v>
                </c:pt>
                <c:pt idx="311">
                  <c:v>6.3599115000001802</c:v>
                </c:pt>
                <c:pt idx="312">
                  <c:v>6.3917077000000972</c:v>
                </c:pt>
                <c:pt idx="313">
                  <c:v>6.422660800000358</c:v>
                </c:pt>
                <c:pt idx="314">
                  <c:v>6.4537825000002158</c:v>
                </c:pt>
                <c:pt idx="315">
                  <c:v>6.4844882000002144</c:v>
                </c:pt>
                <c:pt idx="316">
                  <c:v>6.516153800000211</c:v>
                </c:pt>
                <c:pt idx="317">
                  <c:v>6.5628636999999799</c:v>
                </c:pt>
                <c:pt idx="318">
                  <c:v>6.5786716000002343</c:v>
                </c:pt>
                <c:pt idx="319">
                  <c:v>6.609832500000266</c:v>
                </c:pt>
                <c:pt idx="320">
                  <c:v>6.640661700000237</c:v>
                </c:pt>
                <c:pt idx="321">
                  <c:v>6.6715048000000934</c:v>
                </c:pt>
                <c:pt idx="322">
                  <c:v>6.7501508000000285</c:v>
                </c:pt>
                <c:pt idx="323">
                  <c:v>6.7660141000001204</c:v>
                </c:pt>
                <c:pt idx="324">
                  <c:v>6.7808840000002419</c:v>
                </c:pt>
                <c:pt idx="325">
                  <c:v>6.8117409999999836</c:v>
                </c:pt>
                <c:pt idx="326">
                  <c:v>6.8431192000002738</c:v>
                </c:pt>
                <c:pt idx="327">
                  <c:v>6.889363400000093</c:v>
                </c:pt>
                <c:pt idx="328">
                  <c:v>6.9050976000003175</c:v>
                </c:pt>
                <c:pt idx="329">
                  <c:v>6.9359776999999667</c:v>
                </c:pt>
                <c:pt idx="330">
                  <c:v>6.982658000000356</c:v>
                </c:pt>
                <c:pt idx="331">
                  <c:v>7.0138781000000563</c:v>
                </c:pt>
                <c:pt idx="332">
                  <c:v>7.0456661000002896</c:v>
                </c:pt>
                <c:pt idx="333">
                  <c:v>7.0764965000003031</c:v>
                </c:pt>
                <c:pt idx="334">
                  <c:v>7.0918552000002819</c:v>
                </c:pt>
                <c:pt idx="335">
                  <c:v>7.1376743999999235</c:v>
                </c:pt>
                <c:pt idx="336">
                  <c:v>7.1689455000000635</c:v>
                </c:pt>
                <c:pt idx="337">
                  <c:v>7.1994391000002906</c:v>
                </c:pt>
                <c:pt idx="338">
                  <c:v>7.2303764000002957</c:v>
                </c:pt>
                <c:pt idx="339">
                  <c:v>7.2610180000001492</c:v>
                </c:pt>
                <c:pt idx="340">
                  <c:v>7.2914008000002468</c:v>
                </c:pt>
                <c:pt idx="341">
                  <c:v>7.322199300000193</c:v>
                </c:pt>
                <c:pt idx="342">
                  <c:v>7.3685009999999238</c:v>
                </c:pt>
                <c:pt idx="343">
                  <c:v>7.3994520000001103</c:v>
                </c:pt>
                <c:pt idx="344">
                  <c:v>7.4296279000000141</c:v>
                </c:pt>
                <c:pt idx="345">
                  <c:v>7.4604534000000058</c:v>
                </c:pt>
                <c:pt idx="346">
                  <c:v>7.4911415999999917</c:v>
                </c:pt>
                <c:pt idx="347">
                  <c:v>7.5214939000002232</c:v>
                </c:pt>
                <c:pt idx="348">
                  <c:v>7.5530551000001651</c:v>
                </c:pt>
                <c:pt idx="349">
                  <c:v>7.5847566000002189</c:v>
                </c:pt>
                <c:pt idx="350">
                  <c:v>7.6303099000001566</c:v>
                </c:pt>
                <c:pt idx="351">
                  <c:v>7.6614517000002706</c:v>
                </c:pt>
                <c:pt idx="352">
                  <c:v>7.6926768000002994</c:v>
                </c:pt>
                <c:pt idx="353">
                  <c:v>7.7091374000001451</c:v>
                </c:pt>
                <c:pt idx="354">
                  <c:v>7.7542189999999209</c:v>
                </c:pt>
                <c:pt idx="355">
                  <c:v>7.8011043000001337</c:v>
                </c:pt>
                <c:pt idx="356">
                  <c:v>7.8170420000001286</c:v>
                </c:pt>
                <c:pt idx="357">
                  <c:v>7.8470568000002459</c:v>
                </c:pt>
                <c:pt idx="358">
                  <c:v>7.8783350000003338</c:v>
                </c:pt>
                <c:pt idx="359">
                  <c:v>7.9094147999999223</c:v>
                </c:pt>
                <c:pt idx="360">
                  <c:v>7.9560894000001099</c:v>
                </c:pt>
                <c:pt idx="361">
                  <c:v>7.9712922000003346</c:v>
                </c:pt>
                <c:pt idx="362">
                  <c:v>8.0333432000002176</c:v>
                </c:pt>
                <c:pt idx="363">
                  <c:v>8.0494155999999748</c:v>
                </c:pt>
                <c:pt idx="364">
                  <c:v>8.0800664000003053</c:v>
                </c:pt>
                <c:pt idx="365">
                  <c:v>8.1102260000002389</c:v>
                </c:pt>
                <c:pt idx="366">
                  <c:v>8.1410513000000719</c:v>
                </c:pt>
                <c:pt idx="367">
                  <c:v>8.1713263000001461</c:v>
                </c:pt>
                <c:pt idx="368">
                  <c:v>8.2182953000001362</c:v>
                </c:pt>
                <c:pt idx="369">
                  <c:v>8.2507051000002321</c:v>
                </c:pt>
                <c:pt idx="370">
                  <c:v>8.2821619000001192</c:v>
                </c:pt>
                <c:pt idx="371">
                  <c:v>8.3135958000002574</c:v>
                </c:pt>
                <c:pt idx="372">
                  <c:v>8.3604387000000315</c:v>
                </c:pt>
                <c:pt idx="373">
                  <c:v>8.3916505000001962</c:v>
                </c:pt>
                <c:pt idx="374">
                  <c:v>8.4077753999999914</c:v>
                </c:pt>
                <c:pt idx="375">
                  <c:v>8.4398114000000533</c:v>
                </c:pt>
                <c:pt idx="376">
                  <c:v>8.4706567000002906</c:v>
                </c:pt>
                <c:pt idx="377">
                  <c:v>8.5016960000002655</c:v>
                </c:pt>
                <c:pt idx="378">
                  <c:v>8.5334142000001521</c:v>
                </c:pt>
                <c:pt idx="379">
                  <c:v>8.5640333999999712</c:v>
                </c:pt>
                <c:pt idx="380">
                  <c:v>8.6103827000001729</c:v>
                </c:pt>
                <c:pt idx="381">
                  <c:v>8.6416521999999532</c:v>
                </c:pt>
                <c:pt idx="382">
                  <c:v>8.6725203000000874</c:v>
                </c:pt>
                <c:pt idx="383">
                  <c:v>8.7038448000002973</c:v>
                </c:pt>
                <c:pt idx="384">
                  <c:v>8.7351304000003438</c:v>
                </c:pt>
                <c:pt idx="385">
                  <c:v>8.7657859000000826</c:v>
                </c:pt>
                <c:pt idx="386">
                  <c:v>8.8118800000002011</c:v>
                </c:pt>
                <c:pt idx="387">
                  <c:v>8.8423560000001089</c:v>
                </c:pt>
                <c:pt idx="388">
                  <c:v>8.8740938999999344</c:v>
                </c:pt>
                <c:pt idx="389">
                  <c:v>8.9046278000000711</c:v>
                </c:pt>
                <c:pt idx="390">
                  <c:v>8.9204263000001447</c:v>
                </c:pt>
                <c:pt idx="391">
                  <c:v>8.9525909000003594</c:v>
                </c:pt>
                <c:pt idx="392">
                  <c:v>8.9842535000002499</c:v>
                </c:pt>
                <c:pt idx="393">
                  <c:v>9.0298788000000059</c:v>
                </c:pt>
                <c:pt idx="394">
                  <c:v>9.0614534000001186</c:v>
                </c:pt>
                <c:pt idx="395">
                  <c:v>9.0920629000002009</c:v>
                </c:pt>
                <c:pt idx="396">
                  <c:v>9.1226764000002731</c:v>
                </c:pt>
                <c:pt idx="397">
                  <c:v>9.1544873000002553</c:v>
                </c:pt>
                <c:pt idx="398">
                  <c:v>9.1856004000001121</c:v>
                </c:pt>
                <c:pt idx="399">
                  <c:v>9.2319609000001037</c:v>
                </c:pt>
                <c:pt idx="400">
                  <c:v>9.2636449000001448</c:v>
                </c:pt>
                <c:pt idx="401">
                  <c:v>9.2947963000001437</c:v>
                </c:pt>
                <c:pt idx="402">
                  <c:v>9.3257871999999224</c:v>
                </c:pt>
                <c:pt idx="403">
                  <c:v>9.3574472000000242</c:v>
                </c:pt>
                <c:pt idx="404">
                  <c:v>9.3881310000001577</c:v>
                </c:pt>
                <c:pt idx="405">
                  <c:v>9.4191834000002927</c:v>
                </c:pt>
                <c:pt idx="406">
                  <c:v>9.4511846000000332</c:v>
                </c:pt>
                <c:pt idx="407">
                  <c:v>9.482476200000292</c:v>
                </c:pt>
                <c:pt idx="408">
                  <c:v>9.5138239000002613</c:v>
                </c:pt>
                <c:pt idx="409">
                  <c:v>9.5450538000000051</c:v>
                </c:pt>
                <c:pt idx="410">
                  <c:v>9.5756233000001885</c:v>
                </c:pt>
                <c:pt idx="411">
                  <c:v>9.6216914999999972</c:v>
                </c:pt>
                <c:pt idx="412">
                  <c:v>9.6371598000000631</c:v>
                </c:pt>
                <c:pt idx="413">
                  <c:v>9.6828319999999621</c:v>
                </c:pt>
                <c:pt idx="414">
                  <c:v>9.7140236000000186</c:v>
                </c:pt>
                <c:pt idx="415">
                  <c:v>9.7451331000002028</c:v>
                </c:pt>
                <c:pt idx="416">
                  <c:v>9.776104800000212</c:v>
                </c:pt>
                <c:pt idx="417">
                  <c:v>9.8221478000000388</c:v>
                </c:pt>
                <c:pt idx="418">
                  <c:v>9.8995895000002747</c:v>
                </c:pt>
                <c:pt idx="419">
                  <c:v>9.9158062000001337</c:v>
                </c:pt>
                <c:pt idx="420">
                  <c:v>9.9474810000001526</c:v>
                </c:pt>
                <c:pt idx="421">
                  <c:v>9.9629537999999229</c:v>
                </c:pt>
                <c:pt idx="422">
                  <c:v>9.9943424000002778</c:v>
                </c:pt>
                <c:pt idx="423">
                  <c:v>10.025122300000021</c:v>
                </c:pt>
                <c:pt idx="424">
                  <c:v>10.07095180000033</c:v>
                </c:pt>
                <c:pt idx="425">
                  <c:v>10.10166879999997</c:v>
                </c:pt>
                <c:pt idx="426">
                  <c:v>10.133150200000273</c:v>
                </c:pt>
                <c:pt idx="427">
                  <c:v>10.164865799999916</c:v>
                </c:pt>
                <c:pt idx="428">
                  <c:v>10.195383499999934</c:v>
                </c:pt>
                <c:pt idx="429">
                  <c:v>10.225805600000058</c:v>
                </c:pt>
                <c:pt idx="430">
                  <c:v>10.248324300000149</c:v>
                </c:pt>
                <c:pt idx="431">
                  <c:v>10.303866700000071</c:v>
                </c:pt>
                <c:pt idx="432">
                  <c:v>10.333491000000322</c:v>
                </c:pt>
                <c:pt idx="433">
                  <c:v>10.36482019999994</c:v>
                </c:pt>
                <c:pt idx="434">
                  <c:v>10.395894300000236</c:v>
                </c:pt>
                <c:pt idx="435">
                  <c:v>10.426647600000251</c:v>
                </c:pt>
                <c:pt idx="436">
                  <c:v>10.457696400000259</c:v>
                </c:pt>
                <c:pt idx="437">
                  <c:v>10.488746800000172</c:v>
                </c:pt>
                <c:pt idx="438">
                  <c:v>10.535662400000092</c:v>
                </c:pt>
                <c:pt idx="439">
                  <c:v>10.566998700000113</c:v>
                </c:pt>
                <c:pt idx="440">
                  <c:v>10.582380400000147</c:v>
                </c:pt>
                <c:pt idx="441">
                  <c:v>10.629483500000333</c:v>
                </c:pt>
                <c:pt idx="442">
                  <c:v>10.660453400000279</c:v>
                </c:pt>
                <c:pt idx="443">
                  <c:v>10.691334900000129</c:v>
                </c:pt>
                <c:pt idx="444">
                  <c:v>10.723119799999949</c:v>
                </c:pt>
                <c:pt idx="445">
                  <c:v>10.754917700000078</c:v>
                </c:pt>
                <c:pt idx="446">
                  <c:v>10.786172399999941</c:v>
                </c:pt>
                <c:pt idx="447">
                  <c:v>10.832616900000176</c:v>
                </c:pt>
                <c:pt idx="448">
                  <c:v>10.863517400000092</c:v>
                </c:pt>
                <c:pt idx="449">
                  <c:v>10.894051799999943</c:v>
                </c:pt>
                <c:pt idx="450">
                  <c:v>10.925019900000279</c:v>
                </c:pt>
                <c:pt idx="451">
                  <c:v>10.956175499999972</c:v>
                </c:pt>
                <c:pt idx="452">
                  <c:v>10.986783500000001</c:v>
                </c:pt>
                <c:pt idx="453">
                  <c:v>11.018666899999971</c:v>
                </c:pt>
                <c:pt idx="454">
                  <c:v>11.048951400000078</c:v>
                </c:pt>
                <c:pt idx="455">
                  <c:v>11.09581530000014</c:v>
                </c:pt>
                <c:pt idx="456">
                  <c:v>11.126629700000194</c:v>
                </c:pt>
                <c:pt idx="457">
                  <c:v>11.142573900000116</c:v>
                </c:pt>
                <c:pt idx="458">
                  <c:v>11.173766700000215</c:v>
                </c:pt>
                <c:pt idx="459">
                  <c:v>11.205695800000285</c:v>
                </c:pt>
                <c:pt idx="460">
                  <c:v>11.237737200000083</c:v>
                </c:pt>
                <c:pt idx="461">
                  <c:v>11.284514800000125</c:v>
                </c:pt>
                <c:pt idx="462">
                  <c:v>11.315749600000345</c:v>
                </c:pt>
                <c:pt idx="463">
                  <c:v>11.346154500000011</c:v>
                </c:pt>
                <c:pt idx="464">
                  <c:v>11.3774856</c:v>
                </c:pt>
                <c:pt idx="465">
                  <c:v>11.409056299999975</c:v>
                </c:pt>
                <c:pt idx="466">
                  <c:v>11.440554600000269</c:v>
                </c:pt>
                <c:pt idx="467">
                  <c:v>11.471008800000163</c:v>
                </c:pt>
                <c:pt idx="468">
                  <c:v>11.502131700000064</c:v>
                </c:pt>
                <c:pt idx="469">
                  <c:v>11.548793500000102</c:v>
                </c:pt>
                <c:pt idx="470">
                  <c:v>11.57956890000014</c:v>
                </c:pt>
                <c:pt idx="471">
                  <c:v>11.594943300000068</c:v>
                </c:pt>
                <c:pt idx="472">
                  <c:v>11.641669500000262</c:v>
                </c:pt>
                <c:pt idx="473">
                  <c:v>11.673290500000348</c:v>
                </c:pt>
                <c:pt idx="474">
                  <c:v>11.688881800000217</c:v>
                </c:pt>
                <c:pt idx="475">
                  <c:v>11.7196414</c:v>
                </c:pt>
                <c:pt idx="476">
                  <c:v>11.766130200000134</c:v>
                </c:pt>
                <c:pt idx="477">
                  <c:v>11.796685300000263</c:v>
                </c:pt>
                <c:pt idx="478">
                  <c:v>11.827278600000227</c:v>
                </c:pt>
                <c:pt idx="479">
                  <c:v>11.858095800000228</c:v>
                </c:pt>
                <c:pt idx="480">
                  <c:v>11.888794500000131</c:v>
                </c:pt>
                <c:pt idx="481">
                  <c:v>11.934336000000258</c:v>
                </c:pt>
                <c:pt idx="482">
                  <c:v>11.965639400000327</c:v>
                </c:pt>
                <c:pt idx="483">
                  <c:v>11.997932499999933</c:v>
                </c:pt>
                <c:pt idx="484">
                  <c:v>12.028717099999994</c:v>
                </c:pt>
                <c:pt idx="485">
                  <c:v>12.059517700000015</c:v>
                </c:pt>
                <c:pt idx="486">
                  <c:v>12.090803600000072</c:v>
                </c:pt>
                <c:pt idx="487">
                  <c:v>12.122577999999976</c:v>
                </c:pt>
                <c:pt idx="488">
                  <c:v>12.169699400000354</c:v>
                </c:pt>
                <c:pt idx="489">
                  <c:v>12.201201400000173</c:v>
                </c:pt>
                <c:pt idx="490">
                  <c:v>12.232632700000067</c:v>
                </c:pt>
                <c:pt idx="491">
                  <c:v>12.249022299999979</c:v>
                </c:pt>
                <c:pt idx="492">
                  <c:v>12.295267500000136</c:v>
                </c:pt>
                <c:pt idx="493">
                  <c:v>12.310584300000301</c:v>
                </c:pt>
                <c:pt idx="494">
                  <c:v>12.341577000000143</c:v>
                </c:pt>
                <c:pt idx="495">
                  <c:v>12.387372800000321</c:v>
                </c:pt>
                <c:pt idx="496">
                  <c:v>12.418010100000174</c:v>
                </c:pt>
                <c:pt idx="497">
                  <c:v>12.449695600000268</c:v>
                </c:pt>
                <c:pt idx="498">
                  <c:v>12.480971400000271</c:v>
                </c:pt>
                <c:pt idx="499">
                  <c:v>12.513204300000325</c:v>
                </c:pt>
                <c:pt idx="500">
                  <c:v>12.559790600000269</c:v>
                </c:pt>
                <c:pt idx="501">
                  <c:v>12.591086400000222</c:v>
                </c:pt>
                <c:pt idx="502">
                  <c:v>12.637489100000039</c:v>
                </c:pt>
                <c:pt idx="503">
                  <c:v>12.652473600000121</c:v>
                </c:pt>
                <c:pt idx="504">
                  <c:v>12.667999700000109</c:v>
                </c:pt>
                <c:pt idx="505">
                  <c:v>12.698369500000354</c:v>
                </c:pt>
                <c:pt idx="506">
                  <c:v>12.745587899999919</c:v>
                </c:pt>
                <c:pt idx="507">
                  <c:v>12.776711700000305</c:v>
                </c:pt>
                <c:pt idx="508">
                  <c:v>12.80882500000007</c:v>
                </c:pt>
                <c:pt idx="509">
                  <c:v>12.839928300000338</c:v>
                </c:pt>
                <c:pt idx="510">
                  <c:v>12.870841400000245</c:v>
                </c:pt>
                <c:pt idx="511">
                  <c:v>12.919063800000004</c:v>
                </c:pt>
                <c:pt idx="512">
                  <c:v>12.950572400000055</c:v>
                </c:pt>
                <c:pt idx="513">
                  <c:v>12.981602100000146</c:v>
                </c:pt>
                <c:pt idx="514">
                  <c:v>13.012179100000139</c:v>
                </c:pt>
                <c:pt idx="515">
                  <c:v>13.043758100000105</c:v>
                </c:pt>
                <c:pt idx="516">
                  <c:v>13.074363600000197</c:v>
                </c:pt>
                <c:pt idx="517">
                  <c:v>13.090145600000142</c:v>
                </c:pt>
                <c:pt idx="518">
                  <c:v>13.121570300000258</c:v>
                </c:pt>
                <c:pt idx="519">
                  <c:v>13.168152000000191</c:v>
                </c:pt>
                <c:pt idx="520">
                  <c:v>13.198883300000034</c:v>
                </c:pt>
                <c:pt idx="521">
                  <c:v>13.229255200000352</c:v>
                </c:pt>
                <c:pt idx="522">
                  <c:v>13.276719299999968</c:v>
                </c:pt>
                <c:pt idx="523">
                  <c:v>13.29261600000018</c:v>
                </c:pt>
                <c:pt idx="524">
                  <c:v>13.338836800000081</c:v>
                </c:pt>
                <c:pt idx="525">
                  <c:v>13.369466399999965</c:v>
                </c:pt>
                <c:pt idx="526">
                  <c:v>13.400827800000116</c:v>
                </c:pt>
                <c:pt idx="527">
                  <c:v>13.400827800000116</c:v>
                </c:pt>
                <c:pt idx="528">
                  <c:v>13.431558000000223</c:v>
                </c:pt>
                <c:pt idx="529">
                  <c:v>13.463181999999961</c:v>
                </c:pt>
                <c:pt idx="530">
                  <c:v>13.493699300000117</c:v>
                </c:pt>
                <c:pt idx="531">
                  <c:v>13.524435400000129</c:v>
                </c:pt>
                <c:pt idx="532">
                  <c:v>13.556190600000264</c:v>
                </c:pt>
                <c:pt idx="533">
                  <c:v>13.603659400000197</c:v>
                </c:pt>
                <c:pt idx="534">
                  <c:v>13.634937799999989</c:v>
                </c:pt>
                <c:pt idx="535">
                  <c:v>13.649690700000065</c:v>
                </c:pt>
                <c:pt idx="536">
                  <c:v>13.681694700000207</c:v>
                </c:pt>
                <c:pt idx="537">
                  <c:v>13.713017500000205</c:v>
                </c:pt>
                <c:pt idx="538">
                  <c:v>13.759507100000064</c:v>
                </c:pt>
                <c:pt idx="539">
                  <c:v>13.791183000000274</c:v>
                </c:pt>
                <c:pt idx="540">
                  <c:v>13.822837600000184</c:v>
                </c:pt>
                <c:pt idx="541">
                  <c:v>13.853742799999964</c:v>
                </c:pt>
                <c:pt idx="542">
                  <c:v>13.885365500000262</c:v>
                </c:pt>
                <c:pt idx="543">
                  <c:v>13.915913000000273</c:v>
                </c:pt>
                <c:pt idx="544">
                  <c:v>13.946901199999957</c:v>
                </c:pt>
                <c:pt idx="545">
                  <c:v>13.977670900000248</c:v>
                </c:pt>
                <c:pt idx="546">
                  <c:v>14.024668200000178</c:v>
                </c:pt>
                <c:pt idx="547">
                  <c:v>14.055672200000117</c:v>
                </c:pt>
                <c:pt idx="548">
                  <c:v>14.086797200000092</c:v>
                </c:pt>
                <c:pt idx="549">
                  <c:v>14.117896000000201</c:v>
                </c:pt>
                <c:pt idx="550">
                  <c:v>14.149670600000263</c:v>
                </c:pt>
                <c:pt idx="551">
                  <c:v>14.165632100000039</c:v>
                </c:pt>
                <c:pt idx="552">
                  <c:v>14.211338300000079</c:v>
                </c:pt>
                <c:pt idx="553">
                  <c:v>14.241900100000294</c:v>
                </c:pt>
                <c:pt idx="554">
                  <c:v>14.272979300000316</c:v>
                </c:pt>
                <c:pt idx="555">
                  <c:v>14.304227200000241</c:v>
                </c:pt>
                <c:pt idx="556">
                  <c:v>14.335389500000019</c:v>
                </c:pt>
                <c:pt idx="557">
                  <c:v>14.366503500000363</c:v>
                </c:pt>
                <c:pt idx="558">
                  <c:v>14.397033700000065</c:v>
                </c:pt>
              </c:numCache>
            </c:numRef>
          </c:xVal>
          <c:yVal>
            <c:numRef>
              <c:f>'Maju 0.05'!$AA$7:$AA$565</c:f>
              <c:numCache>
                <c:formatCode>General</c:formatCode>
                <c:ptCount val="559"/>
                <c:pt idx="0">
                  <c:v>-4.6169860839843704</c:v>
                </c:pt>
                <c:pt idx="1">
                  <c:v>-4.6169860839843704</c:v>
                </c:pt>
                <c:pt idx="2">
                  <c:v>-4.6169860839843704</c:v>
                </c:pt>
                <c:pt idx="3">
                  <c:v>-4.6169860839843704</c:v>
                </c:pt>
                <c:pt idx="4">
                  <c:v>-4.6169860839843704</c:v>
                </c:pt>
                <c:pt idx="5">
                  <c:v>-0.42184424400329501</c:v>
                </c:pt>
                <c:pt idx="6">
                  <c:v>-0.42184424400329501</c:v>
                </c:pt>
                <c:pt idx="7">
                  <c:v>-0.42184424400329501</c:v>
                </c:pt>
                <c:pt idx="8">
                  <c:v>-0.42184424400329501</c:v>
                </c:pt>
                <c:pt idx="9">
                  <c:v>1.07155990600585</c:v>
                </c:pt>
                <c:pt idx="10">
                  <c:v>1.07155990600585</c:v>
                </c:pt>
                <c:pt idx="11">
                  <c:v>1.07155990600585</c:v>
                </c:pt>
                <c:pt idx="12">
                  <c:v>1.07155990600585</c:v>
                </c:pt>
                <c:pt idx="13">
                  <c:v>1.07155990600585</c:v>
                </c:pt>
                <c:pt idx="14">
                  <c:v>-5.1194324493408203</c:v>
                </c:pt>
                <c:pt idx="15">
                  <c:v>-5.1194324493408203</c:v>
                </c:pt>
                <c:pt idx="16">
                  <c:v>-5.1194324493408203</c:v>
                </c:pt>
                <c:pt idx="17">
                  <c:v>-5.1194324493408203</c:v>
                </c:pt>
                <c:pt idx="18">
                  <c:v>-5.1194324493408203</c:v>
                </c:pt>
                <c:pt idx="19">
                  <c:v>-1.6270414352416902</c:v>
                </c:pt>
                <c:pt idx="20">
                  <c:v>-1.6270414352416902</c:v>
                </c:pt>
                <c:pt idx="21">
                  <c:v>-1.6270414352416902</c:v>
                </c:pt>
                <c:pt idx="22">
                  <c:v>-1.6270414352416902</c:v>
                </c:pt>
                <c:pt idx="23">
                  <c:v>-6.4855308532714799</c:v>
                </c:pt>
                <c:pt idx="24">
                  <c:v>-6.4855308532714799</c:v>
                </c:pt>
                <c:pt idx="25">
                  <c:v>-6.4855308532714799</c:v>
                </c:pt>
                <c:pt idx="26">
                  <c:v>-6.4855308532714799</c:v>
                </c:pt>
                <c:pt idx="27">
                  <c:v>-13.569862365722599</c:v>
                </c:pt>
                <c:pt idx="28">
                  <c:v>-13.569862365722599</c:v>
                </c:pt>
                <c:pt idx="29">
                  <c:v>-13.569862365722599</c:v>
                </c:pt>
                <c:pt idx="30">
                  <c:v>-13.569862365722599</c:v>
                </c:pt>
                <c:pt idx="31">
                  <c:v>-15.106326293945299</c:v>
                </c:pt>
                <c:pt idx="32">
                  <c:v>-15.106326293945299</c:v>
                </c:pt>
                <c:pt idx="33">
                  <c:v>-15.106326293945299</c:v>
                </c:pt>
                <c:pt idx="34">
                  <c:v>-15.106326293945299</c:v>
                </c:pt>
                <c:pt idx="35">
                  <c:v>-10.147549438476499</c:v>
                </c:pt>
                <c:pt idx="36">
                  <c:v>-10.147549438476499</c:v>
                </c:pt>
                <c:pt idx="37">
                  <c:v>-10.147549438476499</c:v>
                </c:pt>
                <c:pt idx="38">
                  <c:v>-10.147549438476499</c:v>
                </c:pt>
                <c:pt idx="39">
                  <c:v>-10.147549438476499</c:v>
                </c:pt>
                <c:pt idx="40">
                  <c:v>-4.75911521911621</c:v>
                </c:pt>
                <c:pt idx="41">
                  <c:v>-4.75911521911621</c:v>
                </c:pt>
                <c:pt idx="42">
                  <c:v>-4.75911521911621</c:v>
                </c:pt>
                <c:pt idx="43">
                  <c:v>-4.75911521911621</c:v>
                </c:pt>
                <c:pt idx="44">
                  <c:v>-5.4758556365966795</c:v>
                </c:pt>
                <c:pt idx="45">
                  <c:v>-5.4758556365966795</c:v>
                </c:pt>
                <c:pt idx="46">
                  <c:v>-5.4758556365966795</c:v>
                </c:pt>
                <c:pt idx="47">
                  <c:v>-5.4758556365966795</c:v>
                </c:pt>
                <c:pt idx="48">
                  <c:v>-9.1591156005859311</c:v>
                </c:pt>
                <c:pt idx="49">
                  <c:v>-9.1591156005859311</c:v>
                </c:pt>
                <c:pt idx="50">
                  <c:v>-9.1591156005859311</c:v>
                </c:pt>
                <c:pt idx="51">
                  <c:v>-9.1591156005859311</c:v>
                </c:pt>
                <c:pt idx="52">
                  <c:v>-12.6464378356933</c:v>
                </c:pt>
                <c:pt idx="53">
                  <c:v>-12.6464378356933</c:v>
                </c:pt>
                <c:pt idx="54">
                  <c:v>-12.6464378356933</c:v>
                </c:pt>
                <c:pt idx="55">
                  <c:v>-12.6464378356933</c:v>
                </c:pt>
                <c:pt idx="56">
                  <c:v>-11.6051727294921</c:v>
                </c:pt>
                <c:pt idx="57">
                  <c:v>-11.6051727294921</c:v>
                </c:pt>
                <c:pt idx="58">
                  <c:v>-11.6051727294921</c:v>
                </c:pt>
                <c:pt idx="59">
                  <c:v>-11.6051727294921</c:v>
                </c:pt>
                <c:pt idx="60">
                  <c:v>-3.31641235351562</c:v>
                </c:pt>
                <c:pt idx="61">
                  <c:v>-3.31641235351562</c:v>
                </c:pt>
                <c:pt idx="62">
                  <c:v>-3.31641235351562</c:v>
                </c:pt>
                <c:pt idx="63">
                  <c:v>-3.31641235351562</c:v>
                </c:pt>
                <c:pt idx="64">
                  <c:v>-3.31641235351562</c:v>
                </c:pt>
                <c:pt idx="65">
                  <c:v>4.4850044250488201</c:v>
                </c:pt>
                <c:pt idx="66">
                  <c:v>4.4850044250488201</c:v>
                </c:pt>
                <c:pt idx="67">
                  <c:v>4.4850044250488201</c:v>
                </c:pt>
                <c:pt idx="68">
                  <c:v>4.4850044250488201</c:v>
                </c:pt>
                <c:pt idx="69">
                  <c:v>8.5544540405273395</c:v>
                </c:pt>
                <c:pt idx="70">
                  <c:v>8.5544540405273395</c:v>
                </c:pt>
                <c:pt idx="71">
                  <c:v>8.5544540405273395</c:v>
                </c:pt>
                <c:pt idx="72">
                  <c:v>8.5544540405273395</c:v>
                </c:pt>
                <c:pt idx="73">
                  <c:v>11.950028991699201</c:v>
                </c:pt>
                <c:pt idx="74">
                  <c:v>11.950028991699201</c:v>
                </c:pt>
                <c:pt idx="75">
                  <c:v>11.950028991699201</c:v>
                </c:pt>
                <c:pt idx="76">
                  <c:v>11.950028991699201</c:v>
                </c:pt>
                <c:pt idx="77">
                  <c:v>16.499844360351503</c:v>
                </c:pt>
                <c:pt idx="78">
                  <c:v>16.499844360351503</c:v>
                </c:pt>
                <c:pt idx="79">
                  <c:v>16.499844360351503</c:v>
                </c:pt>
                <c:pt idx="80">
                  <c:v>16.499844360351503</c:v>
                </c:pt>
                <c:pt idx="81">
                  <c:v>16.499844360351503</c:v>
                </c:pt>
                <c:pt idx="82">
                  <c:v>11.716452789306601</c:v>
                </c:pt>
                <c:pt idx="83">
                  <c:v>11.716452789306601</c:v>
                </c:pt>
                <c:pt idx="84">
                  <c:v>11.716452789306601</c:v>
                </c:pt>
                <c:pt idx="85">
                  <c:v>11.716452789306601</c:v>
                </c:pt>
                <c:pt idx="86">
                  <c:v>8.6898170471191403</c:v>
                </c:pt>
                <c:pt idx="87">
                  <c:v>8.6898170471191403</c:v>
                </c:pt>
                <c:pt idx="88">
                  <c:v>8.6898170471191403</c:v>
                </c:pt>
                <c:pt idx="89">
                  <c:v>8.6898170471191403</c:v>
                </c:pt>
                <c:pt idx="90">
                  <c:v>9.7643714904785099</c:v>
                </c:pt>
                <c:pt idx="91">
                  <c:v>9.7643714904785099</c:v>
                </c:pt>
                <c:pt idx="92">
                  <c:v>9.7643714904785099</c:v>
                </c:pt>
                <c:pt idx="93">
                  <c:v>9.7643714904785099</c:v>
                </c:pt>
                <c:pt idx="94">
                  <c:v>6.5214866638183597</c:v>
                </c:pt>
                <c:pt idx="95">
                  <c:v>6.5214866638183597</c:v>
                </c:pt>
                <c:pt idx="96">
                  <c:v>6.5214866638183597</c:v>
                </c:pt>
                <c:pt idx="97">
                  <c:v>6.5214866638183597</c:v>
                </c:pt>
                <c:pt idx="98">
                  <c:v>6.5214866638183597</c:v>
                </c:pt>
                <c:pt idx="99">
                  <c:v>6.2556434631347591</c:v>
                </c:pt>
                <c:pt idx="100">
                  <c:v>6.2556434631347591</c:v>
                </c:pt>
                <c:pt idx="101">
                  <c:v>6.2556434631347591</c:v>
                </c:pt>
                <c:pt idx="102">
                  <c:v>6.2556434631347591</c:v>
                </c:pt>
                <c:pt idx="103">
                  <c:v>1.7620042800903302</c:v>
                </c:pt>
                <c:pt idx="104">
                  <c:v>1.7620042800903302</c:v>
                </c:pt>
                <c:pt idx="105">
                  <c:v>1.7620042800903302</c:v>
                </c:pt>
                <c:pt idx="106">
                  <c:v>1.7620042800903302</c:v>
                </c:pt>
                <c:pt idx="107">
                  <c:v>-0.30460126399993803</c:v>
                </c:pt>
                <c:pt idx="108">
                  <c:v>-0.30460126399993803</c:v>
                </c:pt>
                <c:pt idx="109">
                  <c:v>-0.30460126399993803</c:v>
                </c:pt>
                <c:pt idx="110">
                  <c:v>-0.30460126399993803</c:v>
                </c:pt>
                <c:pt idx="111">
                  <c:v>-0.77138729095458902</c:v>
                </c:pt>
                <c:pt idx="112">
                  <c:v>-0.77138729095458902</c:v>
                </c:pt>
                <c:pt idx="113">
                  <c:v>-0.77138729095458902</c:v>
                </c:pt>
                <c:pt idx="114">
                  <c:v>-0.77138729095458902</c:v>
                </c:pt>
                <c:pt idx="115">
                  <c:v>-0.80522766113281208</c:v>
                </c:pt>
                <c:pt idx="116">
                  <c:v>-0.80522766113281208</c:v>
                </c:pt>
                <c:pt idx="117">
                  <c:v>-0.80522766113281208</c:v>
                </c:pt>
                <c:pt idx="118">
                  <c:v>-0.80522766113281208</c:v>
                </c:pt>
                <c:pt idx="119">
                  <c:v>-0.80522766113281208</c:v>
                </c:pt>
                <c:pt idx="120">
                  <c:v>-2.1097126007080003</c:v>
                </c:pt>
                <c:pt idx="121">
                  <c:v>-2.1097126007080003</c:v>
                </c:pt>
                <c:pt idx="122">
                  <c:v>-2.1097126007080003</c:v>
                </c:pt>
                <c:pt idx="123">
                  <c:v>-2.1097126007080003</c:v>
                </c:pt>
                <c:pt idx="124">
                  <c:v>-2.32885208129882</c:v>
                </c:pt>
                <c:pt idx="125">
                  <c:v>-2.32885208129882</c:v>
                </c:pt>
                <c:pt idx="126">
                  <c:v>-2.32885208129882</c:v>
                </c:pt>
                <c:pt idx="127">
                  <c:v>-2.32885208129882</c:v>
                </c:pt>
                <c:pt idx="128">
                  <c:v>-2.0750883102416897</c:v>
                </c:pt>
                <c:pt idx="129">
                  <c:v>-2.0750883102416897</c:v>
                </c:pt>
                <c:pt idx="130">
                  <c:v>-2.0750883102416897</c:v>
                </c:pt>
                <c:pt idx="131">
                  <c:v>-2.0750883102416897</c:v>
                </c:pt>
                <c:pt idx="132">
                  <c:v>-0.19872038364410399</c:v>
                </c:pt>
                <c:pt idx="133">
                  <c:v>-0.19872038364410399</c:v>
                </c:pt>
                <c:pt idx="134">
                  <c:v>-0.19872038364410399</c:v>
                </c:pt>
                <c:pt idx="135">
                  <c:v>-0.19872038364410399</c:v>
                </c:pt>
                <c:pt idx="136">
                  <c:v>0.92732954025268499</c:v>
                </c:pt>
                <c:pt idx="137">
                  <c:v>0.92732954025268499</c:v>
                </c:pt>
                <c:pt idx="138">
                  <c:v>0.92732954025268499</c:v>
                </c:pt>
                <c:pt idx="139">
                  <c:v>0.92732954025268499</c:v>
                </c:pt>
                <c:pt idx="140">
                  <c:v>0.92732954025268499</c:v>
                </c:pt>
                <c:pt idx="141">
                  <c:v>-1.43683834075927</c:v>
                </c:pt>
                <c:pt idx="142">
                  <c:v>-1.43683834075927</c:v>
                </c:pt>
                <c:pt idx="143">
                  <c:v>-1.43683834075927</c:v>
                </c:pt>
                <c:pt idx="144">
                  <c:v>-1.43683834075927</c:v>
                </c:pt>
                <c:pt idx="145">
                  <c:v>-1.39499397277832</c:v>
                </c:pt>
                <c:pt idx="146">
                  <c:v>-1.39499397277832</c:v>
                </c:pt>
                <c:pt idx="147">
                  <c:v>-1.39499397277832</c:v>
                </c:pt>
                <c:pt idx="148">
                  <c:v>-1.39499397277832</c:v>
                </c:pt>
                <c:pt idx="149">
                  <c:v>3.1023782730102498</c:v>
                </c:pt>
                <c:pt idx="150">
                  <c:v>3.1023782730102498</c:v>
                </c:pt>
                <c:pt idx="151">
                  <c:v>3.1023782730102498</c:v>
                </c:pt>
                <c:pt idx="152">
                  <c:v>3.1023782730102498</c:v>
                </c:pt>
                <c:pt idx="153">
                  <c:v>3.1023782730102498</c:v>
                </c:pt>
                <c:pt idx="154">
                  <c:v>6.0391483306884703</c:v>
                </c:pt>
                <c:pt idx="155">
                  <c:v>6.0391483306884703</c:v>
                </c:pt>
                <c:pt idx="156">
                  <c:v>6.0391483306884703</c:v>
                </c:pt>
                <c:pt idx="157">
                  <c:v>6.0391483306884703</c:v>
                </c:pt>
                <c:pt idx="158">
                  <c:v>4.6241264343261701</c:v>
                </c:pt>
                <c:pt idx="159">
                  <c:v>4.6241264343261701</c:v>
                </c:pt>
                <c:pt idx="160">
                  <c:v>4.6241264343261701</c:v>
                </c:pt>
                <c:pt idx="161">
                  <c:v>4.6241264343261701</c:v>
                </c:pt>
                <c:pt idx="162">
                  <c:v>2.1640785217285097</c:v>
                </c:pt>
                <c:pt idx="163">
                  <c:v>2.1640785217285097</c:v>
                </c:pt>
                <c:pt idx="164">
                  <c:v>2.1640785217285097</c:v>
                </c:pt>
                <c:pt idx="165">
                  <c:v>2.1640785217285097</c:v>
                </c:pt>
                <c:pt idx="166">
                  <c:v>1.8436088562011701</c:v>
                </c:pt>
                <c:pt idx="167">
                  <c:v>1.8436088562011701</c:v>
                </c:pt>
                <c:pt idx="168">
                  <c:v>1.8436088562011701</c:v>
                </c:pt>
                <c:pt idx="169">
                  <c:v>1.8436088562011701</c:v>
                </c:pt>
                <c:pt idx="170">
                  <c:v>1.47084369659423</c:v>
                </c:pt>
                <c:pt idx="171">
                  <c:v>1.47084369659423</c:v>
                </c:pt>
                <c:pt idx="172">
                  <c:v>1.47084369659423</c:v>
                </c:pt>
                <c:pt idx="173">
                  <c:v>1.47084369659423</c:v>
                </c:pt>
                <c:pt idx="174">
                  <c:v>1.47084369659423</c:v>
                </c:pt>
                <c:pt idx="175">
                  <c:v>1.0947295188903801</c:v>
                </c:pt>
                <c:pt idx="176">
                  <c:v>1.0947295188903801</c:v>
                </c:pt>
                <c:pt idx="177">
                  <c:v>1.0947295188903801</c:v>
                </c:pt>
                <c:pt idx="178">
                  <c:v>1.0947295188903801</c:v>
                </c:pt>
                <c:pt idx="179">
                  <c:v>1.0362299919128399</c:v>
                </c:pt>
                <c:pt idx="180">
                  <c:v>1.0362299919128399</c:v>
                </c:pt>
                <c:pt idx="181">
                  <c:v>1.0362299919128399</c:v>
                </c:pt>
                <c:pt idx="182">
                  <c:v>1.0362299919128399</c:v>
                </c:pt>
                <c:pt idx="183">
                  <c:v>1.0362299919128399</c:v>
                </c:pt>
                <c:pt idx="184">
                  <c:v>1.5206049919128399</c:v>
                </c:pt>
                <c:pt idx="185">
                  <c:v>1.5206049919128399</c:v>
                </c:pt>
                <c:pt idx="186">
                  <c:v>1.5206049919128399</c:v>
                </c:pt>
                <c:pt idx="187">
                  <c:v>1.5206049919128399</c:v>
                </c:pt>
                <c:pt idx="188">
                  <c:v>1.42511644363403</c:v>
                </c:pt>
                <c:pt idx="189">
                  <c:v>1.42511644363403</c:v>
                </c:pt>
                <c:pt idx="190">
                  <c:v>1.42511644363403</c:v>
                </c:pt>
                <c:pt idx="191">
                  <c:v>1.42511644363403</c:v>
                </c:pt>
                <c:pt idx="192">
                  <c:v>-1.03422498703002</c:v>
                </c:pt>
                <c:pt idx="193">
                  <c:v>-1.03422498703002</c:v>
                </c:pt>
                <c:pt idx="194">
                  <c:v>-1.03422498703002</c:v>
                </c:pt>
                <c:pt idx="195">
                  <c:v>-1.03422498703002</c:v>
                </c:pt>
                <c:pt idx="196">
                  <c:v>-1.03422498703002</c:v>
                </c:pt>
                <c:pt idx="197">
                  <c:v>-0.71470823287963803</c:v>
                </c:pt>
                <c:pt idx="198">
                  <c:v>-0.71470823287963803</c:v>
                </c:pt>
                <c:pt idx="199">
                  <c:v>-0.71470823287963803</c:v>
                </c:pt>
                <c:pt idx="200">
                  <c:v>-0.71470823287963803</c:v>
                </c:pt>
                <c:pt idx="201">
                  <c:v>-0.40085191726684499</c:v>
                </c:pt>
                <c:pt idx="202">
                  <c:v>-0.40085191726684499</c:v>
                </c:pt>
                <c:pt idx="203">
                  <c:v>-0.40085191726684499</c:v>
                </c:pt>
                <c:pt idx="204">
                  <c:v>-0.40085191726684499</c:v>
                </c:pt>
                <c:pt idx="205">
                  <c:v>-0.85444698333740199</c:v>
                </c:pt>
                <c:pt idx="206">
                  <c:v>-0.85444698333740199</c:v>
                </c:pt>
                <c:pt idx="207">
                  <c:v>-0.85444698333740199</c:v>
                </c:pt>
                <c:pt idx="208">
                  <c:v>-0.85444698333740199</c:v>
                </c:pt>
                <c:pt idx="209">
                  <c:v>-2.2141351699829102</c:v>
                </c:pt>
                <c:pt idx="210">
                  <c:v>-2.2141351699829102</c:v>
                </c:pt>
                <c:pt idx="211">
                  <c:v>-2.2141351699829102</c:v>
                </c:pt>
                <c:pt idx="212">
                  <c:v>-2.2141351699829102</c:v>
                </c:pt>
                <c:pt idx="213">
                  <c:v>-2.2141351699829102</c:v>
                </c:pt>
                <c:pt idx="214">
                  <c:v>-2.1088794708251899</c:v>
                </c:pt>
                <c:pt idx="215">
                  <c:v>-2.1088794708251899</c:v>
                </c:pt>
                <c:pt idx="216">
                  <c:v>-2.1088794708251899</c:v>
                </c:pt>
                <c:pt idx="217">
                  <c:v>-4.8931697845458899</c:v>
                </c:pt>
                <c:pt idx="218">
                  <c:v>-4.8931697845458899</c:v>
                </c:pt>
                <c:pt idx="219">
                  <c:v>-5.8100093841552702</c:v>
                </c:pt>
                <c:pt idx="220">
                  <c:v>-5.8100093841552702</c:v>
                </c:pt>
                <c:pt idx="221">
                  <c:v>-6.7943870544433596</c:v>
                </c:pt>
                <c:pt idx="222">
                  <c:v>-6.7943870544433596</c:v>
                </c:pt>
                <c:pt idx="223">
                  <c:v>-9.5603134155273395</c:v>
                </c:pt>
                <c:pt idx="224">
                  <c:v>-9.5603134155273395</c:v>
                </c:pt>
                <c:pt idx="225">
                  <c:v>-8.1742942810058512</c:v>
                </c:pt>
                <c:pt idx="226">
                  <c:v>-8.1742942810058512</c:v>
                </c:pt>
                <c:pt idx="227">
                  <c:v>-7.4503440856933594</c:v>
                </c:pt>
                <c:pt idx="228">
                  <c:v>-7.4503440856933594</c:v>
                </c:pt>
                <c:pt idx="229">
                  <c:v>-6.6265220642089799</c:v>
                </c:pt>
                <c:pt idx="230">
                  <c:v>-6.6265220642089799</c:v>
                </c:pt>
                <c:pt idx="231">
                  <c:v>-4.81122131347656</c:v>
                </c:pt>
                <c:pt idx="232">
                  <c:v>-4.81122131347656</c:v>
                </c:pt>
                <c:pt idx="233">
                  <c:v>-6.3324172973632802</c:v>
                </c:pt>
                <c:pt idx="234">
                  <c:v>-6.3324172973632802</c:v>
                </c:pt>
                <c:pt idx="235">
                  <c:v>-3.2148937225341698</c:v>
                </c:pt>
                <c:pt idx="236">
                  <c:v>-3.2148937225341698</c:v>
                </c:pt>
                <c:pt idx="237">
                  <c:v>2.3914350509643501</c:v>
                </c:pt>
                <c:pt idx="238">
                  <c:v>2.3914350509643501</c:v>
                </c:pt>
                <c:pt idx="239">
                  <c:v>1.6826833724975498</c:v>
                </c:pt>
                <c:pt idx="240">
                  <c:v>1.6826833724975498</c:v>
                </c:pt>
                <c:pt idx="241">
                  <c:v>-0.62249588966369596</c:v>
                </c:pt>
                <c:pt idx="242">
                  <c:v>-0.62249588966369596</c:v>
                </c:pt>
                <c:pt idx="243">
                  <c:v>-1.2940545082092201</c:v>
                </c:pt>
                <c:pt idx="244">
                  <c:v>-1.2940545082092201</c:v>
                </c:pt>
                <c:pt idx="245">
                  <c:v>0.290270471572875</c:v>
                </c:pt>
                <c:pt idx="246">
                  <c:v>0.290270471572875</c:v>
                </c:pt>
                <c:pt idx="247">
                  <c:v>-1.96402873992919</c:v>
                </c:pt>
                <c:pt idx="248">
                  <c:v>-1.96402873992919</c:v>
                </c:pt>
                <c:pt idx="249">
                  <c:v>-2.1398469924926702</c:v>
                </c:pt>
                <c:pt idx="250">
                  <c:v>0</c:v>
                </c:pt>
                <c:pt idx="251">
                  <c:v>-2.1398469924926702</c:v>
                </c:pt>
                <c:pt idx="252">
                  <c:v>0.135965800285339</c:v>
                </c:pt>
                <c:pt idx="253">
                  <c:v>0.135965800285339</c:v>
                </c:pt>
                <c:pt idx="254">
                  <c:v>-1.6471740722656201</c:v>
                </c:pt>
                <c:pt idx="255">
                  <c:v>-1.6471740722656201</c:v>
                </c:pt>
                <c:pt idx="256">
                  <c:v>-4.4172344207763601</c:v>
                </c:pt>
                <c:pt idx="257">
                  <c:v>-4.4172344207763601</c:v>
                </c:pt>
                <c:pt idx="258">
                  <c:v>-1.3263542175292899</c:v>
                </c:pt>
                <c:pt idx="259">
                  <c:v>-1.3263542175292899</c:v>
                </c:pt>
                <c:pt idx="260">
                  <c:v>-1.06747980117797</c:v>
                </c:pt>
                <c:pt idx="261">
                  <c:v>-1.06747980117797</c:v>
                </c:pt>
                <c:pt idx="262">
                  <c:v>-0.68000960350036599</c:v>
                </c:pt>
                <c:pt idx="263">
                  <c:v>-0.68000960350036599</c:v>
                </c:pt>
                <c:pt idx="264">
                  <c:v>-0.521524333953857</c:v>
                </c:pt>
                <c:pt idx="265">
                  <c:v>-0.521524333953857</c:v>
                </c:pt>
                <c:pt idx="266">
                  <c:v>1.6949110031127899</c:v>
                </c:pt>
                <c:pt idx="267">
                  <c:v>1.6949110031127899</c:v>
                </c:pt>
                <c:pt idx="268">
                  <c:v>-1.6595359802245999</c:v>
                </c:pt>
                <c:pt idx="269">
                  <c:v>-1.6595359802245999</c:v>
                </c:pt>
                <c:pt idx="270">
                  <c:v>-2.07662372589111</c:v>
                </c:pt>
                <c:pt idx="271">
                  <c:v>-2.07662372589111</c:v>
                </c:pt>
                <c:pt idx="272">
                  <c:v>1.8993160247802701</c:v>
                </c:pt>
                <c:pt idx="273">
                  <c:v>1.8993160247802701</c:v>
                </c:pt>
                <c:pt idx="274">
                  <c:v>3.16467189788818</c:v>
                </c:pt>
                <c:pt idx="275">
                  <c:v>3.16467189788818</c:v>
                </c:pt>
                <c:pt idx="276">
                  <c:v>3.1911050796508702</c:v>
                </c:pt>
                <c:pt idx="277">
                  <c:v>3.1911050796508702</c:v>
                </c:pt>
                <c:pt idx="278">
                  <c:v>5.65704650878906</c:v>
                </c:pt>
                <c:pt idx="279">
                  <c:v>5.65704650878906</c:v>
                </c:pt>
                <c:pt idx="280">
                  <c:v>7.0323181152343706</c:v>
                </c:pt>
                <c:pt idx="281">
                  <c:v>7.0323181152343706</c:v>
                </c:pt>
                <c:pt idx="282">
                  <c:v>5.03760681152343</c:v>
                </c:pt>
                <c:pt idx="283">
                  <c:v>5.03760681152343</c:v>
                </c:pt>
                <c:pt idx="284">
                  <c:v>5.03760681152343</c:v>
                </c:pt>
                <c:pt idx="285">
                  <c:v>6.6034416198730401</c:v>
                </c:pt>
                <c:pt idx="286">
                  <c:v>5.1653427124023397</c:v>
                </c:pt>
                <c:pt idx="287">
                  <c:v>5.1653427124023397</c:v>
                </c:pt>
                <c:pt idx="288">
                  <c:v>6.08283576965332</c:v>
                </c:pt>
                <c:pt idx="289">
                  <c:v>6.08283576965332</c:v>
                </c:pt>
                <c:pt idx="290">
                  <c:v>6.08283576965332</c:v>
                </c:pt>
                <c:pt idx="291">
                  <c:v>7.35242004394531</c:v>
                </c:pt>
                <c:pt idx="292">
                  <c:v>10.0217010498046</c:v>
                </c:pt>
                <c:pt idx="293">
                  <c:v>10.0217010498046</c:v>
                </c:pt>
                <c:pt idx="294">
                  <c:v>13.212057495117099</c:v>
                </c:pt>
                <c:pt idx="295">
                  <c:v>13.212057495117099</c:v>
                </c:pt>
                <c:pt idx="296">
                  <c:v>19.443905639648403</c:v>
                </c:pt>
                <c:pt idx="297">
                  <c:v>19.443905639648403</c:v>
                </c:pt>
                <c:pt idx="298">
                  <c:v>23.1014083862304</c:v>
                </c:pt>
                <c:pt idx="299">
                  <c:v>23.1014083862304</c:v>
                </c:pt>
                <c:pt idx="300">
                  <c:v>26.216424560546802</c:v>
                </c:pt>
                <c:pt idx="301">
                  <c:v>26.216424560546802</c:v>
                </c:pt>
                <c:pt idx="302">
                  <c:v>26.216424560546802</c:v>
                </c:pt>
                <c:pt idx="303">
                  <c:v>23.5733108520507</c:v>
                </c:pt>
                <c:pt idx="304">
                  <c:v>15.598812866210901</c:v>
                </c:pt>
                <c:pt idx="305">
                  <c:v>15.598812866210901</c:v>
                </c:pt>
                <c:pt idx="306">
                  <c:v>13.516816711425699</c:v>
                </c:pt>
                <c:pt idx="307">
                  <c:v>13.516816711425699</c:v>
                </c:pt>
                <c:pt idx="308">
                  <c:v>13.516816711425699</c:v>
                </c:pt>
                <c:pt idx="309">
                  <c:v>11.021964263915999</c:v>
                </c:pt>
                <c:pt idx="310">
                  <c:v>9.7594192504882802</c:v>
                </c:pt>
                <c:pt idx="311">
                  <c:v>9.7594192504882802</c:v>
                </c:pt>
                <c:pt idx="312">
                  <c:v>7.84854278564453</c:v>
                </c:pt>
                <c:pt idx="313">
                  <c:v>7.84854278564453</c:v>
                </c:pt>
                <c:pt idx="314">
                  <c:v>9.7457328796386697</c:v>
                </c:pt>
                <c:pt idx="315">
                  <c:v>9.7457328796386697</c:v>
                </c:pt>
                <c:pt idx="316">
                  <c:v>11.4552955627441</c:v>
                </c:pt>
                <c:pt idx="317">
                  <c:v>11.4552955627441</c:v>
                </c:pt>
                <c:pt idx="318">
                  <c:v>18.824143981933499</c:v>
                </c:pt>
                <c:pt idx="319">
                  <c:v>18.824143981933499</c:v>
                </c:pt>
                <c:pt idx="320">
                  <c:v>18.824143981933499</c:v>
                </c:pt>
                <c:pt idx="321">
                  <c:v>22.106236267089798</c:v>
                </c:pt>
                <c:pt idx="322">
                  <c:v>22.106236267089798</c:v>
                </c:pt>
                <c:pt idx="323">
                  <c:v>22.106236267089798</c:v>
                </c:pt>
                <c:pt idx="324">
                  <c:v>24.0561111450195</c:v>
                </c:pt>
                <c:pt idx="325">
                  <c:v>24.0561111450195</c:v>
                </c:pt>
                <c:pt idx="326">
                  <c:v>26.099987792968697</c:v>
                </c:pt>
                <c:pt idx="327">
                  <c:v>26.099987792968697</c:v>
                </c:pt>
                <c:pt idx="328">
                  <c:v>26.099987792968697</c:v>
                </c:pt>
                <c:pt idx="329">
                  <c:v>26.276766967773401</c:v>
                </c:pt>
                <c:pt idx="330">
                  <c:v>26.902346801757798</c:v>
                </c:pt>
                <c:pt idx="331">
                  <c:v>26.902346801757798</c:v>
                </c:pt>
                <c:pt idx="332">
                  <c:v>26.902346801757798</c:v>
                </c:pt>
                <c:pt idx="333">
                  <c:v>29.290972900390599</c:v>
                </c:pt>
                <c:pt idx="334">
                  <c:v>32.533969116210898</c:v>
                </c:pt>
                <c:pt idx="335">
                  <c:v>32.533969116210898</c:v>
                </c:pt>
                <c:pt idx="336">
                  <c:v>34.3756713867187</c:v>
                </c:pt>
                <c:pt idx="337">
                  <c:v>34.3756713867187</c:v>
                </c:pt>
                <c:pt idx="338">
                  <c:v>34.3756713867187</c:v>
                </c:pt>
                <c:pt idx="339">
                  <c:v>34.278887939453099</c:v>
                </c:pt>
                <c:pt idx="340">
                  <c:v>34.278887939453099</c:v>
                </c:pt>
                <c:pt idx="341">
                  <c:v>34.921343994140599</c:v>
                </c:pt>
                <c:pt idx="342">
                  <c:v>36.979653930664</c:v>
                </c:pt>
                <c:pt idx="343">
                  <c:v>36.979653930664</c:v>
                </c:pt>
                <c:pt idx="344">
                  <c:v>36.979653930664</c:v>
                </c:pt>
                <c:pt idx="345">
                  <c:v>36.632604980468706</c:v>
                </c:pt>
                <c:pt idx="346">
                  <c:v>36.632604980468706</c:v>
                </c:pt>
                <c:pt idx="347">
                  <c:v>37.658810424804599</c:v>
                </c:pt>
                <c:pt idx="348">
                  <c:v>37.658810424804599</c:v>
                </c:pt>
                <c:pt idx="349">
                  <c:v>37.383474731445297</c:v>
                </c:pt>
                <c:pt idx="350">
                  <c:v>37.383474731445297</c:v>
                </c:pt>
                <c:pt idx="351">
                  <c:v>37.166561889648399</c:v>
                </c:pt>
                <c:pt idx="352">
                  <c:v>37.166561889648399</c:v>
                </c:pt>
                <c:pt idx="353">
                  <c:v>40.908273315429597</c:v>
                </c:pt>
                <c:pt idx="354">
                  <c:v>45.041329956054597</c:v>
                </c:pt>
                <c:pt idx="355">
                  <c:v>45.041329956054597</c:v>
                </c:pt>
                <c:pt idx="356">
                  <c:v>45.041329956054597</c:v>
                </c:pt>
                <c:pt idx="357">
                  <c:v>44.082144165038997</c:v>
                </c:pt>
                <c:pt idx="358">
                  <c:v>44.082144165038997</c:v>
                </c:pt>
                <c:pt idx="359">
                  <c:v>44.424472045898398</c:v>
                </c:pt>
                <c:pt idx="360">
                  <c:v>44.424472045898398</c:v>
                </c:pt>
                <c:pt idx="361">
                  <c:v>45.841455078125001</c:v>
                </c:pt>
                <c:pt idx="362">
                  <c:v>45.841455078125001</c:v>
                </c:pt>
                <c:pt idx="363">
                  <c:v>46.290939331054595</c:v>
                </c:pt>
                <c:pt idx="364">
                  <c:v>46.290939331054595</c:v>
                </c:pt>
                <c:pt idx="365">
                  <c:v>45.247817993164006</c:v>
                </c:pt>
                <c:pt idx="366">
                  <c:v>45.247817993164006</c:v>
                </c:pt>
                <c:pt idx="367">
                  <c:v>46.711889648437499</c:v>
                </c:pt>
                <c:pt idx="368">
                  <c:v>46.711889648437499</c:v>
                </c:pt>
                <c:pt idx="369">
                  <c:v>46.378384399414003</c:v>
                </c:pt>
                <c:pt idx="370">
                  <c:v>46.378384399414003</c:v>
                </c:pt>
                <c:pt idx="371">
                  <c:v>47.7674560546875</c:v>
                </c:pt>
                <c:pt idx="372">
                  <c:v>49.019439697265597</c:v>
                </c:pt>
                <c:pt idx="373">
                  <c:v>49.019439697265597</c:v>
                </c:pt>
                <c:pt idx="374">
                  <c:v>49.019439697265597</c:v>
                </c:pt>
                <c:pt idx="375">
                  <c:v>49.183422851562504</c:v>
                </c:pt>
                <c:pt idx="376">
                  <c:v>49.183422851562504</c:v>
                </c:pt>
                <c:pt idx="377">
                  <c:v>52.773474121093699</c:v>
                </c:pt>
                <c:pt idx="378">
                  <c:v>52.773474121093699</c:v>
                </c:pt>
                <c:pt idx="379">
                  <c:v>55.496856689453097</c:v>
                </c:pt>
                <c:pt idx="380">
                  <c:v>55.496856689453097</c:v>
                </c:pt>
                <c:pt idx="381">
                  <c:v>53.4099304199218</c:v>
                </c:pt>
                <c:pt idx="382">
                  <c:v>53.4099304199218</c:v>
                </c:pt>
                <c:pt idx="383">
                  <c:v>55.6854431152343</c:v>
                </c:pt>
                <c:pt idx="384">
                  <c:v>55.6854431152343</c:v>
                </c:pt>
                <c:pt idx="385">
                  <c:v>55.235906982421803</c:v>
                </c:pt>
                <c:pt idx="386">
                  <c:v>55.235906982421803</c:v>
                </c:pt>
                <c:pt idx="387">
                  <c:v>52.719427490234303</c:v>
                </c:pt>
                <c:pt idx="388">
                  <c:v>52.719427490234303</c:v>
                </c:pt>
                <c:pt idx="389">
                  <c:v>53.5966186523437</c:v>
                </c:pt>
                <c:pt idx="390">
                  <c:v>53.5966186523437</c:v>
                </c:pt>
                <c:pt idx="391">
                  <c:v>52.924548339843703</c:v>
                </c:pt>
                <c:pt idx="392">
                  <c:v>52.924548339843703</c:v>
                </c:pt>
                <c:pt idx="393">
                  <c:v>49.119223022460901</c:v>
                </c:pt>
                <c:pt idx="394">
                  <c:v>49.119223022460901</c:v>
                </c:pt>
                <c:pt idx="395">
                  <c:v>48.454208374023402</c:v>
                </c:pt>
                <c:pt idx="396">
                  <c:v>48.454208374023402</c:v>
                </c:pt>
                <c:pt idx="397">
                  <c:v>51.210607910156206</c:v>
                </c:pt>
                <c:pt idx="398">
                  <c:v>51.210607910156206</c:v>
                </c:pt>
                <c:pt idx="399">
                  <c:v>53.802215576171797</c:v>
                </c:pt>
                <c:pt idx="400">
                  <c:v>53.802215576171797</c:v>
                </c:pt>
                <c:pt idx="401">
                  <c:v>54.851641845703099</c:v>
                </c:pt>
                <c:pt idx="402">
                  <c:v>54.851641845703099</c:v>
                </c:pt>
                <c:pt idx="403">
                  <c:v>54.256372070312494</c:v>
                </c:pt>
                <c:pt idx="404">
                  <c:v>54.256372070312494</c:v>
                </c:pt>
                <c:pt idx="405">
                  <c:v>54.887695312499993</c:v>
                </c:pt>
                <c:pt idx="406">
                  <c:v>54.887695312499993</c:v>
                </c:pt>
                <c:pt idx="407">
                  <c:v>56.415924072265597</c:v>
                </c:pt>
                <c:pt idx="408">
                  <c:v>56.415924072265597</c:v>
                </c:pt>
                <c:pt idx="409">
                  <c:v>55.452752685546805</c:v>
                </c:pt>
                <c:pt idx="410">
                  <c:v>55.452752685546805</c:v>
                </c:pt>
                <c:pt idx="411">
                  <c:v>53.991937255859298</c:v>
                </c:pt>
                <c:pt idx="412">
                  <c:v>53.991937255859298</c:v>
                </c:pt>
                <c:pt idx="413">
                  <c:v>53.502954101562509</c:v>
                </c:pt>
                <c:pt idx="414">
                  <c:v>53.502954101562509</c:v>
                </c:pt>
                <c:pt idx="415">
                  <c:v>53.962524414062493</c:v>
                </c:pt>
                <c:pt idx="416">
                  <c:v>53.962524414062493</c:v>
                </c:pt>
                <c:pt idx="417">
                  <c:v>47.065316772460903</c:v>
                </c:pt>
                <c:pt idx="418">
                  <c:v>47.065316772460903</c:v>
                </c:pt>
                <c:pt idx="419">
                  <c:v>47.065316772460903</c:v>
                </c:pt>
                <c:pt idx="420">
                  <c:v>46.569784545898401</c:v>
                </c:pt>
                <c:pt idx="421">
                  <c:v>46.569784545898401</c:v>
                </c:pt>
                <c:pt idx="422">
                  <c:v>47.201461791992102</c:v>
                </c:pt>
                <c:pt idx="423">
                  <c:v>47.201461791992102</c:v>
                </c:pt>
                <c:pt idx="424">
                  <c:v>47.653900146484304</c:v>
                </c:pt>
                <c:pt idx="425">
                  <c:v>47.653900146484304</c:v>
                </c:pt>
                <c:pt idx="426">
                  <c:v>46.7989288330078</c:v>
                </c:pt>
                <c:pt idx="427">
                  <c:v>46.7989288330078</c:v>
                </c:pt>
                <c:pt idx="428">
                  <c:v>49.400256347656203</c:v>
                </c:pt>
                <c:pt idx="429">
                  <c:v>49.400256347656203</c:v>
                </c:pt>
                <c:pt idx="430">
                  <c:v>49.084829711914004</c:v>
                </c:pt>
                <c:pt idx="431">
                  <c:v>49.084829711914004</c:v>
                </c:pt>
                <c:pt idx="432">
                  <c:v>46.429190063476497</c:v>
                </c:pt>
                <c:pt idx="433">
                  <c:v>46.429190063476497</c:v>
                </c:pt>
                <c:pt idx="434">
                  <c:v>40.866888427734303</c:v>
                </c:pt>
                <c:pt idx="435">
                  <c:v>40.866888427734303</c:v>
                </c:pt>
                <c:pt idx="436">
                  <c:v>37.128228759765605</c:v>
                </c:pt>
                <c:pt idx="437">
                  <c:v>37.128228759765605</c:v>
                </c:pt>
                <c:pt idx="438">
                  <c:v>31.934851074218702</c:v>
                </c:pt>
                <c:pt idx="439">
                  <c:v>31.934851074218702</c:v>
                </c:pt>
                <c:pt idx="440">
                  <c:v>31.4777618408203</c:v>
                </c:pt>
                <c:pt idx="441">
                  <c:v>31.4777618408203</c:v>
                </c:pt>
                <c:pt idx="442">
                  <c:v>31.739752197265602</c:v>
                </c:pt>
                <c:pt idx="443">
                  <c:v>31.739752197265602</c:v>
                </c:pt>
                <c:pt idx="444">
                  <c:v>30.351223754882799</c:v>
                </c:pt>
                <c:pt idx="445">
                  <c:v>30.351223754882799</c:v>
                </c:pt>
                <c:pt idx="446">
                  <c:v>29.260604858398398</c:v>
                </c:pt>
                <c:pt idx="447">
                  <c:v>29.260604858398398</c:v>
                </c:pt>
                <c:pt idx="448">
                  <c:v>27.423370361328097</c:v>
                </c:pt>
                <c:pt idx="449">
                  <c:v>27.423370361328097</c:v>
                </c:pt>
                <c:pt idx="450">
                  <c:v>25.711502075195302</c:v>
                </c:pt>
                <c:pt idx="451">
                  <c:v>25.711502075195302</c:v>
                </c:pt>
                <c:pt idx="452">
                  <c:v>25.460108947753902</c:v>
                </c:pt>
                <c:pt idx="453">
                  <c:v>25.460108947753902</c:v>
                </c:pt>
                <c:pt idx="454">
                  <c:v>25.150241088867098</c:v>
                </c:pt>
                <c:pt idx="455">
                  <c:v>25.150241088867098</c:v>
                </c:pt>
                <c:pt idx="456">
                  <c:v>24.1203292846679</c:v>
                </c:pt>
                <c:pt idx="457">
                  <c:v>24.1203292846679</c:v>
                </c:pt>
                <c:pt idx="458">
                  <c:v>24.568544006347601</c:v>
                </c:pt>
                <c:pt idx="459">
                  <c:v>24.568544006347601</c:v>
                </c:pt>
                <c:pt idx="460">
                  <c:v>21.9180191040039</c:v>
                </c:pt>
                <c:pt idx="461">
                  <c:v>21.9180191040039</c:v>
                </c:pt>
                <c:pt idx="462">
                  <c:v>20.7605895996093</c:v>
                </c:pt>
                <c:pt idx="463">
                  <c:v>20.7605895996093</c:v>
                </c:pt>
                <c:pt idx="464">
                  <c:v>21.827922058105401</c:v>
                </c:pt>
                <c:pt idx="465">
                  <c:v>21.827922058105401</c:v>
                </c:pt>
                <c:pt idx="466">
                  <c:v>20.2641799926757</c:v>
                </c:pt>
                <c:pt idx="467">
                  <c:v>20.2641799926757</c:v>
                </c:pt>
                <c:pt idx="468">
                  <c:v>23.289820861816398</c:v>
                </c:pt>
                <c:pt idx="469">
                  <c:v>23.289820861816398</c:v>
                </c:pt>
                <c:pt idx="470">
                  <c:v>23.800163269042901</c:v>
                </c:pt>
                <c:pt idx="471">
                  <c:v>23.800163269042901</c:v>
                </c:pt>
                <c:pt idx="472">
                  <c:v>20.243373107910102</c:v>
                </c:pt>
                <c:pt idx="473">
                  <c:v>20.243373107910102</c:v>
                </c:pt>
                <c:pt idx="474">
                  <c:v>17.760377502441401</c:v>
                </c:pt>
                <c:pt idx="475">
                  <c:v>17.760377502441401</c:v>
                </c:pt>
                <c:pt idx="476">
                  <c:v>13.021685791015599</c:v>
                </c:pt>
                <c:pt idx="477">
                  <c:v>13.021685791015599</c:v>
                </c:pt>
                <c:pt idx="478">
                  <c:v>18.6291198730468</c:v>
                </c:pt>
                <c:pt idx="479">
                  <c:v>18.6291198730468</c:v>
                </c:pt>
                <c:pt idx="480">
                  <c:v>17.427442932128901</c:v>
                </c:pt>
                <c:pt idx="481">
                  <c:v>17.427442932128901</c:v>
                </c:pt>
                <c:pt idx="482">
                  <c:v>16.0926193237304</c:v>
                </c:pt>
                <c:pt idx="483">
                  <c:v>16.0926193237304</c:v>
                </c:pt>
                <c:pt idx="484">
                  <c:v>15.0208084106445</c:v>
                </c:pt>
                <c:pt idx="485">
                  <c:v>15.0208084106445</c:v>
                </c:pt>
                <c:pt idx="486">
                  <c:v>16.335446166992099</c:v>
                </c:pt>
                <c:pt idx="487">
                  <c:v>16.335446166992099</c:v>
                </c:pt>
                <c:pt idx="488">
                  <c:v>14.620364379882799</c:v>
                </c:pt>
                <c:pt idx="489">
                  <c:v>14.620364379882799</c:v>
                </c:pt>
                <c:pt idx="490">
                  <c:v>13.038357543945301</c:v>
                </c:pt>
                <c:pt idx="491">
                  <c:v>13.038357543945301</c:v>
                </c:pt>
                <c:pt idx="492">
                  <c:v>11.6956031799316</c:v>
                </c:pt>
                <c:pt idx="493">
                  <c:v>11.6956031799316</c:v>
                </c:pt>
                <c:pt idx="494">
                  <c:v>10.0701805114746</c:v>
                </c:pt>
                <c:pt idx="495">
                  <c:v>10.0701805114746</c:v>
                </c:pt>
                <c:pt idx="496">
                  <c:v>8.5059371948242113</c:v>
                </c:pt>
                <c:pt idx="497">
                  <c:v>8.5059371948242113</c:v>
                </c:pt>
                <c:pt idx="498">
                  <c:v>8.4474555969238203</c:v>
                </c:pt>
                <c:pt idx="499">
                  <c:v>8.4474555969238203</c:v>
                </c:pt>
                <c:pt idx="500">
                  <c:v>8.4274780273437511</c:v>
                </c:pt>
                <c:pt idx="501">
                  <c:v>8.4274780273437511</c:v>
                </c:pt>
                <c:pt idx="502">
                  <c:v>6.6038757324218693</c:v>
                </c:pt>
                <c:pt idx="503">
                  <c:v>6.6038757324218693</c:v>
                </c:pt>
                <c:pt idx="504">
                  <c:v>4.6249000549316399</c:v>
                </c:pt>
                <c:pt idx="505">
                  <c:v>4.6249000549316399</c:v>
                </c:pt>
                <c:pt idx="506">
                  <c:v>5.7886898040771397</c:v>
                </c:pt>
                <c:pt idx="507">
                  <c:v>5.7886898040771397</c:v>
                </c:pt>
                <c:pt idx="508">
                  <c:v>5.1397579193115206</c:v>
                </c:pt>
                <c:pt idx="509">
                  <c:v>5.1397579193115206</c:v>
                </c:pt>
                <c:pt idx="510">
                  <c:v>5.2345703124999998</c:v>
                </c:pt>
                <c:pt idx="511">
                  <c:v>5.2345703124999998</c:v>
                </c:pt>
                <c:pt idx="512">
                  <c:v>4.8980262756347601</c:v>
                </c:pt>
                <c:pt idx="513">
                  <c:v>4.8980262756347601</c:v>
                </c:pt>
                <c:pt idx="514">
                  <c:v>5.4105857849121</c:v>
                </c:pt>
                <c:pt idx="515">
                  <c:v>5.4105857849121</c:v>
                </c:pt>
                <c:pt idx="516">
                  <c:v>7.8053062438964798</c:v>
                </c:pt>
                <c:pt idx="517">
                  <c:v>7.8053062438964798</c:v>
                </c:pt>
                <c:pt idx="518">
                  <c:v>9.2193557739257805</c:v>
                </c:pt>
                <c:pt idx="519">
                  <c:v>9.2193557739257805</c:v>
                </c:pt>
                <c:pt idx="520">
                  <c:v>4.6215789794921802</c:v>
                </c:pt>
                <c:pt idx="521">
                  <c:v>4.6215789794921802</c:v>
                </c:pt>
                <c:pt idx="522">
                  <c:v>7.9851631164550696</c:v>
                </c:pt>
                <c:pt idx="523">
                  <c:v>7.9851631164550696</c:v>
                </c:pt>
                <c:pt idx="524">
                  <c:v>9.1176063537597596</c:v>
                </c:pt>
                <c:pt idx="525">
                  <c:v>9.1176063537597596</c:v>
                </c:pt>
                <c:pt idx="526">
                  <c:v>0</c:v>
                </c:pt>
                <c:pt idx="527">
                  <c:v>11.104473876953099</c:v>
                </c:pt>
                <c:pt idx="528">
                  <c:v>11.104473876953099</c:v>
                </c:pt>
                <c:pt idx="529">
                  <c:v>12.1904350280761</c:v>
                </c:pt>
                <c:pt idx="530">
                  <c:v>12.1904350280761</c:v>
                </c:pt>
                <c:pt idx="531">
                  <c:v>12.1904350280761</c:v>
                </c:pt>
                <c:pt idx="532">
                  <c:v>11.640976715087801</c:v>
                </c:pt>
                <c:pt idx="533">
                  <c:v>11.133522033691399</c:v>
                </c:pt>
                <c:pt idx="534">
                  <c:v>11.133522033691399</c:v>
                </c:pt>
                <c:pt idx="535">
                  <c:v>11.515871429443299</c:v>
                </c:pt>
                <c:pt idx="536">
                  <c:v>11.515871429443299</c:v>
                </c:pt>
                <c:pt idx="537">
                  <c:v>6.7013511657714799</c:v>
                </c:pt>
                <c:pt idx="538">
                  <c:v>6.7013511657714799</c:v>
                </c:pt>
                <c:pt idx="539">
                  <c:v>6.6943214416503904</c:v>
                </c:pt>
                <c:pt idx="540">
                  <c:v>6.6943214416503904</c:v>
                </c:pt>
                <c:pt idx="541">
                  <c:v>7.3485244750976495</c:v>
                </c:pt>
                <c:pt idx="542">
                  <c:v>7.3485244750976495</c:v>
                </c:pt>
                <c:pt idx="543">
                  <c:v>7.3485244750976495</c:v>
                </c:pt>
                <c:pt idx="544">
                  <c:v>14.832821655273401</c:v>
                </c:pt>
                <c:pt idx="545">
                  <c:v>10.906617736816401</c:v>
                </c:pt>
                <c:pt idx="546">
                  <c:v>10.906617736816401</c:v>
                </c:pt>
                <c:pt idx="547">
                  <c:v>9.9567916870117088</c:v>
                </c:pt>
                <c:pt idx="548">
                  <c:v>9.9567916870117088</c:v>
                </c:pt>
                <c:pt idx="549">
                  <c:v>9.9567916870117088</c:v>
                </c:pt>
                <c:pt idx="550">
                  <c:v>7.3123695373535096</c:v>
                </c:pt>
                <c:pt idx="551">
                  <c:v>2.4662002563476499</c:v>
                </c:pt>
                <c:pt idx="552">
                  <c:v>2.4662002563476499</c:v>
                </c:pt>
                <c:pt idx="553">
                  <c:v>-2.60736656188964</c:v>
                </c:pt>
                <c:pt idx="554">
                  <c:v>-2.60736656188964</c:v>
                </c:pt>
                <c:pt idx="555">
                  <c:v>-2.60736656188964</c:v>
                </c:pt>
                <c:pt idx="556">
                  <c:v>-0.63538026809692305</c:v>
                </c:pt>
                <c:pt idx="557">
                  <c:v>-0.63538026809692305</c:v>
                </c:pt>
                <c:pt idx="558">
                  <c:v>-0.84403924942016606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1F2-428B-AA39-8D70889B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952688"/>
        <c:axId val="813951968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strRef>
                    <c:extLst>
                      <c:ext uri="{02D57815-91ED-43cb-92C2-25804820EDAC}">
                        <c15:formulaRef>
                          <c15:sqref>'Maju 0.05'!$V$6</c15:sqref>
                        </c15:formulaRef>
                      </c:ext>
                    </c:extLst>
                    <c:strCache>
                      <c:ptCount val="1"/>
                      <c:pt idx="0">
                        <c:v>'pitch'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'Maju 0.05'!$D$7:$D$565</c15:sqref>
                        </c15:formulaRef>
                      </c:ext>
                    </c:extLst>
                    <c:numCache>
                      <c:formatCode>0.000</c:formatCode>
                      <c:ptCount val="559"/>
                      <c:pt idx="0">
                        <c:v>0</c:v>
                      </c:pt>
                      <c:pt idx="1">
                        <c:v>4.9277000002803106E-3</c:v>
                      </c:pt>
                      <c:pt idx="2">
                        <c:v>8.6642000001120323E-3</c:v>
                      </c:pt>
                      <c:pt idx="3">
                        <c:v>2.5603100000353152E-2</c:v>
                      </c:pt>
                      <c:pt idx="4">
                        <c:v>4.1293900000255235E-2</c:v>
                      </c:pt>
                      <c:pt idx="5">
                        <c:v>5.6562700000085897E-2</c:v>
                      </c:pt>
                      <c:pt idx="6">
                        <c:v>7.2604200000114361E-2</c:v>
                      </c:pt>
                      <c:pt idx="7">
                        <c:v>8.7992300000223622E-2</c:v>
                      </c:pt>
                      <c:pt idx="8">
                        <c:v>0.10418570000001637</c:v>
                      </c:pt>
                      <c:pt idx="9">
                        <c:v>0.11936910000031276</c:v>
                      </c:pt>
                      <c:pt idx="10">
                        <c:v>0.13464969999995446</c:v>
                      </c:pt>
                      <c:pt idx="11">
                        <c:v>0.1505090000000564</c:v>
                      </c:pt>
                      <c:pt idx="12">
                        <c:v>0.16626739999992424</c:v>
                      </c:pt>
                      <c:pt idx="13">
                        <c:v>0.18164130000013756</c:v>
                      </c:pt>
                      <c:pt idx="14">
                        <c:v>0.19775070000014239</c:v>
                      </c:pt>
                      <c:pt idx="15">
                        <c:v>0.21363259999998263</c:v>
                      </c:pt>
                      <c:pt idx="16">
                        <c:v>0.21769540000013876</c:v>
                      </c:pt>
                      <c:pt idx="17">
                        <c:v>0.22962510000024849</c:v>
                      </c:pt>
                      <c:pt idx="18">
                        <c:v>0.24571610000020883</c:v>
                      </c:pt>
                      <c:pt idx="19">
                        <c:v>0.26116100000035658</c:v>
                      </c:pt>
                      <c:pt idx="20">
                        <c:v>0.27647650000017165</c:v>
                      </c:pt>
                      <c:pt idx="21">
                        <c:v>0.29197760000033668</c:v>
                      </c:pt>
                      <c:pt idx="22">
                        <c:v>0.30789540000023408</c:v>
                      </c:pt>
                      <c:pt idx="23">
                        <c:v>0.32390470000018468</c:v>
                      </c:pt>
                      <c:pt idx="24">
                        <c:v>0.33951300000035189</c:v>
                      </c:pt>
                      <c:pt idx="25">
                        <c:v>0.35601660000020274</c:v>
                      </c:pt>
                      <c:pt idx="26">
                        <c:v>0.37149300000010044</c:v>
                      </c:pt>
                      <c:pt idx="27">
                        <c:v>0.3873063999999431</c:v>
                      </c:pt>
                      <c:pt idx="28">
                        <c:v>0.40346460000000661</c:v>
                      </c:pt>
                      <c:pt idx="29">
                        <c:v>0.41816190000008646</c:v>
                      </c:pt>
                      <c:pt idx="30">
                        <c:v>0.4336554999999862</c:v>
                      </c:pt>
                      <c:pt idx="31">
                        <c:v>0.44945360000019718</c:v>
                      </c:pt>
                      <c:pt idx="32">
                        <c:v>0.46465919999991456</c:v>
                      </c:pt>
                      <c:pt idx="33">
                        <c:v>0.48087450000002718</c:v>
                      </c:pt>
                      <c:pt idx="34">
                        <c:v>0.49629460000005565</c:v>
                      </c:pt>
                      <c:pt idx="35">
                        <c:v>0.51126340000018899</c:v>
                      </c:pt>
                      <c:pt idx="36">
                        <c:v>0.52663260000008449</c:v>
                      </c:pt>
                      <c:pt idx="37">
                        <c:v>0.54230060000008962</c:v>
                      </c:pt>
                      <c:pt idx="38">
                        <c:v>0.55810870000004797</c:v>
                      </c:pt>
                      <c:pt idx="39">
                        <c:v>0.57374729999992269</c:v>
                      </c:pt>
                      <c:pt idx="40">
                        <c:v>0.58956540000008317</c:v>
                      </c:pt>
                      <c:pt idx="41">
                        <c:v>0.60434870000017327</c:v>
                      </c:pt>
                      <c:pt idx="42">
                        <c:v>0.62042289999999412</c:v>
                      </c:pt>
                      <c:pt idx="43">
                        <c:v>0.63604729999997289</c:v>
                      </c:pt>
                      <c:pt idx="44">
                        <c:v>0.6521748000000116</c:v>
                      </c:pt>
                      <c:pt idx="45">
                        <c:v>0.66812329999993381</c:v>
                      </c:pt>
                      <c:pt idx="46">
                        <c:v>0.68307740000000194</c:v>
                      </c:pt>
                      <c:pt idx="47">
                        <c:v>0.69862690000036309</c:v>
                      </c:pt>
                      <c:pt idx="48">
                        <c:v>0.71451010000009774</c:v>
                      </c:pt>
                      <c:pt idx="49">
                        <c:v>0.73042560000021695</c:v>
                      </c:pt>
                      <c:pt idx="50">
                        <c:v>0.7459035000001677</c:v>
                      </c:pt>
                      <c:pt idx="51">
                        <c:v>0.76072019999992335</c:v>
                      </c:pt>
                      <c:pt idx="52">
                        <c:v>0.77701660000002448</c:v>
                      </c:pt>
                      <c:pt idx="53">
                        <c:v>0.79272420000006605</c:v>
                      </c:pt>
                      <c:pt idx="54">
                        <c:v>0.80870640000011917</c:v>
                      </c:pt>
                      <c:pt idx="55">
                        <c:v>0.8246980000003532</c:v>
                      </c:pt>
                      <c:pt idx="56">
                        <c:v>0.840325600000142</c:v>
                      </c:pt>
                      <c:pt idx="57">
                        <c:v>0.85576530000025741</c:v>
                      </c:pt>
                      <c:pt idx="58">
                        <c:v>0.87164250000023458</c:v>
                      </c:pt>
                      <c:pt idx="59">
                        <c:v>0.88672919999999067</c:v>
                      </c:pt>
                      <c:pt idx="60">
                        <c:v>0.90251639999996769</c:v>
                      </c:pt>
                      <c:pt idx="61">
                        <c:v>0.91721690000031231</c:v>
                      </c:pt>
                      <c:pt idx="62">
                        <c:v>0.93250020000004952</c:v>
                      </c:pt>
                      <c:pt idx="63">
                        <c:v>0.94838120000031267</c:v>
                      </c:pt>
                      <c:pt idx="64">
                        <c:v>0.96455090000017663</c:v>
                      </c:pt>
                      <c:pt idx="65">
                        <c:v>0.97998610000013286</c:v>
                      </c:pt>
                      <c:pt idx="66">
                        <c:v>0.99589510000032533</c:v>
                      </c:pt>
                      <c:pt idx="67">
                        <c:v>1.0112335000003441</c:v>
                      </c:pt>
                      <c:pt idx="68">
                        <c:v>1.0266655000000355</c:v>
                      </c:pt>
                      <c:pt idx="69">
                        <c:v>1.0423802000000251</c:v>
                      </c:pt>
                      <c:pt idx="70">
                        <c:v>1.0577330999999504</c:v>
                      </c:pt>
                      <c:pt idx="71">
                        <c:v>1.0729927000002135</c:v>
                      </c:pt>
                      <c:pt idx="72">
                        <c:v>1.0884283000000323</c:v>
                      </c:pt>
                      <c:pt idx="73">
                        <c:v>1.1043174999999792</c:v>
                      </c:pt>
                      <c:pt idx="74">
                        <c:v>1.1192201000003479</c:v>
                      </c:pt>
                      <c:pt idx="75">
                        <c:v>1.1343612000000576</c:v>
                      </c:pt>
                      <c:pt idx="76">
                        <c:v>1.1499471000001904</c:v>
                      </c:pt>
                      <c:pt idx="77">
                        <c:v>1.164762200000041</c:v>
                      </c:pt>
                      <c:pt idx="78">
                        <c:v>1.1808261000001039</c:v>
                      </c:pt>
                      <c:pt idx="79">
                        <c:v>1.1966345000000729</c:v>
                      </c:pt>
                      <c:pt idx="80">
                        <c:v>1.2120127000002867</c:v>
                      </c:pt>
                      <c:pt idx="81">
                        <c:v>1.2272498000002088</c:v>
                      </c:pt>
                      <c:pt idx="82">
                        <c:v>1.2427708000000166</c:v>
                      </c:pt>
                      <c:pt idx="83">
                        <c:v>1.2584787999999207</c:v>
                      </c:pt>
                      <c:pt idx="84">
                        <c:v>1.2745573000001968</c:v>
                      </c:pt>
                      <c:pt idx="85">
                        <c:v>1.2899234000001343</c:v>
                      </c:pt>
                      <c:pt idx="86">
                        <c:v>1.3051128000001881</c:v>
                      </c:pt>
                      <c:pt idx="87">
                        <c:v>1.3212923999999475</c:v>
                      </c:pt>
                      <c:pt idx="88">
                        <c:v>1.3366943000000902</c:v>
                      </c:pt>
                      <c:pt idx="89">
                        <c:v>1.3526507000001402</c:v>
                      </c:pt>
                      <c:pt idx="90">
                        <c:v>1.3678032000002531</c:v>
                      </c:pt>
                      <c:pt idx="91">
                        <c:v>1.3834366999999475</c:v>
                      </c:pt>
                      <c:pt idx="92">
                        <c:v>1.3990928000002896</c:v>
                      </c:pt>
                      <c:pt idx="93">
                        <c:v>1.4147270000003118</c:v>
                      </c:pt>
                      <c:pt idx="94">
                        <c:v>1.4303551000002699</c:v>
                      </c:pt>
                      <c:pt idx="95">
                        <c:v>1.445647800000188</c:v>
                      </c:pt>
                      <c:pt idx="96">
                        <c:v>1.4604286000003412</c:v>
                      </c:pt>
                      <c:pt idx="97">
                        <c:v>1.4760120000000825</c:v>
                      </c:pt>
                      <c:pt idx="98">
                        <c:v>1.4917005000002064</c:v>
                      </c:pt>
                      <c:pt idx="99">
                        <c:v>1.5065240000003541</c:v>
                      </c:pt>
                      <c:pt idx="100">
                        <c:v>1.5225479000000632</c:v>
                      </c:pt>
                      <c:pt idx="101">
                        <c:v>1.5379789000003257</c:v>
                      </c:pt>
                      <c:pt idx="102">
                        <c:v>1.55327699999998</c:v>
                      </c:pt>
                      <c:pt idx="103">
                        <c:v>1.56901790000029</c:v>
                      </c:pt>
                      <c:pt idx="104">
                        <c:v>1.5844388000000436</c:v>
                      </c:pt>
                      <c:pt idx="105">
                        <c:v>1.60000940000009</c:v>
                      </c:pt>
                      <c:pt idx="106">
                        <c:v>1.6151950000003126</c:v>
                      </c:pt>
                      <c:pt idx="107">
                        <c:v>1.629671000000144</c:v>
                      </c:pt>
                      <c:pt idx="108">
                        <c:v>1.645835100000113</c:v>
                      </c:pt>
                      <c:pt idx="109">
                        <c:v>1.6615914000003613</c:v>
                      </c:pt>
                      <c:pt idx="110">
                        <c:v>1.6768734000002041</c:v>
                      </c:pt>
                      <c:pt idx="111">
                        <c:v>1.6927487000002657</c:v>
                      </c:pt>
                      <c:pt idx="112">
                        <c:v>1.7084164000002602</c:v>
                      </c:pt>
                      <c:pt idx="113">
                        <c:v>1.7242786000001615</c:v>
                      </c:pt>
                      <c:pt idx="114">
                        <c:v>1.7394167000002199</c:v>
                      </c:pt>
                      <c:pt idx="115">
                        <c:v>1.7551720000001296</c:v>
                      </c:pt>
                      <c:pt idx="116">
                        <c:v>1.7707626999999775</c:v>
                      </c:pt>
                      <c:pt idx="117">
                        <c:v>1.78561370000034</c:v>
                      </c:pt>
                      <c:pt idx="118">
                        <c:v>1.8010778000002574</c:v>
                      </c:pt>
                      <c:pt idx="119">
                        <c:v>1.8174585000001571</c:v>
                      </c:pt>
                      <c:pt idx="120">
                        <c:v>1.8329407999999603</c:v>
                      </c:pt>
                      <c:pt idx="121">
                        <c:v>1.8482546000000184</c:v>
                      </c:pt>
                      <c:pt idx="122">
                        <c:v>1.8640585000002829</c:v>
                      </c:pt>
                      <c:pt idx="123">
                        <c:v>1.8800171000002592</c:v>
                      </c:pt>
                      <c:pt idx="124">
                        <c:v>1.8951774000001933</c:v>
                      </c:pt>
                      <c:pt idx="125">
                        <c:v>1.9108156000002054</c:v>
                      </c:pt>
                      <c:pt idx="126">
                        <c:v>1.9260041000002275</c:v>
                      </c:pt>
                      <c:pt idx="127">
                        <c:v>1.9421090000000731</c:v>
                      </c:pt>
                      <c:pt idx="128">
                        <c:v>1.9574501000001874</c:v>
                      </c:pt>
                      <c:pt idx="129">
                        <c:v>1.9728600000003098</c:v>
                      </c:pt>
                      <c:pt idx="130">
                        <c:v>1.9884250000000065</c:v>
                      </c:pt>
                      <c:pt idx="131">
                        <c:v>2.0037446000001182</c:v>
                      </c:pt>
                      <c:pt idx="132">
                        <c:v>2.0198847000001479</c:v>
                      </c:pt>
                      <c:pt idx="133">
                        <c:v>2.0357512000000497</c:v>
                      </c:pt>
                      <c:pt idx="134">
                        <c:v>2.0503920000001017</c:v>
                      </c:pt>
                      <c:pt idx="135">
                        <c:v>2.065622699999949</c:v>
                      </c:pt>
                      <c:pt idx="136">
                        <c:v>2.0805199999999786</c:v>
                      </c:pt>
                      <c:pt idx="137">
                        <c:v>2.0960724000001392</c:v>
                      </c:pt>
                      <c:pt idx="138">
                        <c:v>2.110993199999939</c:v>
                      </c:pt>
                      <c:pt idx="139">
                        <c:v>2.1264012000001458</c:v>
                      </c:pt>
                      <c:pt idx="140">
                        <c:v>2.1414048000001458</c:v>
                      </c:pt>
                      <c:pt idx="141">
                        <c:v>2.1568732999999156</c:v>
                      </c:pt>
                      <c:pt idx="142">
                        <c:v>2.1727332000000388</c:v>
                      </c:pt>
                      <c:pt idx="143">
                        <c:v>2.1879767000000356</c:v>
                      </c:pt>
                      <c:pt idx="144">
                        <c:v>2.2038175000002411</c:v>
                      </c:pt>
                      <c:pt idx="145">
                        <c:v>2.2189456999999493</c:v>
                      </c:pt>
                      <c:pt idx="146">
                        <c:v>2.2343003999999382</c:v>
                      </c:pt>
                      <c:pt idx="147">
                        <c:v>2.2496380000002318</c:v>
                      </c:pt>
                      <c:pt idx="148">
                        <c:v>2.2648432999999386</c:v>
                      </c:pt>
                      <c:pt idx="149">
                        <c:v>2.2802537000002303</c:v>
                      </c:pt>
                      <c:pt idx="150">
                        <c:v>2.2957443000000239</c:v>
                      </c:pt>
                      <c:pt idx="151">
                        <c:v>2.3108601000003546</c:v>
                      </c:pt>
                      <c:pt idx="152">
                        <c:v>2.3267076000001907</c:v>
                      </c:pt>
                      <c:pt idx="153">
                        <c:v>2.3422404000002643</c:v>
                      </c:pt>
                      <c:pt idx="154">
                        <c:v>2.3577167000003101</c:v>
                      </c:pt>
                      <c:pt idx="155">
                        <c:v>2.3737535000000207</c:v>
                      </c:pt>
                      <c:pt idx="156">
                        <c:v>2.3891392000000451</c:v>
                      </c:pt>
                      <c:pt idx="157">
                        <c:v>2.4044258000003538</c:v>
                      </c:pt>
                      <c:pt idx="158">
                        <c:v>2.4200561000002381</c:v>
                      </c:pt>
                      <c:pt idx="159">
                        <c:v>2.4353373000003558</c:v>
                      </c:pt>
                      <c:pt idx="160">
                        <c:v>2.4511147000002893</c:v>
                      </c:pt>
                      <c:pt idx="161">
                        <c:v>2.4667139000002862</c:v>
                      </c:pt>
                      <c:pt idx="162">
                        <c:v>2.4820594000002529</c:v>
                      </c:pt>
                      <c:pt idx="163">
                        <c:v>2.4976512000002913</c:v>
                      </c:pt>
                      <c:pt idx="164">
                        <c:v>2.5128660000000309</c:v>
                      </c:pt>
                      <c:pt idx="165">
                        <c:v>2.5291197000001375</c:v>
                      </c:pt>
                      <c:pt idx="166">
                        <c:v>2.545154100000218</c:v>
                      </c:pt>
                      <c:pt idx="167">
                        <c:v>2.5607248000001164</c:v>
                      </c:pt>
                      <c:pt idx="168">
                        <c:v>2.5767462000003434</c:v>
                      </c:pt>
                      <c:pt idx="169">
                        <c:v>2.5922519000000648</c:v>
                      </c:pt>
                      <c:pt idx="170">
                        <c:v>2.6073796000000584</c:v>
                      </c:pt>
                      <c:pt idx="171">
                        <c:v>2.623598800000309</c:v>
                      </c:pt>
                      <c:pt idx="172">
                        <c:v>2.6386173000000781</c:v>
                      </c:pt>
                      <c:pt idx="173">
                        <c:v>2.6532913000000917</c:v>
                      </c:pt>
                      <c:pt idx="174">
                        <c:v>2.6693276000000878</c:v>
                      </c:pt>
                      <c:pt idx="175">
                        <c:v>2.6842274000000543</c:v>
                      </c:pt>
                      <c:pt idx="176">
                        <c:v>2.7003435999999965</c:v>
                      </c:pt>
                      <c:pt idx="177">
                        <c:v>2.7156792999999197</c:v>
                      </c:pt>
                      <c:pt idx="178">
                        <c:v>2.7306740000003629</c:v>
                      </c:pt>
                      <c:pt idx="179">
                        <c:v>2.7468524999999318</c:v>
                      </c:pt>
                      <c:pt idx="180">
                        <c:v>2.7616574000003311</c:v>
                      </c:pt>
                      <c:pt idx="181">
                        <c:v>2.7769998000003397</c:v>
                      </c:pt>
                      <c:pt idx="182">
                        <c:v>2.7827747999999701</c:v>
                      </c:pt>
                      <c:pt idx="183">
                        <c:v>2.7924534000003405</c:v>
                      </c:pt>
                      <c:pt idx="184">
                        <c:v>2.8079795000003287</c:v>
                      </c:pt>
                      <c:pt idx="185">
                        <c:v>2.8237935000001926</c:v>
                      </c:pt>
                      <c:pt idx="186">
                        <c:v>2.839307799999915</c:v>
                      </c:pt>
                      <c:pt idx="187">
                        <c:v>2.8549921000003451</c:v>
                      </c:pt>
                      <c:pt idx="188">
                        <c:v>2.8707048000001123</c:v>
                      </c:pt>
                      <c:pt idx="189">
                        <c:v>2.8860036000000946</c:v>
                      </c:pt>
                      <c:pt idx="190">
                        <c:v>2.9018590999999105</c:v>
                      </c:pt>
                      <c:pt idx="191">
                        <c:v>2.9173605999999381</c:v>
                      </c:pt>
                      <c:pt idx="192">
                        <c:v>2.933209700000134</c:v>
                      </c:pt>
                      <c:pt idx="193">
                        <c:v>2.948562800000218</c:v>
                      </c:pt>
                      <c:pt idx="194">
                        <c:v>2.964241800000309</c:v>
                      </c:pt>
                      <c:pt idx="195">
                        <c:v>2.9795467000003555</c:v>
                      </c:pt>
                      <c:pt idx="196">
                        <c:v>2.9948434000002635</c:v>
                      </c:pt>
                      <c:pt idx="197">
                        <c:v>3.0102660000002288</c:v>
                      </c:pt>
                      <c:pt idx="198">
                        <c:v>3.0256426000000829</c:v>
                      </c:pt>
                      <c:pt idx="199">
                        <c:v>3.0413602000003266</c:v>
                      </c:pt>
                      <c:pt idx="200">
                        <c:v>3.0570830999999998</c:v>
                      </c:pt>
                      <c:pt idx="201">
                        <c:v>3.0723412000002099</c:v>
                      </c:pt>
                      <c:pt idx="202">
                        <c:v>3.0882626000002347</c:v>
                      </c:pt>
                      <c:pt idx="203">
                        <c:v>3.1039423000001989</c:v>
                      </c:pt>
                      <c:pt idx="204">
                        <c:v>3.1194261000000552</c:v>
                      </c:pt>
                      <c:pt idx="205">
                        <c:v>3.1348663000003398</c:v>
                      </c:pt>
                      <c:pt idx="206">
                        <c:v>3.1509092000001147</c:v>
                      </c:pt>
                      <c:pt idx="207">
                        <c:v>3.1657669000001079</c:v>
                      </c:pt>
                      <c:pt idx="208">
                        <c:v>3.1815710999999283</c:v>
                      </c:pt>
                      <c:pt idx="209">
                        <c:v>3.1973581000002014</c:v>
                      </c:pt>
                      <c:pt idx="210">
                        <c:v>3.2126834000000599</c:v>
                      </c:pt>
                      <c:pt idx="211">
                        <c:v>3.2280834000002869</c:v>
                      </c:pt>
                      <c:pt idx="212">
                        <c:v>3.2438833000001068</c:v>
                      </c:pt>
                      <c:pt idx="213">
                        <c:v>3.2592085000001134</c:v>
                      </c:pt>
                      <c:pt idx="214">
                        <c:v>3.2746432000003551</c:v>
                      </c:pt>
                      <c:pt idx="215">
                        <c:v>3.2891113999999106</c:v>
                      </c:pt>
                      <c:pt idx="216">
                        <c:v>3.3050321000000622</c:v>
                      </c:pt>
                      <c:pt idx="217">
                        <c:v>3.3204132000000754</c:v>
                      </c:pt>
                      <c:pt idx="218">
                        <c:v>3.3509248000000298</c:v>
                      </c:pt>
                      <c:pt idx="219">
                        <c:v>3.3818242000002101</c:v>
                      </c:pt>
                      <c:pt idx="220">
                        <c:v>3.4136052000003474</c:v>
                      </c:pt>
                      <c:pt idx="221">
                        <c:v>3.4602511000002778</c:v>
                      </c:pt>
                      <c:pt idx="222">
                        <c:v>3.4915995999999723</c:v>
                      </c:pt>
                      <c:pt idx="223">
                        <c:v>3.523010300000351</c:v>
                      </c:pt>
                      <c:pt idx="224">
                        <c:v>3.5539985000000343</c:v>
                      </c:pt>
                      <c:pt idx="225">
                        <c:v>3.5850232000002507</c:v>
                      </c:pt>
                      <c:pt idx="226">
                        <c:v>3.5996033999999781</c:v>
                      </c:pt>
                      <c:pt idx="227">
                        <c:v>3.6484425000003284</c:v>
                      </c:pt>
                      <c:pt idx="228">
                        <c:v>3.6792224000000715</c:v>
                      </c:pt>
                      <c:pt idx="229">
                        <c:v>3.7099185000001853</c:v>
                      </c:pt>
                      <c:pt idx="230">
                        <c:v>3.7409314000001359</c:v>
                      </c:pt>
                      <c:pt idx="231">
                        <c:v>3.7725172000000384</c:v>
                      </c:pt>
                      <c:pt idx="232">
                        <c:v>3.8034191000001556</c:v>
                      </c:pt>
                      <c:pt idx="233">
                        <c:v>3.8347544000002927</c:v>
                      </c:pt>
                      <c:pt idx="234">
                        <c:v>3.8809946999999738</c:v>
                      </c:pt>
                      <c:pt idx="235">
                        <c:v>3.9118468000001485</c:v>
                      </c:pt>
                      <c:pt idx="236">
                        <c:v>3.94181830000025</c:v>
                      </c:pt>
                      <c:pt idx="237">
                        <c:v>3.973624799999925</c:v>
                      </c:pt>
                      <c:pt idx="238">
                        <c:v>4.005279900000005</c:v>
                      </c:pt>
                      <c:pt idx="239">
                        <c:v>4.0507501000001866</c:v>
                      </c:pt>
                      <c:pt idx="240">
                        <c:v>4.0671081000000413</c:v>
                      </c:pt>
                      <c:pt idx="241">
                        <c:v>4.1128428000001804</c:v>
                      </c:pt>
                      <c:pt idx="242">
                        <c:v>4.1449381000002177</c:v>
                      </c:pt>
                      <c:pt idx="243">
                        <c:v>4.1763894000000619</c:v>
                      </c:pt>
                      <c:pt idx="244">
                        <c:v>4.2076147000002493</c:v>
                      </c:pt>
                      <c:pt idx="245">
                        <c:v>4.2387711000001218</c:v>
                      </c:pt>
                      <c:pt idx="246">
                        <c:v>4.2696338000000651</c:v>
                      </c:pt>
                      <c:pt idx="247">
                        <c:v>4.3009468000000197</c:v>
                      </c:pt>
                      <c:pt idx="248">
                        <c:v>4.3330816000002415</c:v>
                      </c:pt>
                      <c:pt idx="249">
                        <c:v>4.3633076999999503</c:v>
                      </c:pt>
                      <c:pt idx="250">
                        <c:v>4.394745900000089</c:v>
                      </c:pt>
                      <c:pt idx="251">
                        <c:v>4.394745900000089</c:v>
                      </c:pt>
                      <c:pt idx="252">
                        <c:v>4.4412157000001571</c:v>
                      </c:pt>
                      <c:pt idx="253">
                        <c:v>4.4725981999999931</c:v>
                      </c:pt>
                      <c:pt idx="254">
                        <c:v>4.488977800000157</c:v>
                      </c:pt>
                      <c:pt idx="255">
                        <c:v>4.5362476000000242</c:v>
                      </c:pt>
                      <c:pt idx="256">
                        <c:v>4.5676837999999407</c:v>
                      </c:pt>
                      <c:pt idx="257">
                        <c:v>4.5833628000000317</c:v>
                      </c:pt>
                      <c:pt idx="258">
                        <c:v>4.6145317000000432</c:v>
                      </c:pt>
                      <c:pt idx="259">
                        <c:v>4.6460602000001927</c:v>
                      </c:pt>
                      <c:pt idx="260">
                        <c:v>4.6918248000001768</c:v>
                      </c:pt>
                      <c:pt idx="261">
                        <c:v>4.7224734999999782</c:v>
                      </c:pt>
                      <c:pt idx="262">
                        <c:v>4.7540136000002349</c:v>
                      </c:pt>
                      <c:pt idx="263">
                        <c:v>4.785278400000152</c:v>
                      </c:pt>
                      <c:pt idx="264">
                        <c:v>4.8168749999999818</c:v>
                      </c:pt>
                      <c:pt idx="265">
                        <c:v>4.8480672999999115</c:v>
                      </c:pt>
                      <c:pt idx="266">
                        <c:v>4.894781200000125</c:v>
                      </c:pt>
                      <c:pt idx="267">
                        <c:v>4.924650500000098</c:v>
                      </c:pt>
                      <c:pt idx="268">
                        <c:v>4.955856600000061</c:v>
                      </c:pt>
                      <c:pt idx="269">
                        <c:v>4.9868524000003163</c:v>
                      </c:pt>
                      <c:pt idx="270">
                        <c:v>5.0186327999999776</c:v>
                      </c:pt>
                      <c:pt idx="271">
                        <c:v>5.050128400000176</c:v>
                      </c:pt>
                      <c:pt idx="272">
                        <c:v>5.0961265999999341</c:v>
                      </c:pt>
                      <c:pt idx="273">
                        <c:v>5.1276719000002231</c:v>
                      </c:pt>
                      <c:pt idx="274">
                        <c:v>5.1429911000000175</c:v>
                      </c:pt>
                      <c:pt idx="275">
                        <c:v>5.1887320000000727</c:v>
                      </c:pt>
                      <c:pt idx="276">
                        <c:v>5.2043437000002086</c:v>
                      </c:pt>
                      <c:pt idx="277">
                        <c:v>5.2351919000002454</c:v>
                      </c:pt>
                      <c:pt idx="278">
                        <c:v>5.2664266000001589</c:v>
                      </c:pt>
                      <c:pt idx="279">
                        <c:v>5.3137940999999955</c:v>
                      </c:pt>
                      <c:pt idx="280">
                        <c:v>5.3449761000001672</c:v>
                      </c:pt>
                      <c:pt idx="281">
                        <c:v>5.3757095999999365</c:v>
                      </c:pt>
                      <c:pt idx="282">
                        <c:v>5.4222217000001365</c:v>
                      </c:pt>
                      <c:pt idx="283">
                        <c:v>5.4381237000002329</c:v>
                      </c:pt>
                      <c:pt idx="284">
                        <c:v>5.4688648000001194</c:v>
                      </c:pt>
                      <c:pt idx="285">
                        <c:v>5.4998015000001033</c:v>
                      </c:pt>
                      <c:pt idx="286">
                        <c:v>5.5451805000002423</c:v>
                      </c:pt>
                      <c:pt idx="287">
                        <c:v>5.5764908999999534</c:v>
                      </c:pt>
                      <c:pt idx="288">
                        <c:v>5.6080673999999817</c:v>
                      </c:pt>
                      <c:pt idx="289">
                        <c:v>5.6387036999999509</c:v>
                      </c:pt>
                      <c:pt idx="290">
                        <c:v>5.6699516000003314</c:v>
                      </c:pt>
                      <c:pt idx="291">
                        <c:v>5.701974699999937</c:v>
                      </c:pt>
                      <c:pt idx="292">
                        <c:v>5.7486766000001808</c:v>
                      </c:pt>
                      <c:pt idx="293">
                        <c:v>5.764324900000247</c:v>
                      </c:pt>
                      <c:pt idx="294">
                        <c:v>5.7952473000000282</c:v>
                      </c:pt>
                      <c:pt idx="295">
                        <c:v>5.8428050000002258</c:v>
                      </c:pt>
                      <c:pt idx="296">
                        <c:v>5.8580776000003425</c:v>
                      </c:pt>
                      <c:pt idx="297">
                        <c:v>5.9047223000002305</c:v>
                      </c:pt>
                      <c:pt idx="298">
                        <c:v>5.9358409000001302</c:v>
                      </c:pt>
                      <c:pt idx="299">
                        <c:v>5.9675528000002487</c:v>
                      </c:pt>
                      <c:pt idx="300">
                        <c:v>5.9996636000000763</c:v>
                      </c:pt>
                      <c:pt idx="301">
                        <c:v>6.0306840000002921</c:v>
                      </c:pt>
                      <c:pt idx="302">
                        <c:v>6.06165910000027</c:v>
                      </c:pt>
                      <c:pt idx="303">
                        <c:v>6.0926454000000376</c:v>
                      </c:pt>
                      <c:pt idx="304">
                        <c:v>6.1401559999999336</c:v>
                      </c:pt>
                      <c:pt idx="305">
                        <c:v>6.1563291000002209</c:v>
                      </c:pt>
                      <c:pt idx="306">
                        <c:v>6.1883143000000018</c:v>
                      </c:pt>
                      <c:pt idx="307">
                        <c:v>6.219743500000277</c:v>
                      </c:pt>
                      <c:pt idx="308">
                        <c:v>6.2516041000003497</c:v>
                      </c:pt>
                      <c:pt idx="309">
                        <c:v>6.282763100000011</c:v>
                      </c:pt>
                      <c:pt idx="310">
                        <c:v>6.3285098000001199</c:v>
                      </c:pt>
                      <c:pt idx="311">
                        <c:v>6.3599115000001802</c:v>
                      </c:pt>
                      <c:pt idx="312">
                        <c:v>6.3917077000000972</c:v>
                      </c:pt>
                      <c:pt idx="313">
                        <c:v>6.422660800000358</c:v>
                      </c:pt>
                      <c:pt idx="314">
                        <c:v>6.4537825000002158</c:v>
                      </c:pt>
                      <c:pt idx="315">
                        <c:v>6.4844882000002144</c:v>
                      </c:pt>
                      <c:pt idx="316">
                        <c:v>6.516153800000211</c:v>
                      </c:pt>
                      <c:pt idx="317">
                        <c:v>6.5628636999999799</c:v>
                      </c:pt>
                      <c:pt idx="318">
                        <c:v>6.5786716000002343</c:v>
                      </c:pt>
                      <c:pt idx="319">
                        <c:v>6.609832500000266</c:v>
                      </c:pt>
                      <c:pt idx="320">
                        <c:v>6.640661700000237</c:v>
                      </c:pt>
                      <c:pt idx="321">
                        <c:v>6.6715048000000934</c:v>
                      </c:pt>
                      <c:pt idx="322">
                        <c:v>6.7501508000000285</c:v>
                      </c:pt>
                      <c:pt idx="323">
                        <c:v>6.7660141000001204</c:v>
                      </c:pt>
                      <c:pt idx="324">
                        <c:v>6.7808840000002419</c:v>
                      </c:pt>
                      <c:pt idx="325">
                        <c:v>6.8117409999999836</c:v>
                      </c:pt>
                      <c:pt idx="326">
                        <c:v>6.8431192000002738</c:v>
                      </c:pt>
                      <c:pt idx="327">
                        <c:v>6.889363400000093</c:v>
                      </c:pt>
                      <c:pt idx="328">
                        <c:v>6.9050976000003175</c:v>
                      </c:pt>
                      <c:pt idx="329">
                        <c:v>6.9359776999999667</c:v>
                      </c:pt>
                      <c:pt idx="330">
                        <c:v>6.982658000000356</c:v>
                      </c:pt>
                      <c:pt idx="331">
                        <c:v>7.0138781000000563</c:v>
                      </c:pt>
                      <c:pt idx="332">
                        <c:v>7.0456661000002896</c:v>
                      </c:pt>
                      <c:pt idx="333">
                        <c:v>7.0764965000003031</c:v>
                      </c:pt>
                      <c:pt idx="334">
                        <c:v>7.0918552000002819</c:v>
                      </c:pt>
                      <c:pt idx="335">
                        <c:v>7.1376743999999235</c:v>
                      </c:pt>
                      <c:pt idx="336">
                        <c:v>7.1689455000000635</c:v>
                      </c:pt>
                      <c:pt idx="337">
                        <c:v>7.1994391000002906</c:v>
                      </c:pt>
                      <c:pt idx="338">
                        <c:v>7.2303764000002957</c:v>
                      </c:pt>
                      <c:pt idx="339">
                        <c:v>7.2610180000001492</c:v>
                      </c:pt>
                      <c:pt idx="340">
                        <c:v>7.2914008000002468</c:v>
                      </c:pt>
                      <c:pt idx="341">
                        <c:v>7.322199300000193</c:v>
                      </c:pt>
                      <c:pt idx="342">
                        <c:v>7.3685009999999238</c:v>
                      </c:pt>
                      <c:pt idx="343">
                        <c:v>7.3994520000001103</c:v>
                      </c:pt>
                      <c:pt idx="344">
                        <c:v>7.4296279000000141</c:v>
                      </c:pt>
                      <c:pt idx="345">
                        <c:v>7.4604534000000058</c:v>
                      </c:pt>
                      <c:pt idx="346">
                        <c:v>7.4911415999999917</c:v>
                      </c:pt>
                      <c:pt idx="347">
                        <c:v>7.5214939000002232</c:v>
                      </c:pt>
                      <c:pt idx="348">
                        <c:v>7.5530551000001651</c:v>
                      </c:pt>
                      <c:pt idx="349">
                        <c:v>7.5847566000002189</c:v>
                      </c:pt>
                      <c:pt idx="350">
                        <c:v>7.6303099000001566</c:v>
                      </c:pt>
                      <c:pt idx="351">
                        <c:v>7.6614517000002706</c:v>
                      </c:pt>
                      <c:pt idx="352">
                        <c:v>7.6926768000002994</c:v>
                      </c:pt>
                      <c:pt idx="353">
                        <c:v>7.7091374000001451</c:v>
                      </c:pt>
                      <c:pt idx="354">
                        <c:v>7.7542189999999209</c:v>
                      </c:pt>
                      <c:pt idx="355">
                        <c:v>7.8011043000001337</c:v>
                      </c:pt>
                      <c:pt idx="356">
                        <c:v>7.8170420000001286</c:v>
                      </c:pt>
                      <c:pt idx="357">
                        <c:v>7.8470568000002459</c:v>
                      </c:pt>
                      <c:pt idx="358">
                        <c:v>7.8783350000003338</c:v>
                      </c:pt>
                      <c:pt idx="359">
                        <c:v>7.9094147999999223</c:v>
                      </c:pt>
                      <c:pt idx="360">
                        <c:v>7.9560894000001099</c:v>
                      </c:pt>
                      <c:pt idx="361">
                        <c:v>7.9712922000003346</c:v>
                      </c:pt>
                      <c:pt idx="362">
                        <c:v>8.0333432000002176</c:v>
                      </c:pt>
                      <c:pt idx="363">
                        <c:v>8.0494155999999748</c:v>
                      </c:pt>
                      <c:pt idx="364">
                        <c:v>8.0800664000003053</c:v>
                      </c:pt>
                      <c:pt idx="365">
                        <c:v>8.1102260000002389</c:v>
                      </c:pt>
                      <c:pt idx="366">
                        <c:v>8.1410513000000719</c:v>
                      </c:pt>
                      <c:pt idx="367">
                        <c:v>8.1713263000001461</c:v>
                      </c:pt>
                      <c:pt idx="368">
                        <c:v>8.2182953000001362</c:v>
                      </c:pt>
                      <c:pt idx="369">
                        <c:v>8.2507051000002321</c:v>
                      </c:pt>
                      <c:pt idx="370">
                        <c:v>8.2821619000001192</c:v>
                      </c:pt>
                      <c:pt idx="371">
                        <c:v>8.3135958000002574</c:v>
                      </c:pt>
                      <c:pt idx="372">
                        <c:v>8.3604387000000315</c:v>
                      </c:pt>
                      <c:pt idx="373">
                        <c:v>8.3916505000001962</c:v>
                      </c:pt>
                      <c:pt idx="374">
                        <c:v>8.4077753999999914</c:v>
                      </c:pt>
                      <c:pt idx="375">
                        <c:v>8.4398114000000533</c:v>
                      </c:pt>
                      <c:pt idx="376">
                        <c:v>8.4706567000002906</c:v>
                      </c:pt>
                      <c:pt idx="377">
                        <c:v>8.5016960000002655</c:v>
                      </c:pt>
                      <c:pt idx="378">
                        <c:v>8.5334142000001521</c:v>
                      </c:pt>
                      <c:pt idx="379">
                        <c:v>8.5640333999999712</c:v>
                      </c:pt>
                      <c:pt idx="380">
                        <c:v>8.6103827000001729</c:v>
                      </c:pt>
                      <c:pt idx="381">
                        <c:v>8.6416521999999532</c:v>
                      </c:pt>
                      <c:pt idx="382">
                        <c:v>8.6725203000000874</c:v>
                      </c:pt>
                      <c:pt idx="383">
                        <c:v>8.7038448000002973</c:v>
                      </c:pt>
                      <c:pt idx="384">
                        <c:v>8.7351304000003438</c:v>
                      </c:pt>
                      <c:pt idx="385">
                        <c:v>8.7657859000000826</c:v>
                      </c:pt>
                      <c:pt idx="386">
                        <c:v>8.8118800000002011</c:v>
                      </c:pt>
                      <c:pt idx="387">
                        <c:v>8.8423560000001089</c:v>
                      </c:pt>
                      <c:pt idx="388">
                        <c:v>8.8740938999999344</c:v>
                      </c:pt>
                      <c:pt idx="389">
                        <c:v>8.9046278000000711</c:v>
                      </c:pt>
                      <c:pt idx="390">
                        <c:v>8.9204263000001447</c:v>
                      </c:pt>
                      <c:pt idx="391">
                        <c:v>8.9525909000003594</c:v>
                      </c:pt>
                      <c:pt idx="392">
                        <c:v>8.9842535000002499</c:v>
                      </c:pt>
                      <c:pt idx="393">
                        <c:v>9.0298788000000059</c:v>
                      </c:pt>
                      <c:pt idx="394">
                        <c:v>9.0614534000001186</c:v>
                      </c:pt>
                      <c:pt idx="395">
                        <c:v>9.0920629000002009</c:v>
                      </c:pt>
                      <c:pt idx="396">
                        <c:v>9.1226764000002731</c:v>
                      </c:pt>
                      <c:pt idx="397">
                        <c:v>9.1544873000002553</c:v>
                      </c:pt>
                      <c:pt idx="398">
                        <c:v>9.1856004000001121</c:v>
                      </c:pt>
                      <c:pt idx="399">
                        <c:v>9.2319609000001037</c:v>
                      </c:pt>
                      <c:pt idx="400">
                        <c:v>9.2636449000001448</c:v>
                      </c:pt>
                      <c:pt idx="401">
                        <c:v>9.2947963000001437</c:v>
                      </c:pt>
                      <c:pt idx="402">
                        <c:v>9.3257871999999224</c:v>
                      </c:pt>
                      <c:pt idx="403">
                        <c:v>9.3574472000000242</c:v>
                      </c:pt>
                      <c:pt idx="404">
                        <c:v>9.3881310000001577</c:v>
                      </c:pt>
                      <c:pt idx="405">
                        <c:v>9.4191834000002927</c:v>
                      </c:pt>
                      <c:pt idx="406">
                        <c:v>9.4511846000000332</c:v>
                      </c:pt>
                      <c:pt idx="407">
                        <c:v>9.482476200000292</c:v>
                      </c:pt>
                      <c:pt idx="408">
                        <c:v>9.5138239000002613</c:v>
                      </c:pt>
                      <c:pt idx="409">
                        <c:v>9.5450538000000051</c:v>
                      </c:pt>
                      <c:pt idx="410">
                        <c:v>9.5756233000001885</c:v>
                      </c:pt>
                      <c:pt idx="411">
                        <c:v>9.6216914999999972</c:v>
                      </c:pt>
                      <c:pt idx="412">
                        <c:v>9.6371598000000631</c:v>
                      </c:pt>
                      <c:pt idx="413">
                        <c:v>9.6828319999999621</c:v>
                      </c:pt>
                      <c:pt idx="414">
                        <c:v>9.7140236000000186</c:v>
                      </c:pt>
                      <c:pt idx="415">
                        <c:v>9.7451331000002028</c:v>
                      </c:pt>
                      <c:pt idx="416">
                        <c:v>9.776104800000212</c:v>
                      </c:pt>
                      <c:pt idx="417">
                        <c:v>9.8221478000000388</c:v>
                      </c:pt>
                      <c:pt idx="418">
                        <c:v>9.8995895000002747</c:v>
                      </c:pt>
                      <c:pt idx="419">
                        <c:v>9.9158062000001337</c:v>
                      </c:pt>
                      <c:pt idx="420">
                        <c:v>9.9474810000001526</c:v>
                      </c:pt>
                      <c:pt idx="421">
                        <c:v>9.9629537999999229</c:v>
                      </c:pt>
                      <c:pt idx="422">
                        <c:v>9.9943424000002778</c:v>
                      </c:pt>
                      <c:pt idx="423">
                        <c:v>10.025122300000021</c:v>
                      </c:pt>
                      <c:pt idx="424">
                        <c:v>10.07095180000033</c:v>
                      </c:pt>
                      <c:pt idx="425">
                        <c:v>10.10166879999997</c:v>
                      </c:pt>
                      <c:pt idx="426">
                        <c:v>10.133150200000273</c:v>
                      </c:pt>
                      <c:pt idx="427">
                        <c:v>10.164865799999916</c:v>
                      </c:pt>
                      <c:pt idx="428">
                        <c:v>10.195383499999934</c:v>
                      </c:pt>
                      <c:pt idx="429">
                        <c:v>10.225805600000058</c:v>
                      </c:pt>
                      <c:pt idx="430">
                        <c:v>10.248324300000149</c:v>
                      </c:pt>
                      <c:pt idx="431">
                        <c:v>10.303866700000071</c:v>
                      </c:pt>
                      <c:pt idx="432">
                        <c:v>10.333491000000322</c:v>
                      </c:pt>
                      <c:pt idx="433">
                        <c:v>10.36482019999994</c:v>
                      </c:pt>
                      <c:pt idx="434">
                        <c:v>10.395894300000236</c:v>
                      </c:pt>
                      <c:pt idx="435">
                        <c:v>10.426647600000251</c:v>
                      </c:pt>
                      <c:pt idx="436">
                        <c:v>10.457696400000259</c:v>
                      </c:pt>
                      <c:pt idx="437">
                        <c:v>10.488746800000172</c:v>
                      </c:pt>
                      <c:pt idx="438">
                        <c:v>10.535662400000092</c:v>
                      </c:pt>
                      <c:pt idx="439">
                        <c:v>10.566998700000113</c:v>
                      </c:pt>
                      <c:pt idx="440">
                        <c:v>10.582380400000147</c:v>
                      </c:pt>
                      <c:pt idx="441">
                        <c:v>10.629483500000333</c:v>
                      </c:pt>
                      <c:pt idx="442">
                        <c:v>10.660453400000279</c:v>
                      </c:pt>
                      <c:pt idx="443">
                        <c:v>10.691334900000129</c:v>
                      </c:pt>
                      <c:pt idx="444">
                        <c:v>10.723119799999949</c:v>
                      </c:pt>
                      <c:pt idx="445">
                        <c:v>10.754917700000078</c:v>
                      </c:pt>
                      <c:pt idx="446">
                        <c:v>10.786172399999941</c:v>
                      </c:pt>
                      <c:pt idx="447">
                        <c:v>10.832616900000176</c:v>
                      </c:pt>
                      <c:pt idx="448">
                        <c:v>10.863517400000092</c:v>
                      </c:pt>
                      <c:pt idx="449">
                        <c:v>10.894051799999943</c:v>
                      </c:pt>
                      <c:pt idx="450">
                        <c:v>10.925019900000279</c:v>
                      </c:pt>
                      <c:pt idx="451">
                        <c:v>10.956175499999972</c:v>
                      </c:pt>
                      <c:pt idx="452">
                        <c:v>10.986783500000001</c:v>
                      </c:pt>
                      <c:pt idx="453">
                        <c:v>11.018666899999971</c:v>
                      </c:pt>
                      <c:pt idx="454">
                        <c:v>11.048951400000078</c:v>
                      </c:pt>
                      <c:pt idx="455">
                        <c:v>11.09581530000014</c:v>
                      </c:pt>
                      <c:pt idx="456">
                        <c:v>11.126629700000194</c:v>
                      </c:pt>
                      <c:pt idx="457">
                        <c:v>11.142573900000116</c:v>
                      </c:pt>
                      <c:pt idx="458">
                        <c:v>11.173766700000215</c:v>
                      </c:pt>
                      <c:pt idx="459">
                        <c:v>11.205695800000285</c:v>
                      </c:pt>
                      <c:pt idx="460">
                        <c:v>11.237737200000083</c:v>
                      </c:pt>
                      <c:pt idx="461">
                        <c:v>11.284514800000125</c:v>
                      </c:pt>
                      <c:pt idx="462">
                        <c:v>11.315749600000345</c:v>
                      </c:pt>
                      <c:pt idx="463">
                        <c:v>11.346154500000011</c:v>
                      </c:pt>
                      <c:pt idx="464">
                        <c:v>11.3774856</c:v>
                      </c:pt>
                      <c:pt idx="465">
                        <c:v>11.409056299999975</c:v>
                      </c:pt>
                      <c:pt idx="466">
                        <c:v>11.440554600000269</c:v>
                      </c:pt>
                      <c:pt idx="467">
                        <c:v>11.471008800000163</c:v>
                      </c:pt>
                      <c:pt idx="468">
                        <c:v>11.502131700000064</c:v>
                      </c:pt>
                      <c:pt idx="469">
                        <c:v>11.548793500000102</c:v>
                      </c:pt>
                      <c:pt idx="470">
                        <c:v>11.57956890000014</c:v>
                      </c:pt>
                      <c:pt idx="471">
                        <c:v>11.594943300000068</c:v>
                      </c:pt>
                      <c:pt idx="472">
                        <c:v>11.641669500000262</c:v>
                      </c:pt>
                      <c:pt idx="473">
                        <c:v>11.673290500000348</c:v>
                      </c:pt>
                      <c:pt idx="474">
                        <c:v>11.688881800000217</c:v>
                      </c:pt>
                      <c:pt idx="475">
                        <c:v>11.7196414</c:v>
                      </c:pt>
                      <c:pt idx="476">
                        <c:v>11.766130200000134</c:v>
                      </c:pt>
                      <c:pt idx="477">
                        <c:v>11.796685300000263</c:v>
                      </c:pt>
                      <c:pt idx="478">
                        <c:v>11.827278600000227</c:v>
                      </c:pt>
                      <c:pt idx="479">
                        <c:v>11.858095800000228</c:v>
                      </c:pt>
                      <c:pt idx="480">
                        <c:v>11.888794500000131</c:v>
                      </c:pt>
                      <c:pt idx="481">
                        <c:v>11.934336000000258</c:v>
                      </c:pt>
                      <c:pt idx="482">
                        <c:v>11.965639400000327</c:v>
                      </c:pt>
                      <c:pt idx="483">
                        <c:v>11.997932499999933</c:v>
                      </c:pt>
                      <c:pt idx="484">
                        <c:v>12.028717099999994</c:v>
                      </c:pt>
                      <c:pt idx="485">
                        <c:v>12.059517700000015</c:v>
                      </c:pt>
                      <c:pt idx="486">
                        <c:v>12.090803600000072</c:v>
                      </c:pt>
                      <c:pt idx="487">
                        <c:v>12.122577999999976</c:v>
                      </c:pt>
                      <c:pt idx="488">
                        <c:v>12.169699400000354</c:v>
                      </c:pt>
                      <c:pt idx="489">
                        <c:v>12.201201400000173</c:v>
                      </c:pt>
                      <c:pt idx="490">
                        <c:v>12.232632700000067</c:v>
                      </c:pt>
                      <c:pt idx="491">
                        <c:v>12.249022299999979</c:v>
                      </c:pt>
                      <c:pt idx="492">
                        <c:v>12.295267500000136</c:v>
                      </c:pt>
                      <c:pt idx="493">
                        <c:v>12.310584300000301</c:v>
                      </c:pt>
                      <c:pt idx="494">
                        <c:v>12.341577000000143</c:v>
                      </c:pt>
                      <c:pt idx="495">
                        <c:v>12.387372800000321</c:v>
                      </c:pt>
                      <c:pt idx="496">
                        <c:v>12.418010100000174</c:v>
                      </c:pt>
                      <c:pt idx="497">
                        <c:v>12.449695600000268</c:v>
                      </c:pt>
                      <c:pt idx="498">
                        <c:v>12.480971400000271</c:v>
                      </c:pt>
                      <c:pt idx="499">
                        <c:v>12.513204300000325</c:v>
                      </c:pt>
                      <c:pt idx="500">
                        <c:v>12.559790600000269</c:v>
                      </c:pt>
                      <c:pt idx="501">
                        <c:v>12.591086400000222</c:v>
                      </c:pt>
                      <c:pt idx="502">
                        <c:v>12.637489100000039</c:v>
                      </c:pt>
                      <c:pt idx="503">
                        <c:v>12.652473600000121</c:v>
                      </c:pt>
                      <c:pt idx="504">
                        <c:v>12.667999700000109</c:v>
                      </c:pt>
                      <c:pt idx="505">
                        <c:v>12.698369500000354</c:v>
                      </c:pt>
                      <c:pt idx="506">
                        <c:v>12.745587899999919</c:v>
                      </c:pt>
                      <c:pt idx="507">
                        <c:v>12.776711700000305</c:v>
                      </c:pt>
                      <c:pt idx="508">
                        <c:v>12.80882500000007</c:v>
                      </c:pt>
                      <c:pt idx="509">
                        <c:v>12.839928300000338</c:v>
                      </c:pt>
                      <c:pt idx="510">
                        <c:v>12.870841400000245</c:v>
                      </c:pt>
                      <c:pt idx="511">
                        <c:v>12.919063800000004</c:v>
                      </c:pt>
                      <c:pt idx="512">
                        <c:v>12.950572400000055</c:v>
                      </c:pt>
                      <c:pt idx="513">
                        <c:v>12.981602100000146</c:v>
                      </c:pt>
                      <c:pt idx="514">
                        <c:v>13.012179100000139</c:v>
                      </c:pt>
                      <c:pt idx="515">
                        <c:v>13.043758100000105</c:v>
                      </c:pt>
                      <c:pt idx="516">
                        <c:v>13.074363600000197</c:v>
                      </c:pt>
                      <c:pt idx="517">
                        <c:v>13.090145600000142</c:v>
                      </c:pt>
                      <c:pt idx="518">
                        <c:v>13.121570300000258</c:v>
                      </c:pt>
                      <c:pt idx="519">
                        <c:v>13.168152000000191</c:v>
                      </c:pt>
                      <c:pt idx="520">
                        <c:v>13.198883300000034</c:v>
                      </c:pt>
                      <c:pt idx="521">
                        <c:v>13.229255200000352</c:v>
                      </c:pt>
                      <c:pt idx="522">
                        <c:v>13.276719299999968</c:v>
                      </c:pt>
                      <c:pt idx="523">
                        <c:v>13.29261600000018</c:v>
                      </c:pt>
                      <c:pt idx="524">
                        <c:v>13.338836800000081</c:v>
                      </c:pt>
                      <c:pt idx="525">
                        <c:v>13.369466399999965</c:v>
                      </c:pt>
                      <c:pt idx="526">
                        <c:v>13.400827800000116</c:v>
                      </c:pt>
                      <c:pt idx="527">
                        <c:v>13.400827800000116</c:v>
                      </c:pt>
                      <c:pt idx="528">
                        <c:v>13.431558000000223</c:v>
                      </c:pt>
                      <c:pt idx="529">
                        <c:v>13.463181999999961</c:v>
                      </c:pt>
                      <c:pt idx="530">
                        <c:v>13.493699300000117</c:v>
                      </c:pt>
                      <c:pt idx="531">
                        <c:v>13.524435400000129</c:v>
                      </c:pt>
                      <c:pt idx="532">
                        <c:v>13.556190600000264</c:v>
                      </c:pt>
                      <c:pt idx="533">
                        <c:v>13.603659400000197</c:v>
                      </c:pt>
                      <c:pt idx="534">
                        <c:v>13.634937799999989</c:v>
                      </c:pt>
                      <c:pt idx="535">
                        <c:v>13.649690700000065</c:v>
                      </c:pt>
                      <c:pt idx="536">
                        <c:v>13.681694700000207</c:v>
                      </c:pt>
                      <c:pt idx="537">
                        <c:v>13.713017500000205</c:v>
                      </c:pt>
                      <c:pt idx="538">
                        <c:v>13.759507100000064</c:v>
                      </c:pt>
                      <c:pt idx="539">
                        <c:v>13.791183000000274</c:v>
                      </c:pt>
                      <c:pt idx="540">
                        <c:v>13.822837600000184</c:v>
                      </c:pt>
                      <c:pt idx="541">
                        <c:v>13.853742799999964</c:v>
                      </c:pt>
                      <c:pt idx="542">
                        <c:v>13.885365500000262</c:v>
                      </c:pt>
                      <c:pt idx="543">
                        <c:v>13.915913000000273</c:v>
                      </c:pt>
                      <c:pt idx="544">
                        <c:v>13.946901199999957</c:v>
                      </c:pt>
                      <c:pt idx="545">
                        <c:v>13.977670900000248</c:v>
                      </c:pt>
                      <c:pt idx="546">
                        <c:v>14.024668200000178</c:v>
                      </c:pt>
                      <c:pt idx="547">
                        <c:v>14.055672200000117</c:v>
                      </c:pt>
                      <c:pt idx="548">
                        <c:v>14.086797200000092</c:v>
                      </c:pt>
                      <c:pt idx="549">
                        <c:v>14.117896000000201</c:v>
                      </c:pt>
                      <c:pt idx="550">
                        <c:v>14.149670600000263</c:v>
                      </c:pt>
                      <c:pt idx="551">
                        <c:v>14.165632100000039</c:v>
                      </c:pt>
                      <c:pt idx="552">
                        <c:v>14.211338300000079</c:v>
                      </c:pt>
                      <c:pt idx="553">
                        <c:v>14.241900100000294</c:v>
                      </c:pt>
                      <c:pt idx="554">
                        <c:v>14.272979300000316</c:v>
                      </c:pt>
                      <c:pt idx="555">
                        <c:v>14.304227200000241</c:v>
                      </c:pt>
                      <c:pt idx="556">
                        <c:v>14.335389500000019</c:v>
                      </c:pt>
                      <c:pt idx="557">
                        <c:v>14.366503500000363</c:v>
                      </c:pt>
                      <c:pt idx="558">
                        <c:v>14.397033700000065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'Maju 0.05'!$V$7:$V$565</c15:sqref>
                        </c15:formulaRef>
                      </c:ext>
                    </c:extLst>
                    <c:numCache>
                      <c:formatCode>0.00</c:formatCode>
                      <c:ptCount val="559"/>
                      <c:pt idx="0">
                        <c:v>-0.27300000000000002</c:v>
                      </c:pt>
                      <c:pt idx="1">
                        <c:v>-0.27300000000000002</c:v>
                      </c:pt>
                      <c:pt idx="2">
                        <c:v>-0.27300000000000002</c:v>
                      </c:pt>
                      <c:pt idx="3">
                        <c:v>-0.27300000000000002</c:v>
                      </c:pt>
                      <c:pt idx="4">
                        <c:v>-0.27300000000000002</c:v>
                      </c:pt>
                      <c:pt idx="5">
                        <c:v>-0.53400000000000003</c:v>
                      </c:pt>
                      <c:pt idx="6">
                        <c:v>-0.53400000000000003</c:v>
                      </c:pt>
                      <c:pt idx="7">
                        <c:v>-0.53400000000000003</c:v>
                      </c:pt>
                      <c:pt idx="8">
                        <c:v>-0.53400000000000003</c:v>
                      </c:pt>
                      <c:pt idx="9">
                        <c:v>7.6999999999999999E-2</c:v>
                      </c:pt>
                      <c:pt idx="10">
                        <c:v>7.6999999999999999E-2</c:v>
                      </c:pt>
                      <c:pt idx="11">
                        <c:v>7.6999999999999999E-2</c:v>
                      </c:pt>
                      <c:pt idx="12">
                        <c:v>7.6999999999999999E-2</c:v>
                      </c:pt>
                      <c:pt idx="13">
                        <c:v>7.6999999999999999E-2</c:v>
                      </c:pt>
                      <c:pt idx="14">
                        <c:v>0.85499999999999998</c:v>
                      </c:pt>
                      <c:pt idx="15">
                        <c:v>0.85499999999999998</c:v>
                      </c:pt>
                      <c:pt idx="16">
                        <c:v>0.85499999999999998</c:v>
                      </c:pt>
                      <c:pt idx="17">
                        <c:v>0.85499999999999998</c:v>
                      </c:pt>
                      <c:pt idx="18">
                        <c:v>0.85499999999999998</c:v>
                      </c:pt>
                      <c:pt idx="19">
                        <c:v>1.06</c:v>
                      </c:pt>
                      <c:pt idx="20">
                        <c:v>1.06</c:v>
                      </c:pt>
                      <c:pt idx="21">
                        <c:v>1.06</c:v>
                      </c:pt>
                      <c:pt idx="22">
                        <c:v>1.06</c:v>
                      </c:pt>
                      <c:pt idx="23">
                        <c:v>1.5940000000000001</c:v>
                      </c:pt>
                      <c:pt idx="24">
                        <c:v>1.5940000000000001</c:v>
                      </c:pt>
                      <c:pt idx="25">
                        <c:v>1.5940000000000001</c:v>
                      </c:pt>
                      <c:pt idx="26">
                        <c:v>1.5940000000000001</c:v>
                      </c:pt>
                      <c:pt idx="27">
                        <c:v>1.7569999999999999</c:v>
                      </c:pt>
                      <c:pt idx="28">
                        <c:v>1.7569999999999999</c:v>
                      </c:pt>
                      <c:pt idx="29">
                        <c:v>1.7569999999999999</c:v>
                      </c:pt>
                      <c:pt idx="30">
                        <c:v>1.7569999999999999</c:v>
                      </c:pt>
                      <c:pt idx="31">
                        <c:v>0.99399999999999999</c:v>
                      </c:pt>
                      <c:pt idx="32">
                        <c:v>0.99399999999999999</c:v>
                      </c:pt>
                      <c:pt idx="33">
                        <c:v>0.99399999999999999</c:v>
                      </c:pt>
                      <c:pt idx="34">
                        <c:v>0.99399999999999999</c:v>
                      </c:pt>
                      <c:pt idx="35">
                        <c:v>-0.47899999999999998</c:v>
                      </c:pt>
                      <c:pt idx="36">
                        <c:v>-0.47899999999999998</c:v>
                      </c:pt>
                      <c:pt idx="37">
                        <c:v>-0.47899999999999998</c:v>
                      </c:pt>
                      <c:pt idx="38">
                        <c:v>-0.47899999999999998</c:v>
                      </c:pt>
                      <c:pt idx="39">
                        <c:v>-0.47899999999999998</c:v>
                      </c:pt>
                      <c:pt idx="40">
                        <c:v>-1.4870000000000001</c:v>
                      </c:pt>
                      <c:pt idx="41">
                        <c:v>-1.4870000000000001</c:v>
                      </c:pt>
                      <c:pt idx="42">
                        <c:v>-1.4870000000000001</c:v>
                      </c:pt>
                      <c:pt idx="43">
                        <c:v>-1.4870000000000001</c:v>
                      </c:pt>
                      <c:pt idx="44">
                        <c:v>-1.448</c:v>
                      </c:pt>
                      <c:pt idx="45">
                        <c:v>-1.448</c:v>
                      </c:pt>
                      <c:pt idx="46">
                        <c:v>-1.448</c:v>
                      </c:pt>
                      <c:pt idx="47">
                        <c:v>-1.448</c:v>
                      </c:pt>
                      <c:pt idx="48">
                        <c:v>-1.2509999999999999</c:v>
                      </c:pt>
                      <c:pt idx="49">
                        <c:v>-1.2509999999999999</c:v>
                      </c:pt>
                      <c:pt idx="50">
                        <c:v>-1.2509999999999999</c:v>
                      </c:pt>
                      <c:pt idx="51">
                        <c:v>-1.2509999999999999</c:v>
                      </c:pt>
                      <c:pt idx="52">
                        <c:v>-1.4850000000000001</c:v>
                      </c:pt>
                      <c:pt idx="53">
                        <c:v>-1.4850000000000001</c:v>
                      </c:pt>
                      <c:pt idx="54">
                        <c:v>-1.4850000000000001</c:v>
                      </c:pt>
                      <c:pt idx="55">
                        <c:v>-1.4850000000000001</c:v>
                      </c:pt>
                      <c:pt idx="56">
                        <c:v>-2.302</c:v>
                      </c:pt>
                      <c:pt idx="57">
                        <c:v>-2.302</c:v>
                      </c:pt>
                      <c:pt idx="58">
                        <c:v>-2.302</c:v>
                      </c:pt>
                      <c:pt idx="59">
                        <c:v>-2.302</c:v>
                      </c:pt>
                      <c:pt idx="60">
                        <c:v>-3.31</c:v>
                      </c:pt>
                      <c:pt idx="61">
                        <c:v>-3.31</c:v>
                      </c:pt>
                      <c:pt idx="62">
                        <c:v>-3.31</c:v>
                      </c:pt>
                      <c:pt idx="63">
                        <c:v>-3.31</c:v>
                      </c:pt>
                      <c:pt idx="64">
                        <c:v>-3.31</c:v>
                      </c:pt>
                      <c:pt idx="65">
                        <c:v>-3.4369999999999998</c:v>
                      </c:pt>
                      <c:pt idx="66">
                        <c:v>-3.4369999999999998</c:v>
                      </c:pt>
                      <c:pt idx="67">
                        <c:v>-3.4369999999999998</c:v>
                      </c:pt>
                      <c:pt idx="68">
                        <c:v>-3.4369999999999998</c:v>
                      </c:pt>
                      <c:pt idx="69">
                        <c:v>-2.645</c:v>
                      </c:pt>
                      <c:pt idx="70">
                        <c:v>-2.645</c:v>
                      </c:pt>
                      <c:pt idx="71">
                        <c:v>-2.645</c:v>
                      </c:pt>
                      <c:pt idx="72">
                        <c:v>-2.645</c:v>
                      </c:pt>
                      <c:pt idx="73">
                        <c:v>-1.609</c:v>
                      </c:pt>
                      <c:pt idx="74">
                        <c:v>-1.609</c:v>
                      </c:pt>
                      <c:pt idx="75">
                        <c:v>-1.609</c:v>
                      </c:pt>
                      <c:pt idx="76">
                        <c:v>-1.609</c:v>
                      </c:pt>
                      <c:pt idx="77">
                        <c:v>-0.61899999999999999</c:v>
                      </c:pt>
                      <c:pt idx="78">
                        <c:v>-0.61899999999999999</c:v>
                      </c:pt>
                      <c:pt idx="79">
                        <c:v>-0.61899999999999999</c:v>
                      </c:pt>
                      <c:pt idx="80">
                        <c:v>-0.61899999999999999</c:v>
                      </c:pt>
                      <c:pt idx="81">
                        <c:v>-0.61899999999999999</c:v>
                      </c:pt>
                      <c:pt idx="82">
                        <c:v>0.55800000000000005</c:v>
                      </c:pt>
                      <c:pt idx="83">
                        <c:v>0.55800000000000005</c:v>
                      </c:pt>
                      <c:pt idx="84">
                        <c:v>0.55800000000000005</c:v>
                      </c:pt>
                      <c:pt idx="85">
                        <c:v>0.55800000000000005</c:v>
                      </c:pt>
                      <c:pt idx="86">
                        <c:v>0.93300000000000005</c:v>
                      </c:pt>
                      <c:pt idx="87">
                        <c:v>0.93300000000000005</c:v>
                      </c:pt>
                      <c:pt idx="88">
                        <c:v>0.93300000000000005</c:v>
                      </c:pt>
                      <c:pt idx="89">
                        <c:v>0.93300000000000005</c:v>
                      </c:pt>
                      <c:pt idx="90">
                        <c:v>0.93600000000000005</c:v>
                      </c:pt>
                      <c:pt idx="91">
                        <c:v>0.93600000000000005</c:v>
                      </c:pt>
                      <c:pt idx="92">
                        <c:v>0.93600000000000005</c:v>
                      </c:pt>
                      <c:pt idx="93">
                        <c:v>0.93600000000000005</c:v>
                      </c:pt>
                      <c:pt idx="94">
                        <c:v>1.2150000000000001</c:v>
                      </c:pt>
                      <c:pt idx="95">
                        <c:v>1.2150000000000001</c:v>
                      </c:pt>
                      <c:pt idx="96">
                        <c:v>1.2150000000000001</c:v>
                      </c:pt>
                      <c:pt idx="97">
                        <c:v>1.2150000000000001</c:v>
                      </c:pt>
                      <c:pt idx="98">
                        <c:v>1.2150000000000001</c:v>
                      </c:pt>
                      <c:pt idx="99">
                        <c:v>1.2410000000000001</c:v>
                      </c:pt>
                      <c:pt idx="100">
                        <c:v>1.2410000000000001</c:v>
                      </c:pt>
                      <c:pt idx="101">
                        <c:v>1.2410000000000001</c:v>
                      </c:pt>
                      <c:pt idx="102">
                        <c:v>1.2410000000000001</c:v>
                      </c:pt>
                      <c:pt idx="103">
                        <c:v>1.429</c:v>
                      </c:pt>
                      <c:pt idx="104">
                        <c:v>1.429</c:v>
                      </c:pt>
                      <c:pt idx="105">
                        <c:v>1.429</c:v>
                      </c:pt>
                      <c:pt idx="106">
                        <c:v>1.429</c:v>
                      </c:pt>
                      <c:pt idx="107">
                        <c:v>1.3959999999999999</c:v>
                      </c:pt>
                      <c:pt idx="108">
                        <c:v>1.3959999999999999</c:v>
                      </c:pt>
                      <c:pt idx="109">
                        <c:v>1.3959999999999999</c:v>
                      </c:pt>
                      <c:pt idx="110">
                        <c:v>1.3959999999999999</c:v>
                      </c:pt>
                      <c:pt idx="111">
                        <c:v>0.99199999999999999</c:v>
                      </c:pt>
                      <c:pt idx="112">
                        <c:v>0.99199999999999999</c:v>
                      </c:pt>
                      <c:pt idx="113">
                        <c:v>0.99199999999999999</c:v>
                      </c:pt>
                      <c:pt idx="114">
                        <c:v>0.99199999999999999</c:v>
                      </c:pt>
                      <c:pt idx="115">
                        <c:v>0.57999999999999996</c:v>
                      </c:pt>
                      <c:pt idx="116">
                        <c:v>0.57999999999999996</c:v>
                      </c:pt>
                      <c:pt idx="117">
                        <c:v>0.57999999999999996</c:v>
                      </c:pt>
                      <c:pt idx="118">
                        <c:v>0.57999999999999996</c:v>
                      </c:pt>
                      <c:pt idx="119">
                        <c:v>0.57999999999999996</c:v>
                      </c:pt>
                      <c:pt idx="120">
                        <c:v>0.216</c:v>
                      </c:pt>
                      <c:pt idx="121">
                        <c:v>0.216</c:v>
                      </c:pt>
                      <c:pt idx="122">
                        <c:v>0.216</c:v>
                      </c:pt>
                      <c:pt idx="123">
                        <c:v>0.216</c:v>
                      </c:pt>
                      <c:pt idx="124">
                        <c:v>-0.27500000000000002</c:v>
                      </c:pt>
                      <c:pt idx="125">
                        <c:v>-0.27500000000000002</c:v>
                      </c:pt>
                      <c:pt idx="126">
                        <c:v>-0.27500000000000002</c:v>
                      </c:pt>
                      <c:pt idx="127">
                        <c:v>-0.27500000000000002</c:v>
                      </c:pt>
                      <c:pt idx="128">
                        <c:v>-0.69399999999999995</c:v>
                      </c:pt>
                      <c:pt idx="129">
                        <c:v>-0.69399999999999995</c:v>
                      </c:pt>
                      <c:pt idx="130">
                        <c:v>-0.69399999999999995</c:v>
                      </c:pt>
                      <c:pt idx="131">
                        <c:v>-0.69399999999999995</c:v>
                      </c:pt>
                      <c:pt idx="132">
                        <c:v>-0.95199999999999996</c:v>
                      </c:pt>
                      <c:pt idx="133">
                        <c:v>-0.95199999999999996</c:v>
                      </c:pt>
                      <c:pt idx="134">
                        <c:v>-0.95199999999999996</c:v>
                      </c:pt>
                      <c:pt idx="135">
                        <c:v>-0.95199999999999996</c:v>
                      </c:pt>
                      <c:pt idx="136">
                        <c:v>-0.88100000000000001</c:v>
                      </c:pt>
                      <c:pt idx="137">
                        <c:v>-0.88100000000000001</c:v>
                      </c:pt>
                      <c:pt idx="138">
                        <c:v>-0.88100000000000001</c:v>
                      </c:pt>
                      <c:pt idx="139">
                        <c:v>-0.88100000000000001</c:v>
                      </c:pt>
                      <c:pt idx="140">
                        <c:v>-0.88100000000000001</c:v>
                      </c:pt>
                      <c:pt idx="141">
                        <c:v>-0.47399999999999998</c:v>
                      </c:pt>
                      <c:pt idx="142">
                        <c:v>-0.47399999999999998</c:v>
                      </c:pt>
                      <c:pt idx="143">
                        <c:v>-0.47399999999999998</c:v>
                      </c:pt>
                      <c:pt idx="144">
                        <c:v>-0.47399999999999998</c:v>
                      </c:pt>
                      <c:pt idx="145">
                        <c:v>-0.36199999999999999</c:v>
                      </c:pt>
                      <c:pt idx="146">
                        <c:v>-0.36199999999999999</c:v>
                      </c:pt>
                      <c:pt idx="147">
                        <c:v>-0.36199999999999999</c:v>
                      </c:pt>
                      <c:pt idx="148">
                        <c:v>-0.36199999999999999</c:v>
                      </c:pt>
                      <c:pt idx="149">
                        <c:v>-0.44700000000000001</c:v>
                      </c:pt>
                      <c:pt idx="150">
                        <c:v>-0.44700000000000001</c:v>
                      </c:pt>
                      <c:pt idx="151">
                        <c:v>-0.44700000000000001</c:v>
                      </c:pt>
                      <c:pt idx="152">
                        <c:v>-0.44700000000000001</c:v>
                      </c:pt>
                      <c:pt idx="153">
                        <c:v>-0.44700000000000001</c:v>
                      </c:pt>
                      <c:pt idx="154">
                        <c:v>-0.35399999999999998</c:v>
                      </c:pt>
                      <c:pt idx="155">
                        <c:v>-0.35399999999999998</c:v>
                      </c:pt>
                      <c:pt idx="156">
                        <c:v>-0.35399999999999998</c:v>
                      </c:pt>
                      <c:pt idx="157">
                        <c:v>-0.35399999999999998</c:v>
                      </c:pt>
                      <c:pt idx="158">
                        <c:v>0.216</c:v>
                      </c:pt>
                      <c:pt idx="159">
                        <c:v>0.216</c:v>
                      </c:pt>
                      <c:pt idx="160">
                        <c:v>0.216</c:v>
                      </c:pt>
                      <c:pt idx="161">
                        <c:v>0.216</c:v>
                      </c:pt>
                      <c:pt idx="162">
                        <c:v>0.61099999999999999</c:v>
                      </c:pt>
                      <c:pt idx="163">
                        <c:v>0.61099999999999999</c:v>
                      </c:pt>
                      <c:pt idx="164">
                        <c:v>0.61099999999999999</c:v>
                      </c:pt>
                      <c:pt idx="165">
                        <c:v>0.61099999999999999</c:v>
                      </c:pt>
                      <c:pt idx="166">
                        <c:v>0.67600000000000005</c:v>
                      </c:pt>
                      <c:pt idx="167">
                        <c:v>0.67600000000000005</c:v>
                      </c:pt>
                      <c:pt idx="168">
                        <c:v>0.67600000000000005</c:v>
                      </c:pt>
                      <c:pt idx="169">
                        <c:v>0.67600000000000005</c:v>
                      </c:pt>
                      <c:pt idx="170">
                        <c:v>0.64600000000000002</c:v>
                      </c:pt>
                      <c:pt idx="171">
                        <c:v>0.64600000000000002</c:v>
                      </c:pt>
                      <c:pt idx="172">
                        <c:v>0.64600000000000002</c:v>
                      </c:pt>
                      <c:pt idx="173">
                        <c:v>0.64600000000000002</c:v>
                      </c:pt>
                      <c:pt idx="174">
                        <c:v>0.64600000000000002</c:v>
                      </c:pt>
                      <c:pt idx="175">
                        <c:v>0.46500000000000002</c:v>
                      </c:pt>
                      <c:pt idx="176">
                        <c:v>0.46500000000000002</c:v>
                      </c:pt>
                      <c:pt idx="177">
                        <c:v>0.46500000000000002</c:v>
                      </c:pt>
                      <c:pt idx="178">
                        <c:v>0.46500000000000002</c:v>
                      </c:pt>
                      <c:pt idx="179">
                        <c:v>0.157</c:v>
                      </c:pt>
                      <c:pt idx="180">
                        <c:v>0.157</c:v>
                      </c:pt>
                      <c:pt idx="181">
                        <c:v>0.157</c:v>
                      </c:pt>
                      <c:pt idx="182">
                        <c:v>0.157</c:v>
                      </c:pt>
                      <c:pt idx="183">
                        <c:v>0.157</c:v>
                      </c:pt>
                      <c:pt idx="184">
                        <c:v>-0.13800000000000001</c:v>
                      </c:pt>
                      <c:pt idx="185">
                        <c:v>-0.13800000000000001</c:v>
                      </c:pt>
                      <c:pt idx="186">
                        <c:v>-0.13800000000000001</c:v>
                      </c:pt>
                      <c:pt idx="187">
                        <c:v>-0.13800000000000001</c:v>
                      </c:pt>
                      <c:pt idx="188">
                        <c:v>-0.13700000000000001</c:v>
                      </c:pt>
                      <c:pt idx="189">
                        <c:v>-0.13700000000000001</c:v>
                      </c:pt>
                      <c:pt idx="190">
                        <c:v>-0.13700000000000001</c:v>
                      </c:pt>
                      <c:pt idx="191">
                        <c:v>-0.13700000000000001</c:v>
                      </c:pt>
                      <c:pt idx="192">
                        <c:v>0.13700000000000001</c:v>
                      </c:pt>
                      <c:pt idx="193">
                        <c:v>0.13700000000000001</c:v>
                      </c:pt>
                      <c:pt idx="194">
                        <c:v>0.13700000000000001</c:v>
                      </c:pt>
                      <c:pt idx="195">
                        <c:v>0.13700000000000001</c:v>
                      </c:pt>
                      <c:pt idx="196">
                        <c:v>0.13700000000000001</c:v>
                      </c:pt>
                      <c:pt idx="197">
                        <c:v>0.372</c:v>
                      </c:pt>
                      <c:pt idx="198">
                        <c:v>0.372</c:v>
                      </c:pt>
                      <c:pt idx="199">
                        <c:v>0.372</c:v>
                      </c:pt>
                      <c:pt idx="200">
                        <c:v>0.372</c:v>
                      </c:pt>
                      <c:pt idx="201">
                        <c:v>0.60799999999999998</c:v>
                      </c:pt>
                      <c:pt idx="202">
                        <c:v>0.60799999999999998</c:v>
                      </c:pt>
                      <c:pt idx="203">
                        <c:v>0.60799999999999998</c:v>
                      </c:pt>
                      <c:pt idx="204">
                        <c:v>0.60799999999999998</c:v>
                      </c:pt>
                      <c:pt idx="205">
                        <c:v>0.87</c:v>
                      </c:pt>
                      <c:pt idx="206">
                        <c:v>0.87</c:v>
                      </c:pt>
                      <c:pt idx="207">
                        <c:v>0.87</c:v>
                      </c:pt>
                      <c:pt idx="208">
                        <c:v>0.87</c:v>
                      </c:pt>
                      <c:pt idx="209">
                        <c:v>1.042</c:v>
                      </c:pt>
                      <c:pt idx="210">
                        <c:v>1.042</c:v>
                      </c:pt>
                      <c:pt idx="211">
                        <c:v>1.042</c:v>
                      </c:pt>
                      <c:pt idx="212">
                        <c:v>1.042</c:v>
                      </c:pt>
                      <c:pt idx="213">
                        <c:v>1.042</c:v>
                      </c:pt>
                      <c:pt idx="214">
                        <c:v>1.077</c:v>
                      </c:pt>
                      <c:pt idx="215">
                        <c:v>1.077</c:v>
                      </c:pt>
                      <c:pt idx="216">
                        <c:v>1.077</c:v>
                      </c:pt>
                      <c:pt idx="217">
                        <c:v>1.169</c:v>
                      </c:pt>
                      <c:pt idx="218">
                        <c:v>1.169</c:v>
                      </c:pt>
                      <c:pt idx="219">
                        <c:v>0.872</c:v>
                      </c:pt>
                      <c:pt idx="220">
                        <c:v>0.872</c:v>
                      </c:pt>
                      <c:pt idx="221">
                        <c:v>0.45200000000000001</c:v>
                      </c:pt>
                      <c:pt idx="222">
                        <c:v>0.45200000000000001</c:v>
                      </c:pt>
                      <c:pt idx="223">
                        <c:v>9.5000000000000001E-2</c:v>
                      </c:pt>
                      <c:pt idx="224">
                        <c:v>9.5000000000000001E-2</c:v>
                      </c:pt>
                      <c:pt idx="225">
                        <c:v>-0.54</c:v>
                      </c:pt>
                      <c:pt idx="226">
                        <c:v>-0.54</c:v>
                      </c:pt>
                      <c:pt idx="227">
                        <c:v>-1.036</c:v>
                      </c:pt>
                      <c:pt idx="228">
                        <c:v>-1.036</c:v>
                      </c:pt>
                      <c:pt idx="229">
                        <c:v>-1.3220000000000001</c:v>
                      </c:pt>
                      <c:pt idx="230">
                        <c:v>-1.3220000000000001</c:v>
                      </c:pt>
                      <c:pt idx="231">
                        <c:v>-1.5640000000000001</c:v>
                      </c:pt>
                      <c:pt idx="232">
                        <c:v>-1.5640000000000001</c:v>
                      </c:pt>
                      <c:pt idx="233">
                        <c:v>-1.411</c:v>
                      </c:pt>
                      <c:pt idx="234">
                        <c:v>-1.411</c:v>
                      </c:pt>
                      <c:pt idx="235">
                        <c:v>-1.657</c:v>
                      </c:pt>
                      <c:pt idx="236">
                        <c:v>-1.657</c:v>
                      </c:pt>
                      <c:pt idx="237">
                        <c:v>-1.67</c:v>
                      </c:pt>
                      <c:pt idx="238">
                        <c:v>-1.67</c:v>
                      </c:pt>
                      <c:pt idx="239">
                        <c:v>-0.89100000000000001</c:v>
                      </c:pt>
                      <c:pt idx="240">
                        <c:v>-0.89100000000000001</c:v>
                      </c:pt>
                      <c:pt idx="241">
                        <c:v>-0.105</c:v>
                      </c:pt>
                      <c:pt idx="242">
                        <c:v>-0.105</c:v>
                      </c:pt>
                      <c:pt idx="243">
                        <c:v>0.38800000000000001</c:v>
                      </c:pt>
                      <c:pt idx="244">
                        <c:v>0.38800000000000001</c:v>
                      </c:pt>
                      <c:pt idx="245">
                        <c:v>0.35299999999999998</c:v>
                      </c:pt>
                      <c:pt idx="246">
                        <c:v>0.35299999999999998</c:v>
                      </c:pt>
                      <c:pt idx="247">
                        <c:v>0.222</c:v>
                      </c:pt>
                      <c:pt idx="248">
                        <c:v>0.222</c:v>
                      </c:pt>
                      <c:pt idx="249">
                        <c:v>-0.20399999999999999</c:v>
                      </c:pt>
                      <c:pt idx="251" formatCode="General">
                        <c:v>-0.20399999999999999</c:v>
                      </c:pt>
                      <c:pt idx="252" formatCode="General">
                        <c:v>-0.57399999999999995</c:v>
                      </c:pt>
                      <c:pt idx="253" formatCode="General">
                        <c:v>-0.57399999999999995</c:v>
                      </c:pt>
                      <c:pt idx="254" formatCode="General">
                        <c:v>-0.221</c:v>
                      </c:pt>
                      <c:pt idx="255" formatCode="General">
                        <c:v>-0.221</c:v>
                      </c:pt>
                      <c:pt idx="256" formatCode="General">
                        <c:v>2.4E-2</c:v>
                      </c:pt>
                      <c:pt idx="257" formatCode="General">
                        <c:v>2.4E-2</c:v>
                      </c:pt>
                      <c:pt idx="258" formatCode="General">
                        <c:v>4.0000000000000001E-3</c:v>
                      </c:pt>
                      <c:pt idx="259" formatCode="General">
                        <c:v>4.0000000000000001E-3</c:v>
                      </c:pt>
                      <c:pt idx="260" formatCode="General">
                        <c:v>-0.14899999999999999</c:v>
                      </c:pt>
                      <c:pt idx="261" formatCode="General">
                        <c:v>-0.14899999999999999</c:v>
                      </c:pt>
                      <c:pt idx="262" formatCode="General">
                        <c:v>-0.41699999999999998</c:v>
                      </c:pt>
                      <c:pt idx="263" formatCode="General">
                        <c:v>-0.41699999999999998</c:v>
                      </c:pt>
                      <c:pt idx="264" formatCode="General">
                        <c:v>-0.68700000000000006</c:v>
                      </c:pt>
                      <c:pt idx="265" formatCode="General">
                        <c:v>-0.68700000000000006</c:v>
                      </c:pt>
                      <c:pt idx="266" formatCode="General">
                        <c:v>-1.0129999999999999</c:v>
                      </c:pt>
                      <c:pt idx="267" formatCode="General">
                        <c:v>-1.0129999999999999</c:v>
                      </c:pt>
                      <c:pt idx="268" formatCode="General">
                        <c:v>-0.96599999999999997</c:v>
                      </c:pt>
                      <c:pt idx="269" formatCode="General">
                        <c:v>-0.96599999999999997</c:v>
                      </c:pt>
                      <c:pt idx="270" formatCode="General">
                        <c:v>-1.234</c:v>
                      </c:pt>
                      <c:pt idx="271" formatCode="General">
                        <c:v>-1.234</c:v>
                      </c:pt>
                      <c:pt idx="272" formatCode="General">
                        <c:v>-1.62</c:v>
                      </c:pt>
                      <c:pt idx="273" formatCode="General">
                        <c:v>-1.62</c:v>
                      </c:pt>
                      <c:pt idx="274" formatCode="General">
                        <c:v>-1.6439999999999999</c:v>
                      </c:pt>
                      <c:pt idx="275" formatCode="General">
                        <c:v>-1.6439999999999999</c:v>
                      </c:pt>
                      <c:pt idx="276" formatCode="General">
                        <c:v>-1.5249999999999999</c:v>
                      </c:pt>
                      <c:pt idx="277" formatCode="General">
                        <c:v>-1.5249999999999999</c:v>
                      </c:pt>
                      <c:pt idx="278" formatCode="General">
                        <c:v>-1.4370000000000001</c:v>
                      </c:pt>
                      <c:pt idx="279" formatCode="General">
                        <c:v>-1.4370000000000001</c:v>
                      </c:pt>
                      <c:pt idx="280" formatCode="General">
                        <c:v>-1.341</c:v>
                      </c:pt>
                      <c:pt idx="281" formatCode="General">
                        <c:v>-1.341</c:v>
                      </c:pt>
                      <c:pt idx="282" formatCode="General">
                        <c:v>-1.1719999999999999</c:v>
                      </c:pt>
                      <c:pt idx="283" formatCode="General">
                        <c:v>-1.1719999999999999</c:v>
                      </c:pt>
                      <c:pt idx="284" formatCode="General">
                        <c:v>-1.1719999999999999</c:v>
                      </c:pt>
                      <c:pt idx="285" formatCode="General">
                        <c:v>-1.091</c:v>
                      </c:pt>
                      <c:pt idx="286" formatCode="General">
                        <c:v>-0.75700000000000001</c:v>
                      </c:pt>
                      <c:pt idx="287" formatCode="General">
                        <c:v>-0.75700000000000001</c:v>
                      </c:pt>
                      <c:pt idx="288" formatCode="General">
                        <c:v>-0.75</c:v>
                      </c:pt>
                      <c:pt idx="289" formatCode="General">
                        <c:v>-0.75</c:v>
                      </c:pt>
                      <c:pt idx="290" formatCode="General">
                        <c:v>-0.75</c:v>
                      </c:pt>
                      <c:pt idx="291" formatCode="General">
                        <c:v>-0.80700000000000005</c:v>
                      </c:pt>
                      <c:pt idx="292" formatCode="General">
                        <c:v>-1.022</c:v>
                      </c:pt>
                      <c:pt idx="293" formatCode="General">
                        <c:v>-1.022</c:v>
                      </c:pt>
                      <c:pt idx="294" formatCode="General">
                        <c:v>-1.246</c:v>
                      </c:pt>
                      <c:pt idx="295" formatCode="General">
                        <c:v>-1.246</c:v>
                      </c:pt>
                      <c:pt idx="296" formatCode="General">
                        <c:v>-1.4410000000000001</c:v>
                      </c:pt>
                      <c:pt idx="297" formatCode="General">
                        <c:v>-1.4410000000000001</c:v>
                      </c:pt>
                      <c:pt idx="298" formatCode="General">
                        <c:v>-1.516</c:v>
                      </c:pt>
                      <c:pt idx="299" formatCode="General">
                        <c:v>-1.516</c:v>
                      </c:pt>
                      <c:pt idx="300" formatCode="General">
                        <c:v>-1.476</c:v>
                      </c:pt>
                      <c:pt idx="301" formatCode="General">
                        <c:v>-1.476</c:v>
                      </c:pt>
                      <c:pt idx="302" formatCode="General">
                        <c:v>-1.476</c:v>
                      </c:pt>
                      <c:pt idx="303" formatCode="General">
                        <c:v>-1.056</c:v>
                      </c:pt>
                      <c:pt idx="304" formatCode="General">
                        <c:v>-0.64900000000000002</c:v>
                      </c:pt>
                      <c:pt idx="305" formatCode="General">
                        <c:v>-0.64900000000000002</c:v>
                      </c:pt>
                      <c:pt idx="306" formatCode="General">
                        <c:v>-0.68</c:v>
                      </c:pt>
                      <c:pt idx="307" formatCode="General">
                        <c:v>-0.68</c:v>
                      </c:pt>
                      <c:pt idx="308" formatCode="General">
                        <c:v>-0.68</c:v>
                      </c:pt>
                      <c:pt idx="309" formatCode="General">
                        <c:v>-0.77400000000000002</c:v>
                      </c:pt>
                      <c:pt idx="310" formatCode="General">
                        <c:v>-0.873</c:v>
                      </c:pt>
                      <c:pt idx="311" formatCode="General">
                        <c:v>-0.873</c:v>
                      </c:pt>
                      <c:pt idx="312" formatCode="General">
                        <c:v>-1.002</c:v>
                      </c:pt>
                      <c:pt idx="313" formatCode="General">
                        <c:v>-1.002</c:v>
                      </c:pt>
                      <c:pt idx="314" formatCode="General">
                        <c:v>-1.2110000000000001</c:v>
                      </c:pt>
                      <c:pt idx="315" formatCode="General">
                        <c:v>-1.2110000000000001</c:v>
                      </c:pt>
                      <c:pt idx="316" formatCode="General">
                        <c:v>-1.341</c:v>
                      </c:pt>
                      <c:pt idx="317" formatCode="General">
                        <c:v>-1.341</c:v>
                      </c:pt>
                      <c:pt idx="318" formatCode="General">
                        <c:v>-1.595</c:v>
                      </c:pt>
                      <c:pt idx="319" formatCode="General">
                        <c:v>-1.595</c:v>
                      </c:pt>
                      <c:pt idx="320" formatCode="General">
                        <c:v>-1.595</c:v>
                      </c:pt>
                      <c:pt idx="321" formatCode="General">
                        <c:v>-1.325</c:v>
                      </c:pt>
                      <c:pt idx="322" formatCode="General">
                        <c:v>-1.325</c:v>
                      </c:pt>
                      <c:pt idx="323" formatCode="General">
                        <c:v>-1.325</c:v>
                      </c:pt>
                      <c:pt idx="324" formatCode="General">
                        <c:v>-1.2989999999999999</c:v>
                      </c:pt>
                      <c:pt idx="325" formatCode="General">
                        <c:v>-1.2989999999999999</c:v>
                      </c:pt>
                      <c:pt idx="326" formatCode="General">
                        <c:v>-1.2809999999999999</c:v>
                      </c:pt>
                      <c:pt idx="327" formatCode="General">
                        <c:v>-1.2809999999999999</c:v>
                      </c:pt>
                      <c:pt idx="328" formatCode="General">
                        <c:v>-1.2809999999999999</c:v>
                      </c:pt>
                      <c:pt idx="329" formatCode="General">
                        <c:v>-1.1830000000000001</c:v>
                      </c:pt>
                      <c:pt idx="330" formatCode="General">
                        <c:v>-1.2509999999999999</c:v>
                      </c:pt>
                      <c:pt idx="331" formatCode="General">
                        <c:v>-1.2509999999999999</c:v>
                      </c:pt>
                      <c:pt idx="332" formatCode="General">
                        <c:v>-1.2509999999999999</c:v>
                      </c:pt>
                      <c:pt idx="333" formatCode="General">
                        <c:v>-1.3380000000000001</c:v>
                      </c:pt>
                      <c:pt idx="334" formatCode="General">
                        <c:v>-1.3440000000000001</c:v>
                      </c:pt>
                      <c:pt idx="335" formatCode="General">
                        <c:v>-1.3440000000000001</c:v>
                      </c:pt>
                      <c:pt idx="336" formatCode="General">
                        <c:v>-1.137</c:v>
                      </c:pt>
                      <c:pt idx="337" formatCode="General">
                        <c:v>-1.137</c:v>
                      </c:pt>
                      <c:pt idx="338" formatCode="General">
                        <c:v>-1.137</c:v>
                      </c:pt>
                      <c:pt idx="339" formatCode="General">
                        <c:v>-0.94399999999999995</c:v>
                      </c:pt>
                      <c:pt idx="340" formatCode="General">
                        <c:v>-0.94399999999999995</c:v>
                      </c:pt>
                      <c:pt idx="341" formatCode="General">
                        <c:v>-0.91700000000000004</c:v>
                      </c:pt>
                      <c:pt idx="342" formatCode="General">
                        <c:v>-0.96399999999999997</c:v>
                      </c:pt>
                      <c:pt idx="343" formatCode="General">
                        <c:v>-0.96399999999999997</c:v>
                      </c:pt>
                      <c:pt idx="344" formatCode="General">
                        <c:v>-0.96399999999999997</c:v>
                      </c:pt>
                      <c:pt idx="345" formatCode="General">
                        <c:v>-0.88100000000000001</c:v>
                      </c:pt>
                      <c:pt idx="346" formatCode="General">
                        <c:v>-0.88100000000000001</c:v>
                      </c:pt>
                      <c:pt idx="347" formatCode="General">
                        <c:v>-0.92700000000000005</c:v>
                      </c:pt>
                      <c:pt idx="348" formatCode="General">
                        <c:v>-0.92700000000000005</c:v>
                      </c:pt>
                      <c:pt idx="349" formatCode="General">
                        <c:v>-0.94499999999999995</c:v>
                      </c:pt>
                      <c:pt idx="350" formatCode="General">
                        <c:v>-0.94499999999999995</c:v>
                      </c:pt>
                      <c:pt idx="351" formatCode="General">
                        <c:v>-1.0289999999999999</c:v>
                      </c:pt>
                      <c:pt idx="352" formatCode="General">
                        <c:v>-1.0289999999999999</c:v>
                      </c:pt>
                      <c:pt idx="353" formatCode="General">
                        <c:v>-1.2310000000000001</c:v>
                      </c:pt>
                      <c:pt idx="354" formatCode="General">
                        <c:v>-1.3080000000000001</c:v>
                      </c:pt>
                      <c:pt idx="355" formatCode="General">
                        <c:v>-1.3080000000000001</c:v>
                      </c:pt>
                      <c:pt idx="356" formatCode="General">
                        <c:v>-1.3080000000000001</c:v>
                      </c:pt>
                      <c:pt idx="357" formatCode="General">
                        <c:v>-1.242</c:v>
                      </c:pt>
                      <c:pt idx="358" formatCode="General">
                        <c:v>-1.242</c:v>
                      </c:pt>
                      <c:pt idx="359" formatCode="General">
                        <c:v>-1.1859999999999999</c:v>
                      </c:pt>
                      <c:pt idx="360" formatCode="General">
                        <c:v>-1.1859999999999999</c:v>
                      </c:pt>
                      <c:pt idx="361" formatCode="General">
                        <c:v>-1.2929999999999999</c:v>
                      </c:pt>
                      <c:pt idx="362" formatCode="General">
                        <c:v>-1.2929999999999999</c:v>
                      </c:pt>
                      <c:pt idx="363" formatCode="General">
                        <c:v>-1.1319999999999999</c:v>
                      </c:pt>
                      <c:pt idx="364" formatCode="General">
                        <c:v>-1.1319999999999999</c:v>
                      </c:pt>
                      <c:pt idx="365" formatCode="General">
                        <c:v>-1.0229999999999999</c:v>
                      </c:pt>
                      <c:pt idx="366" formatCode="General">
                        <c:v>-1.0229999999999999</c:v>
                      </c:pt>
                      <c:pt idx="367" formatCode="General">
                        <c:v>-1.0409999999999999</c:v>
                      </c:pt>
                      <c:pt idx="368" formatCode="General">
                        <c:v>-1.0409999999999999</c:v>
                      </c:pt>
                      <c:pt idx="369" formatCode="General">
                        <c:v>-1.069</c:v>
                      </c:pt>
                      <c:pt idx="370" formatCode="General">
                        <c:v>-1.069</c:v>
                      </c:pt>
                      <c:pt idx="371" formatCode="General">
                        <c:v>-1.337</c:v>
                      </c:pt>
                      <c:pt idx="372" formatCode="General">
                        <c:v>-1.3640000000000001</c:v>
                      </c:pt>
                      <c:pt idx="373" formatCode="General">
                        <c:v>-1.3640000000000001</c:v>
                      </c:pt>
                      <c:pt idx="374" formatCode="General">
                        <c:v>-1.3640000000000001</c:v>
                      </c:pt>
                      <c:pt idx="375" formatCode="General">
                        <c:v>-1.375</c:v>
                      </c:pt>
                      <c:pt idx="376" formatCode="General">
                        <c:v>-1.375</c:v>
                      </c:pt>
                      <c:pt idx="377" formatCode="General">
                        <c:v>-1.43</c:v>
                      </c:pt>
                      <c:pt idx="378" formatCode="General">
                        <c:v>-1.43</c:v>
                      </c:pt>
                      <c:pt idx="379" formatCode="General">
                        <c:v>-1.4019999999999999</c:v>
                      </c:pt>
                      <c:pt idx="380" formatCode="General">
                        <c:v>-1.4019999999999999</c:v>
                      </c:pt>
                      <c:pt idx="381" formatCode="General">
                        <c:v>-1.2749999999999999</c:v>
                      </c:pt>
                      <c:pt idx="382" formatCode="General">
                        <c:v>-1.2749999999999999</c:v>
                      </c:pt>
                      <c:pt idx="383" formatCode="General">
                        <c:v>-1.3440000000000001</c:v>
                      </c:pt>
                      <c:pt idx="384" formatCode="General">
                        <c:v>-1.3440000000000001</c:v>
                      </c:pt>
                      <c:pt idx="385" formatCode="General">
                        <c:v>-1.244</c:v>
                      </c:pt>
                      <c:pt idx="386" formatCode="General">
                        <c:v>-1.244</c:v>
                      </c:pt>
                      <c:pt idx="387" formatCode="General">
                        <c:v>-1.2749999999999999</c:v>
                      </c:pt>
                      <c:pt idx="388" formatCode="General">
                        <c:v>-1.2749999999999999</c:v>
                      </c:pt>
                      <c:pt idx="389" formatCode="General">
                        <c:v>-1.4830000000000001</c:v>
                      </c:pt>
                      <c:pt idx="390" formatCode="General">
                        <c:v>-1.4830000000000001</c:v>
                      </c:pt>
                      <c:pt idx="391" formatCode="General">
                        <c:v>-1.377</c:v>
                      </c:pt>
                      <c:pt idx="392" formatCode="General">
                        <c:v>-1.377</c:v>
                      </c:pt>
                      <c:pt idx="393" formatCode="General">
                        <c:v>-1.1000000000000001</c:v>
                      </c:pt>
                      <c:pt idx="394" formatCode="General">
                        <c:v>-1.1000000000000001</c:v>
                      </c:pt>
                      <c:pt idx="395" formatCode="General">
                        <c:v>-1.044</c:v>
                      </c:pt>
                      <c:pt idx="396" formatCode="General">
                        <c:v>-1.044</c:v>
                      </c:pt>
                      <c:pt idx="397" formatCode="General">
                        <c:v>-1.236</c:v>
                      </c:pt>
                      <c:pt idx="398" formatCode="General">
                        <c:v>-1.236</c:v>
                      </c:pt>
                      <c:pt idx="399" formatCode="General">
                        <c:v>-1.325</c:v>
                      </c:pt>
                      <c:pt idx="400" formatCode="General">
                        <c:v>-1.325</c:v>
                      </c:pt>
                      <c:pt idx="401" formatCode="General">
                        <c:v>-1.381</c:v>
                      </c:pt>
                      <c:pt idx="402" formatCode="General">
                        <c:v>-1.381</c:v>
                      </c:pt>
                      <c:pt idx="403" formatCode="General">
                        <c:v>-1.357</c:v>
                      </c:pt>
                      <c:pt idx="404" formatCode="General">
                        <c:v>-1.357</c:v>
                      </c:pt>
                      <c:pt idx="405" formatCode="General">
                        <c:v>-1.3220000000000001</c:v>
                      </c:pt>
                      <c:pt idx="406" formatCode="General">
                        <c:v>-1.3220000000000001</c:v>
                      </c:pt>
                      <c:pt idx="407" formatCode="General">
                        <c:v>-1.39</c:v>
                      </c:pt>
                      <c:pt idx="408" formatCode="General">
                        <c:v>-1.39</c:v>
                      </c:pt>
                      <c:pt idx="409" formatCode="General">
                        <c:v>-1.2989999999999999</c:v>
                      </c:pt>
                      <c:pt idx="410" formatCode="General">
                        <c:v>-1.2989999999999999</c:v>
                      </c:pt>
                      <c:pt idx="411" formatCode="General">
                        <c:v>-1.4379999999999999</c:v>
                      </c:pt>
                      <c:pt idx="412" formatCode="General">
                        <c:v>-1.4379999999999999</c:v>
                      </c:pt>
                      <c:pt idx="413" formatCode="General">
                        <c:v>-1.504</c:v>
                      </c:pt>
                      <c:pt idx="414" formatCode="General">
                        <c:v>-1.504</c:v>
                      </c:pt>
                      <c:pt idx="415" formatCode="General">
                        <c:v>-1.5129999999999999</c:v>
                      </c:pt>
                      <c:pt idx="416" formatCode="General">
                        <c:v>-1.5129999999999999</c:v>
                      </c:pt>
                      <c:pt idx="417" formatCode="General">
                        <c:v>-1.5209999999999999</c:v>
                      </c:pt>
                      <c:pt idx="418" formatCode="General">
                        <c:v>-1.5209999999999999</c:v>
                      </c:pt>
                      <c:pt idx="419" formatCode="General">
                        <c:v>-1.5209999999999999</c:v>
                      </c:pt>
                      <c:pt idx="420" formatCode="General">
                        <c:v>-1.6759999999999999</c:v>
                      </c:pt>
                      <c:pt idx="421" formatCode="General">
                        <c:v>-1.6759999999999999</c:v>
                      </c:pt>
                      <c:pt idx="422" formatCode="General">
                        <c:v>-1.8879999999999999</c:v>
                      </c:pt>
                      <c:pt idx="423" formatCode="General">
                        <c:v>-1.8879999999999999</c:v>
                      </c:pt>
                      <c:pt idx="424" formatCode="General">
                        <c:v>-1.964</c:v>
                      </c:pt>
                      <c:pt idx="425" formatCode="General">
                        <c:v>-1.964</c:v>
                      </c:pt>
                      <c:pt idx="426" formatCode="General">
                        <c:v>-1.992</c:v>
                      </c:pt>
                      <c:pt idx="427" formatCode="General">
                        <c:v>-1.992</c:v>
                      </c:pt>
                      <c:pt idx="428" formatCode="General">
                        <c:v>-2.0830000000000002</c:v>
                      </c:pt>
                      <c:pt idx="429" formatCode="General">
                        <c:v>-2.0830000000000002</c:v>
                      </c:pt>
                      <c:pt idx="430" formatCode="General">
                        <c:v>-2.048</c:v>
                      </c:pt>
                      <c:pt idx="431" formatCode="General">
                        <c:v>-2.048</c:v>
                      </c:pt>
                      <c:pt idx="432" formatCode="General">
                        <c:v>-1.8320000000000001</c:v>
                      </c:pt>
                      <c:pt idx="433" formatCode="General">
                        <c:v>-1.8320000000000001</c:v>
                      </c:pt>
                      <c:pt idx="434" formatCode="General">
                        <c:v>-1.643</c:v>
                      </c:pt>
                      <c:pt idx="435" formatCode="General">
                        <c:v>-1.643</c:v>
                      </c:pt>
                      <c:pt idx="436" formatCode="General">
                        <c:v>-1.806</c:v>
                      </c:pt>
                      <c:pt idx="437" formatCode="General">
                        <c:v>-1.806</c:v>
                      </c:pt>
                      <c:pt idx="438" formatCode="General">
                        <c:v>-1.883</c:v>
                      </c:pt>
                      <c:pt idx="439" formatCode="General">
                        <c:v>-1.883</c:v>
                      </c:pt>
                      <c:pt idx="440" formatCode="General">
                        <c:v>-2.2269999999999999</c:v>
                      </c:pt>
                      <c:pt idx="441" formatCode="General">
                        <c:v>-2.2269999999999999</c:v>
                      </c:pt>
                      <c:pt idx="442" formatCode="General">
                        <c:v>-2.33</c:v>
                      </c:pt>
                      <c:pt idx="443" formatCode="General">
                        <c:v>-2.33</c:v>
                      </c:pt>
                      <c:pt idx="444" formatCode="General">
                        <c:v>-2.355</c:v>
                      </c:pt>
                      <c:pt idx="445" formatCode="General">
                        <c:v>-2.355</c:v>
                      </c:pt>
                      <c:pt idx="446" formatCode="General">
                        <c:v>-2.395</c:v>
                      </c:pt>
                      <c:pt idx="447" formatCode="General">
                        <c:v>-2.395</c:v>
                      </c:pt>
                      <c:pt idx="448" formatCode="General">
                        <c:v>-2.3730000000000002</c:v>
                      </c:pt>
                      <c:pt idx="449" formatCode="General">
                        <c:v>-2.3730000000000002</c:v>
                      </c:pt>
                      <c:pt idx="450" formatCode="General">
                        <c:v>-2.355</c:v>
                      </c:pt>
                      <c:pt idx="451" formatCode="General">
                        <c:v>-2.355</c:v>
                      </c:pt>
                      <c:pt idx="452" formatCode="General">
                        <c:v>-2.4700000000000002</c:v>
                      </c:pt>
                      <c:pt idx="453" formatCode="General">
                        <c:v>-2.4700000000000002</c:v>
                      </c:pt>
                      <c:pt idx="454" formatCode="General">
                        <c:v>-2.4129999999999998</c:v>
                      </c:pt>
                      <c:pt idx="455" formatCode="General">
                        <c:v>-2.4129999999999998</c:v>
                      </c:pt>
                      <c:pt idx="456" formatCode="General">
                        <c:v>-2.35</c:v>
                      </c:pt>
                      <c:pt idx="457" formatCode="General">
                        <c:v>-2.35</c:v>
                      </c:pt>
                      <c:pt idx="458" formatCode="General">
                        <c:v>-2.427</c:v>
                      </c:pt>
                      <c:pt idx="459" formatCode="General">
                        <c:v>-2.427</c:v>
                      </c:pt>
                      <c:pt idx="460" formatCode="General">
                        <c:v>-2.3769999999999998</c:v>
                      </c:pt>
                      <c:pt idx="461" formatCode="General">
                        <c:v>-2.3769999999999998</c:v>
                      </c:pt>
                      <c:pt idx="462" formatCode="General">
                        <c:v>-2.4710000000000001</c:v>
                      </c:pt>
                      <c:pt idx="463" formatCode="General">
                        <c:v>-2.4710000000000001</c:v>
                      </c:pt>
                      <c:pt idx="464" formatCode="General">
                        <c:v>-2.5259999999999998</c:v>
                      </c:pt>
                      <c:pt idx="465" formatCode="General">
                        <c:v>-2.5259999999999998</c:v>
                      </c:pt>
                      <c:pt idx="466" formatCode="General">
                        <c:v>-2.4950000000000001</c:v>
                      </c:pt>
                      <c:pt idx="467" formatCode="General">
                        <c:v>-2.4950000000000001</c:v>
                      </c:pt>
                      <c:pt idx="468" formatCode="General">
                        <c:v>-2.63</c:v>
                      </c:pt>
                      <c:pt idx="469" formatCode="General">
                        <c:v>-2.63</c:v>
                      </c:pt>
                      <c:pt idx="470" formatCode="General">
                        <c:v>-2.617</c:v>
                      </c:pt>
                      <c:pt idx="471" formatCode="General">
                        <c:v>-2.617</c:v>
                      </c:pt>
                      <c:pt idx="472" formatCode="General">
                        <c:v>-2.3650000000000002</c:v>
                      </c:pt>
                      <c:pt idx="473" formatCode="General">
                        <c:v>-2.3650000000000002</c:v>
                      </c:pt>
                      <c:pt idx="474" formatCode="General">
                        <c:v>-2.1779999999999999</c:v>
                      </c:pt>
                      <c:pt idx="475" formatCode="General">
                        <c:v>-2.1779999999999999</c:v>
                      </c:pt>
                      <c:pt idx="476" formatCode="General">
                        <c:v>-2.1669999999999998</c:v>
                      </c:pt>
                      <c:pt idx="477" formatCode="General">
                        <c:v>-2.1669999999999998</c:v>
                      </c:pt>
                      <c:pt idx="478" formatCode="General">
                        <c:v>-2.4620000000000002</c:v>
                      </c:pt>
                      <c:pt idx="479" formatCode="General">
                        <c:v>-2.4620000000000002</c:v>
                      </c:pt>
                      <c:pt idx="480" formatCode="General">
                        <c:v>-2.298</c:v>
                      </c:pt>
                      <c:pt idx="481" formatCode="General">
                        <c:v>-2.298</c:v>
                      </c:pt>
                      <c:pt idx="482" formatCode="General">
                        <c:v>-2.1379999999999999</c:v>
                      </c:pt>
                      <c:pt idx="483" formatCode="General">
                        <c:v>-2.1379999999999999</c:v>
                      </c:pt>
                      <c:pt idx="484" formatCode="General">
                        <c:v>-2.0750000000000002</c:v>
                      </c:pt>
                      <c:pt idx="485" formatCode="General">
                        <c:v>-2.0750000000000002</c:v>
                      </c:pt>
                      <c:pt idx="486" formatCode="General">
                        <c:v>-2.1379999999999999</c:v>
                      </c:pt>
                      <c:pt idx="487" formatCode="General">
                        <c:v>-2.1379999999999999</c:v>
                      </c:pt>
                      <c:pt idx="488" formatCode="General">
                        <c:v>-2.177</c:v>
                      </c:pt>
                      <c:pt idx="489" formatCode="General">
                        <c:v>-2.177</c:v>
                      </c:pt>
                      <c:pt idx="490" formatCode="General">
                        <c:v>-2.161</c:v>
                      </c:pt>
                      <c:pt idx="491" formatCode="General">
                        <c:v>-2.161</c:v>
                      </c:pt>
                      <c:pt idx="492" formatCode="General">
                        <c:v>-2.1819999999999999</c:v>
                      </c:pt>
                      <c:pt idx="493" formatCode="General">
                        <c:v>-2.1819999999999999</c:v>
                      </c:pt>
                      <c:pt idx="494" formatCode="General">
                        <c:v>-2.23</c:v>
                      </c:pt>
                      <c:pt idx="495" formatCode="General">
                        <c:v>-2.23</c:v>
                      </c:pt>
                      <c:pt idx="496" formatCode="General">
                        <c:v>-2.1789999999999998</c:v>
                      </c:pt>
                      <c:pt idx="497" formatCode="General">
                        <c:v>-2.1789999999999998</c:v>
                      </c:pt>
                      <c:pt idx="498" formatCode="General">
                        <c:v>-2.2919999999999998</c:v>
                      </c:pt>
                      <c:pt idx="499" formatCode="General">
                        <c:v>-2.2919999999999998</c:v>
                      </c:pt>
                      <c:pt idx="500" formatCode="General">
                        <c:v>-2.2570000000000001</c:v>
                      </c:pt>
                      <c:pt idx="501" formatCode="General">
                        <c:v>-2.2570000000000001</c:v>
                      </c:pt>
                      <c:pt idx="502" formatCode="General">
                        <c:v>-2.27</c:v>
                      </c:pt>
                      <c:pt idx="503" formatCode="General">
                        <c:v>-2.27</c:v>
                      </c:pt>
                      <c:pt idx="504" formatCode="General">
                        <c:v>-2.34</c:v>
                      </c:pt>
                      <c:pt idx="505" formatCode="General">
                        <c:v>-2.34</c:v>
                      </c:pt>
                      <c:pt idx="506" formatCode="General">
                        <c:v>-2.581</c:v>
                      </c:pt>
                      <c:pt idx="507" formatCode="General">
                        <c:v>-2.581</c:v>
                      </c:pt>
                      <c:pt idx="508" formatCode="General">
                        <c:v>-2.5049999999999999</c:v>
                      </c:pt>
                      <c:pt idx="509" formatCode="General">
                        <c:v>-2.5049999999999999</c:v>
                      </c:pt>
                      <c:pt idx="510" formatCode="General">
                        <c:v>-2.5539999999999998</c:v>
                      </c:pt>
                      <c:pt idx="511" formatCode="General">
                        <c:v>-2.5539999999999998</c:v>
                      </c:pt>
                      <c:pt idx="512" formatCode="General">
                        <c:v>-2.6</c:v>
                      </c:pt>
                      <c:pt idx="513" formatCode="General">
                        <c:v>-2.6</c:v>
                      </c:pt>
                      <c:pt idx="514" formatCode="General">
                        <c:v>-2.722</c:v>
                      </c:pt>
                      <c:pt idx="515" formatCode="General">
                        <c:v>-2.722</c:v>
                      </c:pt>
                      <c:pt idx="516" formatCode="General">
                        <c:v>-2.8260000000000001</c:v>
                      </c:pt>
                      <c:pt idx="517" formatCode="General">
                        <c:v>-2.8260000000000001</c:v>
                      </c:pt>
                      <c:pt idx="518" formatCode="General">
                        <c:v>-2.6560000000000001</c:v>
                      </c:pt>
                      <c:pt idx="519" formatCode="General">
                        <c:v>-2.6560000000000001</c:v>
                      </c:pt>
                      <c:pt idx="520" formatCode="General">
                        <c:v>-2.3380000000000001</c:v>
                      </c:pt>
                      <c:pt idx="521" formatCode="General">
                        <c:v>-2.3380000000000001</c:v>
                      </c:pt>
                      <c:pt idx="522" formatCode="General">
                        <c:v>-2.4700000000000002</c:v>
                      </c:pt>
                      <c:pt idx="523" formatCode="General">
                        <c:v>-2.4700000000000002</c:v>
                      </c:pt>
                      <c:pt idx="524" formatCode="General">
                        <c:v>-2.3439999999999999</c:v>
                      </c:pt>
                      <c:pt idx="525" formatCode="General">
                        <c:v>-2.3439999999999999</c:v>
                      </c:pt>
                      <c:pt idx="527" formatCode="General">
                        <c:v>-2.1520000000000001</c:v>
                      </c:pt>
                      <c:pt idx="528" formatCode="General">
                        <c:v>-2.1520000000000001</c:v>
                      </c:pt>
                      <c:pt idx="529" formatCode="General">
                        <c:v>-1.9570000000000001</c:v>
                      </c:pt>
                      <c:pt idx="530" formatCode="General">
                        <c:v>-1.9570000000000001</c:v>
                      </c:pt>
                      <c:pt idx="531" formatCode="General">
                        <c:v>-1.9570000000000001</c:v>
                      </c:pt>
                      <c:pt idx="532" formatCode="General">
                        <c:v>-1.7150000000000001</c:v>
                      </c:pt>
                      <c:pt idx="533" formatCode="General">
                        <c:v>-1.377</c:v>
                      </c:pt>
                      <c:pt idx="534" formatCode="General">
                        <c:v>-1.377</c:v>
                      </c:pt>
                      <c:pt idx="535" formatCode="General">
                        <c:v>-0.98599999999999999</c:v>
                      </c:pt>
                      <c:pt idx="536" formatCode="General">
                        <c:v>-0.98599999999999999</c:v>
                      </c:pt>
                      <c:pt idx="537" formatCode="General">
                        <c:v>-0.46100000000000002</c:v>
                      </c:pt>
                      <c:pt idx="538" formatCode="General">
                        <c:v>-0.46100000000000002</c:v>
                      </c:pt>
                      <c:pt idx="539" formatCode="General">
                        <c:v>-0.28199999999999997</c:v>
                      </c:pt>
                      <c:pt idx="540" formatCode="General">
                        <c:v>-0.28199999999999997</c:v>
                      </c:pt>
                      <c:pt idx="541" formatCode="General">
                        <c:v>-0.19700000000000001</c:v>
                      </c:pt>
                      <c:pt idx="542" formatCode="General">
                        <c:v>-0.19700000000000001</c:v>
                      </c:pt>
                      <c:pt idx="543" formatCode="General">
                        <c:v>-0.19700000000000001</c:v>
                      </c:pt>
                      <c:pt idx="544" formatCode="General">
                        <c:v>-0.27900000000000003</c:v>
                      </c:pt>
                      <c:pt idx="545" formatCode="General">
                        <c:v>-5.3999999999999999E-2</c:v>
                      </c:pt>
                      <c:pt idx="546" formatCode="General">
                        <c:v>-5.3999999999999999E-2</c:v>
                      </c:pt>
                      <c:pt idx="547" formatCode="General">
                        <c:v>-8.4000000000000005E-2</c:v>
                      </c:pt>
                      <c:pt idx="548" formatCode="General">
                        <c:v>-8.4000000000000005E-2</c:v>
                      </c:pt>
                      <c:pt idx="549" formatCode="General">
                        <c:v>-8.4000000000000005E-2</c:v>
                      </c:pt>
                      <c:pt idx="550" formatCode="General">
                        <c:v>-2.8000000000000001E-2</c:v>
                      </c:pt>
                      <c:pt idx="551" formatCode="General">
                        <c:v>8.1000000000000003E-2</c:v>
                      </c:pt>
                      <c:pt idx="552" formatCode="General">
                        <c:v>8.1000000000000003E-2</c:v>
                      </c:pt>
                      <c:pt idx="553" formatCode="General">
                        <c:v>-0.10199999999999999</c:v>
                      </c:pt>
                      <c:pt idx="554" formatCode="General">
                        <c:v>-0.10199999999999999</c:v>
                      </c:pt>
                      <c:pt idx="555" formatCode="General">
                        <c:v>-0.10199999999999999</c:v>
                      </c:pt>
                      <c:pt idx="556" formatCode="General">
                        <c:v>-0.66600000000000004</c:v>
                      </c:pt>
                      <c:pt idx="557" formatCode="General">
                        <c:v>-0.66600000000000004</c:v>
                      </c:pt>
                      <c:pt idx="558" formatCode="General">
                        <c:v>-0.73699999999999999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81F2-428B-AA39-8D70889B485A}"/>
                  </c:ext>
                </c:extLst>
              </c15:ser>
            </c15:filteredScatterSeries>
          </c:ext>
        </c:extLst>
      </c:scatterChart>
      <c:valAx>
        <c:axId val="809104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69760"/>
        <c:crosses val="autoZero"/>
        <c:crossBetween val="midCat"/>
      </c:valAx>
      <c:valAx>
        <c:axId val="46166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104904"/>
        <c:crosses val="autoZero"/>
        <c:crossBetween val="midCat"/>
      </c:valAx>
      <c:valAx>
        <c:axId val="813951968"/>
        <c:scaling>
          <c:orientation val="minMax"/>
          <c:min val="-2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52688"/>
        <c:crosses val="max"/>
        <c:crossBetween val="midCat"/>
      </c:valAx>
      <c:valAx>
        <c:axId val="813952688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813951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'Maju 0.05'!$AJ$6</c:f>
              <c:strCache>
                <c:ptCount val="1"/>
                <c:pt idx="0">
                  <c:v>Ouput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0.05'!$AF$7:$AF$281</c:f>
              <c:numCache>
                <c:formatCode>0.000</c:formatCode>
                <c:ptCount val="275"/>
                <c:pt idx="0">
                  <c:v>0</c:v>
                </c:pt>
                <c:pt idx="1">
                  <c:v>4.6469800000068062E-2</c:v>
                </c:pt>
                <c:pt idx="2">
                  <c:v>7.7852299999904062E-2</c:v>
                </c:pt>
                <c:pt idx="3">
                  <c:v>9.4231900000067981E-2</c:v>
                </c:pt>
                <c:pt idx="4">
                  <c:v>0.14150169999993523</c:v>
                </c:pt>
                <c:pt idx="5">
                  <c:v>0.17293789999985165</c:v>
                </c:pt>
                <c:pt idx="6">
                  <c:v>0.18861689999994269</c:v>
                </c:pt>
                <c:pt idx="7">
                  <c:v>0.21978579999995418</c:v>
                </c:pt>
                <c:pt idx="8">
                  <c:v>0.25131430000010369</c:v>
                </c:pt>
                <c:pt idx="9">
                  <c:v>0.29707890000008774</c:v>
                </c:pt>
                <c:pt idx="10">
                  <c:v>0.32772759999988921</c:v>
                </c:pt>
                <c:pt idx="11">
                  <c:v>0.35926770000014585</c:v>
                </c:pt>
                <c:pt idx="12">
                  <c:v>0.39053250000006301</c:v>
                </c:pt>
                <c:pt idx="13">
                  <c:v>0.42212909999989279</c:v>
                </c:pt>
                <c:pt idx="14">
                  <c:v>0.45332139999982246</c:v>
                </c:pt>
                <c:pt idx="15">
                  <c:v>0.50003530000003593</c:v>
                </c:pt>
                <c:pt idx="16">
                  <c:v>0.52990460000000894</c:v>
                </c:pt>
                <c:pt idx="17">
                  <c:v>0.56111069999997198</c:v>
                </c:pt>
                <c:pt idx="18">
                  <c:v>0.59210650000022724</c:v>
                </c:pt>
                <c:pt idx="19">
                  <c:v>0.62388689999988856</c:v>
                </c:pt>
                <c:pt idx="20">
                  <c:v>0.65538250000008702</c:v>
                </c:pt>
                <c:pt idx="21">
                  <c:v>0.70138069999984509</c:v>
                </c:pt>
                <c:pt idx="22">
                  <c:v>0.73292600000013408</c:v>
                </c:pt>
                <c:pt idx="23">
                  <c:v>0.74824519999992845</c:v>
                </c:pt>
                <c:pt idx="24">
                  <c:v>0.79398609999998371</c:v>
                </c:pt>
                <c:pt idx="25">
                  <c:v>0.80959780000011961</c:v>
                </c:pt>
                <c:pt idx="26">
                  <c:v>0.84044600000015635</c:v>
                </c:pt>
                <c:pt idx="27">
                  <c:v>0.87168070000006992</c:v>
                </c:pt>
                <c:pt idx="28">
                  <c:v>0.9190481999999065</c:v>
                </c:pt>
                <c:pt idx="29">
                  <c:v>0.95023020000007818</c:v>
                </c:pt>
                <c:pt idx="30">
                  <c:v>0.98096369999984745</c:v>
                </c:pt>
                <c:pt idx="31">
                  <c:v>1.0274758000000475</c:v>
                </c:pt>
                <c:pt idx="32">
                  <c:v>1.0433778000001439</c:v>
                </c:pt>
                <c:pt idx="33">
                  <c:v>1.0741189000000304</c:v>
                </c:pt>
                <c:pt idx="34">
                  <c:v>1.1050556000000142</c:v>
                </c:pt>
                <c:pt idx="35">
                  <c:v>1.1504346000001533</c:v>
                </c:pt>
                <c:pt idx="36">
                  <c:v>1.1817449999998644</c:v>
                </c:pt>
                <c:pt idx="37">
                  <c:v>1.2133214999998927</c:v>
                </c:pt>
                <c:pt idx="38">
                  <c:v>1.2439577999998619</c:v>
                </c:pt>
                <c:pt idx="39">
                  <c:v>1.2752057000002424</c:v>
                </c:pt>
                <c:pt idx="40">
                  <c:v>1.307228799999848</c:v>
                </c:pt>
                <c:pt idx="41">
                  <c:v>1.3539307000000917</c:v>
                </c:pt>
                <c:pt idx="42">
                  <c:v>1.369579000000158</c:v>
                </c:pt>
                <c:pt idx="43">
                  <c:v>1.4005013999999392</c:v>
                </c:pt>
                <c:pt idx="44">
                  <c:v>1.4480591000001368</c:v>
                </c:pt>
                <c:pt idx="45">
                  <c:v>1.4633317000002535</c:v>
                </c:pt>
                <c:pt idx="46">
                  <c:v>1.5099764000001414</c:v>
                </c:pt>
                <c:pt idx="47">
                  <c:v>1.5410950000000412</c:v>
                </c:pt>
                <c:pt idx="48">
                  <c:v>1.5728069000001597</c:v>
                </c:pt>
                <c:pt idx="49">
                  <c:v>1.6049176999999872</c:v>
                </c:pt>
                <c:pt idx="50">
                  <c:v>1.6359381000002031</c:v>
                </c:pt>
                <c:pt idx="51">
                  <c:v>1.666913200000181</c:v>
                </c:pt>
                <c:pt idx="52">
                  <c:v>1.6978994999999486</c:v>
                </c:pt>
                <c:pt idx="53">
                  <c:v>1.7454100999998445</c:v>
                </c:pt>
                <c:pt idx="54">
                  <c:v>1.7615832000001319</c:v>
                </c:pt>
                <c:pt idx="55">
                  <c:v>1.7935683999999128</c:v>
                </c:pt>
                <c:pt idx="56">
                  <c:v>1.824997600000188</c:v>
                </c:pt>
                <c:pt idx="57">
                  <c:v>1.8568582000002607</c:v>
                </c:pt>
                <c:pt idx="58">
                  <c:v>1.888017199999922</c:v>
                </c:pt>
                <c:pt idx="59">
                  <c:v>1.9337639000000308</c:v>
                </c:pt>
                <c:pt idx="60">
                  <c:v>1.9651656000000912</c:v>
                </c:pt>
                <c:pt idx="61">
                  <c:v>1.9969618000000082</c:v>
                </c:pt>
                <c:pt idx="62">
                  <c:v>2.027914900000269</c:v>
                </c:pt>
                <c:pt idx="63">
                  <c:v>2.0590366000001268</c:v>
                </c:pt>
                <c:pt idx="64">
                  <c:v>2.0897423000001254</c:v>
                </c:pt>
                <c:pt idx="65">
                  <c:v>2.121407900000122</c:v>
                </c:pt>
                <c:pt idx="66">
                  <c:v>2.1681177999998908</c:v>
                </c:pt>
                <c:pt idx="67">
                  <c:v>2.1839257000001453</c:v>
                </c:pt>
                <c:pt idx="68">
                  <c:v>2.215086600000177</c:v>
                </c:pt>
                <c:pt idx="69">
                  <c:v>2.245915800000148</c:v>
                </c:pt>
                <c:pt idx="70">
                  <c:v>2.2767589000000044</c:v>
                </c:pt>
                <c:pt idx="71">
                  <c:v>2.3554048999999395</c:v>
                </c:pt>
                <c:pt idx="72">
                  <c:v>2.3712682000000314</c:v>
                </c:pt>
                <c:pt idx="73">
                  <c:v>2.3861381000001529</c:v>
                </c:pt>
                <c:pt idx="74">
                  <c:v>2.4169950999998946</c:v>
                </c:pt>
                <c:pt idx="75">
                  <c:v>2.4483733000001848</c:v>
                </c:pt>
                <c:pt idx="76">
                  <c:v>2.4946175000000039</c:v>
                </c:pt>
                <c:pt idx="77">
                  <c:v>2.5103517000002284</c:v>
                </c:pt>
                <c:pt idx="78">
                  <c:v>2.5412317999998777</c:v>
                </c:pt>
                <c:pt idx="79">
                  <c:v>2.5879121000002669</c:v>
                </c:pt>
                <c:pt idx="80">
                  <c:v>2.6191321999999673</c:v>
                </c:pt>
                <c:pt idx="81">
                  <c:v>2.6509202000002006</c:v>
                </c:pt>
                <c:pt idx="82">
                  <c:v>2.681750600000214</c:v>
                </c:pt>
                <c:pt idx="83">
                  <c:v>2.6971093000001929</c:v>
                </c:pt>
                <c:pt idx="84">
                  <c:v>2.7429284999998345</c:v>
                </c:pt>
                <c:pt idx="85">
                  <c:v>2.7741995999999745</c:v>
                </c:pt>
                <c:pt idx="86">
                  <c:v>2.8046932000002016</c:v>
                </c:pt>
                <c:pt idx="87">
                  <c:v>2.8356305000002067</c:v>
                </c:pt>
                <c:pt idx="88">
                  <c:v>2.8662721000000602</c:v>
                </c:pt>
                <c:pt idx="89">
                  <c:v>2.8966549000001578</c:v>
                </c:pt>
                <c:pt idx="90">
                  <c:v>2.927453400000104</c:v>
                </c:pt>
                <c:pt idx="91">
                  <c:v>2.9737550999998348</c:v>
                </c:pt>
                <c:pt idx="92">
                  <c:v>3.0047061000000213</c:v>
                </c:pt>
                <c:pt idx="93">
                  <c:v>3.034881999999925</c:v>
                </c:pt>
                <c:pt idx="94">
                  <c:v>3.0657074999999168</c:v>
                </c:pt>
                <c:pt idx="95">
                  <c:v>3.0963956999999027</c:v>
                </c:pt>
                <c:pt idx="96">
                  <c:v>3.1267480000001342</c:v>
                </c:pt>
                <c:pt idx="97">
                  <c:v>3.1583092000000761</c:v>
                </c:pt>
                <c:pt idx="98">
                  <c:v>3.1900107000001299</c:v>
                </c:pt>
                <c:pt idx="99">
                  <c:v>3.2355640000000676</c:v>
                </c:pt>
                <c:pt idx="100">
                  <c:v>3.2667058000001816</c:v>
                </c:pt>
                <c:pt idx="101">
                  <c:v>3.2979309000002104</c:v>
                </c:pt>
                <c:pt idx="102">
                  <c:v>3.3143915000000561</c:v>
                </c:pt>
                <c:pt idx="103">
                  <c:v>3.3594730999998319</c:v>
                </c:pt>
                <c:pt idx="104">
                  <c:v>3.4063584000000446</c:v>
                </c:pt>
                <c:pt idx="105">
                  <c:v>3.4222961000000396</c:v>
                </c:pt>
                <c:pt idx="106">
                  <c:v>3.4523109000001568</c:v>
                </c:pt>
                <c:pt idx="107">
                  <c:v>3.4835891000002448</c:v>
                </c:pt>
                <c:pt idx="108">
                  <c:v>3.5146688999998332</c:v>
                </c:pt>
                <c:pt idx="109">
                  <c:v>3.5613435000000209</c:v>
                </c:pt>
                <c:pt idx="110">
                  <c:v>3.5765463000002455</c:v>
                </c:pt>
                <c:pt idx="111">
                  <c:v>3.6385973000001286</c:v>
                </c:pt>
                <c:pt idx="112">
                  <c:v>3.6546696999998858</c:v>
                </c:pt>
                <c:pt idx="113">
                  <c:v>3.6853205000002163</c:v>
                </c:pt>
                <c:pt idx="114">
                  <c:v>3.7154801000001498</c:v>
                </c:pt>
                <c:pt idx="115">
                  <c:v>3.7463053999999829</c:v>
                </c:pt>
                <c:pt idx="116">
                  <c:v>3.7765804000000571</c:v>
                </c:pt>
                <c:pt idx="117">
                  <c:v>3.8235494000000472</c:v>
                </c:pt>
                <c:pt idx="118">
                  <c:v>3.855959200000143</c:v>
                </c:pt>
                <c:pt idx="119">
                  <c:v>3.8874160000000302</c:v>
                </c:pt>
                <c:pt idx="120">
                  <c:v>3.9188499000001684</c:v>
                </c:pt>
                <c:pt idx="121">
                  <c:v>3.9656927999999425</c:v>
                </c:pt>
                <c:pt idx="122">
                  <c:v>3.9969046000001072</c:v>
                </c:pt>
                <c:pt idx="123">
                  <c:v>4.0130294999999023</c:v>
                </c:pt>
                <c:pt idx="124">
                  <c:v>4.0450654999999642</c:v>
                </c:pt>
                <c:pt idx="125">
                  <c:v>4.0759108000002016</c:v>
                </c:pt>
                <c:pt idx="126">
                  <c:v>4.1069501000001765</c:v>
                </c:pt>
                <c:pt idx="127">
                  <c:v>4.138668300000063</c:v>
                </c:pt>
                <c:pt idx="128">
                  <c:v>4.1692874999998821</c:v>
                </c:pt>
                <c:pt idx="129">
                  <c:v>4.2156368000000839</c:v>
                </c:pt>
                <c:pt idx="130">
                  <c:v>4.2469062999998641</c:v>
                </c:pt>
                <c:pt idx="131">
                  <c:v>4.2777743999999984</c:v>
                </c:pt>
                <c:pt idx="132">
                  <c:v>4.3090989000002082</c:v>
                </c:pt>
                <c:pt idx="133">
                  <c:v>4.3403845000002548</c:v>
                </c:pt>
                <c:pt idx="134">
                  <c:v>4.3710399999999936</c:v>
                </c:pt>
                <c:pt idx="135">
                  <c:v>4.4171341000001121</c:v>
                </c:pt>
                <c:pt idx="136">
                  <c:v>4.4476101000000199</c:v>
                </c:pt>
                <c:pt idx="137">
                  <c:v>4.4793479999998453</c:v>
                </c:pt>
                <c:pt idx="138">
                  <c:v>4.5098818999999821</c:v>
                </c:pt>
                <c:pt idx="139">
                  <c:v>4.5256804000000557</c:v>
                </c:pt>
                <c:pt idx="140">
                  <c:v>4.5578450000002704</c:v>
                </c:pt>
                <c:pt idx="141">
                  <c:v>4.5895076000001609</c:v>
                </c:pt>
                <c:pt idx="142">
                  <c:v>4.6351328999999168</c:v>
                </c:pt>
                <c:pt idx="143">
                  <c:v>4.6667075000000295</c:v>
                </c:pt>
                <c:pt idx="144">
                  <c:v>4.6973170000001119</c:v>
                </c:pt>
                <c:pt idx="145">
                  <c:v>4.7279305000001841</c:v>
                </c:pt>
                <c:pt idx="146">
                  <c:v>4.7597414000001663</c:v>
                </c:pt>
                <c:pt idx="147">
                  <c:v>4.7908545000000231</c:v>
                </c:pt>
                <c:pt idx="148">
                  <c:v>4.8372150000000147</c:v>
                </c:pt>
                <c:pt idx="149">
                  <c:v>4.8688990000000558</c:v>
                </c:pt>
                <c:pt idx="150">
                  <c:v>4.9000504000000547</c:v>
                </c:pt>
                <c:pt idx="151">
                  <c:v>4.9310412999998334</c:v>
                </c:pt>
                <c:pt idx="152">
                  <c:v>4.9627012999999351</c:v>
                </c:pt>
                <c:pt idx="153">
                  <c:v>4.9933851000000686</c:v>
                </c:pt>
                <c:pt idx="154">
                  <c:v>5.0244375000002037</c:v>
                </c:pt>
                <c:pt idx="155">
                  <c:v>5.0564386999999442</c:v>
                </c:pt>
                <c:pt idx="156">
                  <c:v>5.087730300000203</c:v>
                </c:pt>
                <c:pt idx="157">
                  <c:v>5.1190780000001723</c:v>
                </c:pt>
                <c:pt idx="158">
                  <c:v>5.1503078999999161</c:v>
                </c:pt>
                <c:pt idx="159">
                  <c:v>5.1808774000000994</c:v>
                </c:pt>
                <c:pt idx="160">
                  <c:v>5.2269455999999082</c:v>
                </c:pt>
                <c:pt idx="161">
                  <c:v>5.2424138999999741</c:v>
                </c:pt>
                <c:pt idx="162">
                  <c:v>5.2880860999998731</c:v>
                </c:pt>
                <c:pt idx="163">
                  <c:v>5.3192776999999296</c:v>
                </c:pt>
                <c:pt idx="164">
                  <c:v>5.3503872000001138</c:v>
                </c:pt>
                <c:pt idx="165">
                  <c:v>5.381358900000123</c:v>
                </c:pt>
                <c:pt idx="166">
                  <c:v>5.4274018999999498</c:v>
                </c:pt>
                <c:pt idx="167">
                  <c:v>5.5048436000001857</c:v>
                </c:pt>
                <c:pt idx="168">
                  <c:v>5.5210603000000447</c:v>
                </c:pt>
                <c:pt idx="169">
                  <c:v>5.5527351000000635</c:v>
                </c:pt>
                <c:pt idx="170">
                  <c:v>5.5682078999998339</c:v>
                </c:pt>
                <c:pt idx="171">
                  <c:v>5.5995965000001888</c:v>
                </c:pt>
                <c:pt idx="172">
                  <c:v>5.6303763999999319</c:v>
                </c:pt>
                <c:pt idx="173">
                  <c:v>5.6762059000002409</c:v>
                </c:pt>
                <c:pt idx="174">
                  <c:v>5.7069228999998813</c:v>
                </c:pt>
                <c:pt idx="175">
                  <c:v>5.7384043000001839</c:v>
                </c:pt>
                <c:pt idx="176">
                  <c:v>5.7701198999998269</c:v>
                </c:pt>
                <c:pt idx="177">
                  <c:v>5.8006375999998454</c:v>
                </c:pt>
                <c:pt idx="178">
                  <c:v>5.8310596999999689</c:v>
                </c:pt>
                <c:pt idx="179">
                  <c:v>5.8535784000000604</c:v>
                </c:pt>
                <c:pt idx="180">
                  <c:v>5.9091207999999824</c:v>
                </c:pt>
                <c:pt idx="181">
                  <c:v>5.9387451000002329</c:v>
                </c:pt>
                <c:pt idx="182">
                  <c:v>5.9700742999998511</c:v>
                </c:pt>
                <c:pt idx="183">
                  <c:v>6.0011484000001474</c:v>
                </c:pt>
                <c:pt idx="184">
                  <c:v>6.0319017000001622</c:v>
                </c:pt>
                <c:pt idx="185">
                  <c:v>6.06295050000017</c:v>
                </c:pt>
                <c:pt idx="186">
                  <c:v>6.0940009000000828</c:v>
                </c:pt>
                <c:pt idx="187">
                  <c:v>6.140916500000003</c:v>
                </c:pt>
                <c:pt idx="188">
                  <c:v>6.1722528000000239</c:v>
                </c:pt>
                <c:pt idx="189">
                  <c:v>6.1876345000000583</c:v>
                </c:pt>
                <c:pt idx="190">
                  <c:v>6.2347376000002441</c:v>
                </c:pt>
                <c:pt idx="191">
                  <c:v>6.2657075000001896</c:v>
                </c:pt>
                <c:pt idx="192">
                  <c:v>6.29658900000004</c:v>
                </c:pt>
                <c:pt idx="193">
                  <c:v>6.3283738999998604</c:v>
                </c:pt>
                <c:pt idx="194">
                  <c:v>6.3601717999999892</c:v>
                </c:pt>
                <c:pt idx="195">
                  <c:v>6.3914264999998522</c:v>
                </c:pt>
                <c:pt idx="196">
                  <c:v>6.4378710000000865</c:v>
                </c:pt>
                <c:pt idx="197">
                  <c:v>6.4687715000000026</c:v>
                </c:pt>
                <c:pt idx="198">
                  <c:v>6.4993058999998539</c:v>
                </c:pt>
                <c:pt idx="199">
                  <c:v>6.5302740000001904</c:v>
                </c:pt>
                <c:pt idx="200">
                  <c:v>6.5614295999998831</c:v>
                </c:pt>
                <c:pt idx="201">
                  <c:v>6.5920375999999123</c:v>
                </c:pt>
              </c:numCache>
            </c:numRef>
          </c:xVal>
          <c:yVal>
            <c:numRef>
              <c:f>'Maju 0.05'!$AJ$7:$AJ$281</c:f>
              <c:numCache>
                <c:formatCode>0.000</c:formatCode>
                <c:ptCount val="275"/>
                <c:pt idx="0">
                  <c:v>5.9798057142856997</c:v>
                </c:pt>
                <c:pt idx="1">
                  <c:v>5.6297999999999995</c:v>
                </c:pt>
                <c:pt idx="2">
                  <c:v>5.1297599999999974</c:v>
                </c:pt>
                <c:pt idx="3">
                  <c:v>4.6087600000000002</c:v>
                </c:pt>
                <c:pt idx="4">
                  <c:v>4.0667999999999971</c:v>
                </c:pt>
                <c:pt idx="5">
                  <c:v>3.6604799999999997</c:v>
                </c:pt>
                <c:pt idx="6">
                  <c:v>3.2332000000000001</c:v>
                </c:pt>
                <c:pt idx="7">
                  <c:v>2.7849599999999981</c:v>
                </c:pt>
                <c:pt idx="8">
                  <c:v>2.3105199999999968</c:v>
                </c:pt>
                <c:pt idx="9">
                  <c:v>1.8203599999999973</c:v>
                </c:pt>
                <c:pt idx="10">
                  <c:v>1.3092399999999991</c:v>
                </c:pt>
                <c:pt idx="11">
                  <c:v>0.78763999999999967</c:v>
                </c:pt>
                <c:pt idx="12">
                  <c:v>0.24507999999999797</c:v>
                </c:pt>
                <c:pt idx="13">
                  <c:v>0</c:v>
                </c:pt>
                <c:pt idx="14">
                  <c:v>0.20375999999999905</c:v>
                </c:pt>
                <c:pt idx="15">
                  <c:v>0.37607999999999819</c:v>
                </c:pt>
                <c:pt idx="16">
                  <c:v>0.51695999999999742</c:v>
                </c:pt>
                <c:pt idx="17">
                  <c:v>0.63163999999999731</c:v>
                </c:pt>
                <c:pt idx="18">
                  <c:v>0.72535999999999845</c:v>
                </c:pt>
                <c:pt idx="19">
                  <c:v>0.79811999999999728</c:v>
                </c:pt>
                <c:pt idx="20">
                  <c:v>0.8603999999999985</c:v>
                </c:pt>
                <c:pt idx="21">
                  <c:v>0.92267999999999972</c:v>
                </c:pt>
                <c:pt idx="22">
                  <c:v>1.0998399999999968</c:v>
                </c:pt>
                <c:pt idx="23">
                  <c:v>1.2769999999999975</c:v>
                </c:pt>
                <c:pt idx="24">
                  <c:v>1.351285714285698</c:v>
                </c:pt>
                <c:pt idx="25">
                  <c:v>1.4412914285714002</c:v>
                </c:pt>
                <c:pt idx="26">
                  <c:v>1.4203314285713979</c:v>
                </c:pt>
                <c:pt idx="27">
                  <c:v>1.4308114285713991</c:v>
                </c:pt>
                <c:pt idx="28">
                  <c:v>1.4727314285714002</c:v>
                </c:pt>
                <c:pt idx="29">
                  <c:v>1.540851428571397</c:v>
                </c:pt>
                <c:pt idx="30">
                  <c:v>1.4733314285713988</c:v>
                </c:pt>
                <c:pt idx="31">
                  <c:v>1.4267714285713993</c:v>
                </c:pt>
                <c:pt idx="32">
                  <c:v>1.2930571428571973</c:v>
                </c:pt>
                <c:pt idx="33">
                  <c:v>1.169822857142897</c:v>
                </c:pt>
                <c:pt idx="34">
                  <c:v>1.1756628571428998</c:v>
                </c:pt>
                <c:pt idx="35">
                  <c:v>1.1762628571428984</c:v>
                </c:pt>
                <c:pt idx="36">
                  <c:v>1.1559028571428982</c:v>
                </c:pt>
                <c:pt idx="37">
                  <c:v>1.1198228571428999</c:v>
                </c:pt>
                <c:pt idx="38">
                  <c:v>1.0575428571428986</c:v>
                </c:pt>
                <c:pt idx="39">
                  <c:v>0.97954285714289924</c:v>
                </c:pt>
                <c:pt idx="40">
                  <c:v>0.89106285714289868</c:v>
                </c:pt>
                <c:pt idx="41">
                  <c:v>0.79734285714289754</c:v>
                </c:pt>
                <c:pt idx="42">
                  <c:v>0.69314285714289881</c:v>
                </c:pt>
                <c:pt idx="43">
                  <c:v>0.57322285714289833</c:v>
                </c:pt>
                <c:pt idx="44">
                  <c:v>0.44806285714289729</c:v>
                </c:pt>
                <c:pt idx="45">
                  <c:v>0.30718285714289806</c:v>
                </c:pt>
                <c:pt idx="46">
                  <c:v>0.1401028571428995</c:v>
                </c:pt>
                <c:pt idx="47">
                  <c:v>0.23654285714289713</c:v>
                </c:pt>
                <c:pt idx="48">
                  <c:v>0.31202285714289957</c:v>
                </c:pt>
                <c:pt idx="49">
                  <c:v>0.36130285714289911</c:v>
                </c:pt>
                <c:pt idx="50">
                  <c:v>0.78898285714289784</c:v>
                </c:pt>
                <c:pt idx="51">
                  <c:v>1.3381085714285987</c:v>
                </c:pt>
                <c:pt idx="52">
                  <c:v>1.9901085714285998</c:v>
                </c:pt>
                <c:pt idx="53">
                  <c:v>2.6263885714285991</c:v>
                </c:pt>
                <c:pt idx="54">
                  <c:v>3.2417085714285996</c:v>
                </c:pt>
                <c:pt idx="55">
                  <c:v>3.8360685714285978</c:v>
                </c:pt>
                <c:pt idx="56">
                  <c:v>4.4042285714286002</c:v>
                </c:pt>
                <c:pt idx="57">
                  <c:v>5.0385828571428988</c:v>
                </c:pt>
                <c:pt idx="58">
                  <c:v>5.6362571428571009</c:v>
                </c:pt>
                <c:pt idx="59">
                  <c:v>6.0681771428571984</c:v>
                </c:pt>
                <c:pt idx="60">
                  <c:v>6.4634171428571001</c:v>
                </c:pt>
                <c:pt idx="61">
                  <c:v>6.8219771428571967</c:v>
                </c:pt>
                <c:pt idx="62">
                  <c:v>7.5432171428570989</c:v>
                </c:pt>
                <c:pt idx="63">
                  <c:v>8.4757771428571012</c:v>
                </c:pt>
                <c:pt idx="64">
                  <c:v>9.5230171428571957</c:v>
                </c:pt>
                <c:pt idx="65">
                  <c:v>10.694091428571401</c:v>
                </c:pt>
                <c:pt idx="66">
                  <c:v>11.828485714285701</c:v>
                </c:pt>
                <c:pt idx="67">
                  <c:v>12.957640000000001</c:v>
                </c:pt>
                <c:pt idx="68">
                  <c:v>14.081554285714301</c:v>
                </c:pt>
                <c:pt idx="69">
                  <c:v>15.092114285714299</c:v>
                </c:pt>
                <c:pt idx="70">
                  <c:v>16.107914285714298</c:v>
                </c:pt>
                <c:pt idx="71">
                  <c:v>17.123714285714296</c:v>
                </c:pt>
                <c:pt idx="72">
                  <c:v>17.7349142857143</c:v>
                </c:pt>
                <c:pt idx="73">
                  <c:v>18.346114285714297</c:v>
                </c:pt>
                <c:pt idx="74">
                  <c:v>18.967794285714302</c:v>
                </c:pt>
                <c:pt idx="75">
                  <c:v>19.195354285714298</c:v>
                </c:pt>
                <c:pt idx="76">
                  <c:v>19.422914285714295</c:v>
                </c:pt>
                <c:pt idx="77">
                  <c:v>19.650474285714299</c:v>
                </c:pt>
                <c:pt idx="78">
                  <c:v>19.867554285714295</c:v>
                </c:pt>
                <c:pt idx="79">
                  <c:v>19.966039999999996</c:v>
                </c:pt>
                <c:pt idx="80">
                  <c:v>20.172639999999998</c:v>
                </c:pt>
                <c:pt idx="81">
                  <c:v>20.363519999999998</c:v>
                </c:pt>
                <c:pt idx="82">
                  <c:v>20.711000000000002</c:v>
                </c:pt>
                <c:pt idx="83">
                  <c:v>21.290759999999995</c:v>
                </c:pt>
                <c:pt idx="84">
                  <c:v>22.248920000000002</c:v>
                </c:pt>
                <c:pt idx="85">
                  <c:v>23.222799999999996</c:v>
                </c:pt>
                <c:pt idx="86">
                  <c:v>24.196679999999997</c:v>
                </c:pt>
                <c:pt idx="87">
                  <c:v>24.771199999999997</c:v>
                </c:pt>
                <c:pt idx="88">
                  <c:v>25.102959999999999</c:v>
                </c:pt>
                <c:pt idx="89">
                  <c:v>25.283359999999998</c:v>
                </c:pt>
                <c:pt idx="90">
                  <c:v>25.313725714285699</c:v>
                </c:pt>
                <c:pt idx="91">
                  <c:v>25.3493314285714</c:v>
                </c:pt>
                <c:pt idx="92">
                  <c:v>25.995617142857196</c:v>
                </c:pt>
                <c:pt idx="93">
                  <c:v>26.782782857142902</c:v>
                </c:pt>
                <c:pt idx="94">
                  <c:v>27.646622857142898</c:v>
                </c:pt>
                <c:pt idx="95">
                  <c:v>28.463302857142896</c:v>
                </c:pt>
                <c:pt idx="96">
                  <c:v>29.248542857142898</c:v>
                </c:pt>
                <c:pt idx="97">
                  <c:v>29.981382857142901</c:v>
                </c:pt>
                <c:pt idx="98">
                  <c:v>30.667062857142898</c:v>
                </c:pt>
                <c:pt idx="99">
                  <c:v>31.300342857142898</c:v>
                </c:pt>
                <c:pt idx="100">
                  <c:v>32.0483028571429</c:v>
                </c:pt>
                <c:pt idx="101">
                  <c:v>33.375502857142905</c:v>
                </c:pt>
                <c:pt idx="102">
                  <c:v>34.660782857142905</c:v>
                </c:pt>
                <c:pt idx="103">
                  <c:v>35.904142857142901</c:v>
                </c:pt>
                <c:pt idx="104">
                  <c:v>37.224177142857201</c:v>
                </c:pt>
                <c:pt idx="105">
                  <c:v>38.388937142857202</c:v>
                </c:pt>
                <c:pt idx="106">
                  <c:v>40.15389714285719</c:v>
                </c:pt>
                <c:pt idx="107">
                  <c:v>41.89789714285719</c:v>
                </c:pt>
                <c:pt idx="108">
                  <c:v>43.491531428571392</c:v>
                </c:pt>
                <c:pt idx="109">
                  <c:v>44.567211428571397</c:v>
                </c:pt>
                <c:pt idx="110">
                  <c:v>45.600971428571398</c:v>
                </c:pt>
                <c:pt idx="111">
                  <c:v>46.619011428571397</c:v>
                </c:pt>
                <c:pt idx="112">
                  <c:v>47.621331428571395</c:v>
                </c:pt>
                <c:pt idx="113">
                  <c:v>48.7265257142857</c:v>
                </c:pt>
                <c:pt idx="114">
                  <c:v>49.974125714285691</c:v>
                </c:pt>
                <c:pt idx="115">
                  <c:v>51.7227657142857</c:v>
                </c:pt>
                <c:pt idx="116">
                  <c:v>53.450445714285692</c:v>
                </c:pt>
                <c:pt idx="117">
                  <c:v>54.520285714285691</c:v>
                </c:pt>
                <c:pt idx="118">
                  <c:v>55.704805714285698</c:v>
                </c:pt>
                <c:pt idx="119">
                  <c:v>57.082405714285798</c:v>
                </c:pt>
                <c:pt idx="120">
                  <c:v>58.618131428571388</c:v>
                </c:pt>
                <c:pt idx="121">
                  <c:v>60.13813714285719</c:v>
                </c:pt>
                <c:pt idx="122">
                  <c:v>61.64766285714289</c:v>
                </c:pt>
                <c:pt idx="123">
                  <c:v>63.14670857142859</c:v>
                </c:pt>
                <c:pt idx="124">
                  <c:v>64.759108571428598</c:v>
                </c:pt>
                <c:pt idx="125">
                  <c:v>66.193948571428592</c:v>
                </c:pt>
                <c:pt idx="126">
                  <c:v>67.785388571428598</c:v>
                </c:pt>
                <c:pt idx="127">
                  <c:v>69.361108571428602</c:v>
                </c:pt>
                <c:pt idx="128">
                  <c:v>70.926348571428591</c:v>
                </c:pt>
                <c:pt idx="129">
                  <c:v>72.475868571428592</c:v>
                </c:pt>
                <c:pt idx="130">
                  <c:v>74.409028571428195</c:v>
                </c:pt>
                <c:pt idx="131">
                  <c:v>76.078468571428189</c:v>
                </c:pt>
                <c:pt idx="132">
                  <c:v>77.570348571428198</c:v>
                </c:pt>
                <c:pt idx="133">
                  <c:v>78.969834285714199</c:v>
                </c:pt>
                <c:pt idx="134">
                  <c:v>80.42503428571419</c:v>
                </c:pt>
                <c:pt idx="135">
                  <c:v>81.906434285714198</c:v>
                </c:pt>
                <c:pt idx="136">
                  <c:v>83.497274285714198</c:v>
                </c:pt>
                <c:pt idx="137">
                  <c:v>85.704034285714201</c:v>
                </c:pt>
                <c:pt idx="138">
                  <c:v>87.760759999999195</c:v>
                </c:pt>
                <c:pt idx="139">
                  <c:v>89.638399999999194</c:v>
                </c:pt>
                <c:pt idx="140">
                  <c:v>90.994039999999188</c:v>
                </c:pt>
                <c:pt idx="141">
                  <c:v>93.008845714285201</c:v>
                </c:pt>
                <c:pt idx="142">
                  <c:v>95.126525714285194</c:v>
                </c:pt>
                <c:pt idx="143">
                  <c:v>96.925765714285191</c:v>
                </c:pt>
                <c:pt idx="144">
                  <c:v>98.490005714285189</c:v>
                </c:pt>
                <c:pt idx="145">
                  <c:v>99.864679999999197</c:v>
                </c:pt>
                <c:pt idx="146">
                  <c:v>101.71963428571421</c:v>
                </c:pt>
                <c:pt idx="147">
                  <c:v>103.8668285714282</c:v>
                </c:pt>
                <c:pt idx="148">
                  <c:v>106.00878285714221</c:v>
                </c:pt>
                <c:pt idx="149">
                  <c:v>108.01642285714219</c:v>
                </c:pt>
                <c:pt idx="150">
                  <c:v>110.01882285714218</c:v>
                </c:pt>
                <c:pt idx="151">
                  <c:v>111.63758285714219</c:v>
                </c:pt>
                <c:pt idx="152">
                  <c:v>113.6661828571422</c:v>
                </c:pt>
                <c:pt idx="153">
                  <c:v>115.6790628571422</c:v>
                </c:pt>
                <c:pt idx="154">
                  <c:v>117.68146285714219</c:v>
                </c:pt>
                <c:pt idx="155">
                  <c:v>119.2792628571422</c:v>
                </c:pt>
                <c:pt idx="156">
                  <c:v>120.9137428571422</c:v>
                </c:pt>
                <c:pt idx="157">
                  <c:v>122.93186285714221</c:v>
                </c:pt>
                <c:pt idx="158">
                  <c:v>124.9133028571422</c:v>
                </c:pt>
                <c:pt idx="159">
                  <c:v>126.92618285714219</c:v>
                </c:pt>
                <c:pt idx="160">
                  <c:v>128.89190285714221</c:v>
                </c:pt>
                <c:pt idx="161">
                  <c:v>131.34838285714221</c:v>
                </c:pt>
                <c:pt idx="162">
                  <c:v>133.32458285714222</c:v>
                </c:pt>
                <c:pt idx="163">
                  <c:v>135.30602285714221</c:v>
                </c:pt>
                <c:pt idx="164">
                  <c:v>137.28222285714222</c:v>
                </c:pt>
                <c:pt idx="165">
                  <c:v>139.2322228571422</c:v>
                </c:pt>
                <c:pt idx="166">
                  <c:v>140.5020971428572</c:v>
                </c:pt>
                <c:pt idx="167">
                  <c:v>142.45209714285622</c:v>
                </c:pt>
                <c:pt idx="168">
                  <c:v>144.39685714285721</c:v>
                </c:pt>
                <c:pt idx="169">
                  <c:v>146.3363771428572</c:v>
                </c:pt>
                <c:pt idx="170">
                  <c:v>148.27589714285622</c:v>
                </c:pt>
                <c:pt idx="171">
                  <c:v>150.52337714285721</c:v>
                </c:pt>
                <c:pt idx="172">
                  <c:v>152.46813714285722</c:v>
                </c:pt>
                <c:pt idx="173">
                  <c:v>154.4076571428572</c:v>
                </c:pt>
                <c:pt idx="174">
                  <c:v>156.34717714285722</c:v>
                </c:pt>
                <c:pt idx="175">
                  <c:v>158.28145714285722</c:v>
                </c:pt>
                <c:pt idx="176">
                  <c:v>160.20001714285721</c:v>
                </c:pt>
                <c:pt idx="177">
                  <c:v>162.09761714285722</c:v>
                </c:pt>
                <c:pt idx="178">
                  <c:v>164.00045714285721</c:v>
                </c:pt>
                <c:pt idx="179">
                  <c:v>165.92425714285721</c:v>
                </c:pt>
                <c:pt idx="180">
                  <c:v>168.32289714285722</c:v>
                </c:pt>
                <c:pt idx="181">
                  <c:v>170.5884171428572</c:v>
                </c:pt>
                <c:pt idx="182">
                  <c:v>172.46505714285721</c:v>
                </c:pt>
                <c:pt idx="183">
                  <c:v>174.35217714285722</c:v>
                </c:pt>
                <c:pt idx="184">
                  <c:v>176.2497771428572</c:v>
                </c:pt>
                <c:pt idx="185">
                  <c:v>178.15785714285721</c:v>
                </c:pt>
                <c:pt idx="186">
                  <c:v>179.5738514285712</c:v>
                </c:pt>
                <c:pt idx="187">
                  <c:v>181.52909142857121</c:v>
                </c:pt>
                <c:pt idx="188">
                  <c:v>183.49481142857121</c:v>
                </c:pt>
                <c:pt idx="189">
                  <c:v>185.4762514285712</c:v>
                </c:pt>
                <c:pt idx="190">
                  <c:v>187.47341142857121</c:v>
                </c:pt>
                <c:pt idx="191">
                  <c:v>189.48105142857122</c:v>
                </c:pt>
                <c:pt idx="192">
                  <c:v>191.38057714285722</c:v>
                </c:pt>
                <c:pt idx="193">
                  <c:v>193.41441714285722</c:v>
                </c:pt>
                <c:pt idx="194">
                  <c:v>195.4639771428572</c:v>
                </c:pt>
                <c:pt idx="195">
                  <c:v>197.5292571428572</c:v>
                </c:pt>
                <c:pt idx="196">
                  <c:v>198.81153714285722</c:v>
                </c:pt>
                <c:pt idx="197">
                  <c:v>200.12001714285722</c:v>
                </c:pt>
                <c:pt idx="198">
                  <c:v>201.74713714285721</c:v>
                </c:pt>
                <c:pt idx="199">
                  <c:v>203.6249771428572</c:v>
                </c:pt>
                <c:pt idx="200">
                  <c:v>205.8579371428572</c:v>
                </c:pt>
                <c:pt idx="201">
                  <c:v>207.72297714285722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E0-413D-AB54-BD5ADF469669}"/>
            </c:ext>
          </c:extLst>
        </c:ser>
        <c:ser>
          <c:idx val="2"/>
          <c:order val="1"/>
          <c:tx>
            <c:strRef>
              <c:f>'Maju 0.05'!$AK$6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'Maju 0.05'!$AF$7:$AF$281</c:f>
              <c:numCache>
                <c:formatCode>0.000</c:formatCode>
                <c:ptCount val="275"/>
                <c:pt idx="0">
                  <c:v>0</c:v>
                </c:pt>
                <c:pt idx="1">
                  <c:v>4.6469800000068062E-2</c:v>
                </c:pt>
                <c:pt idx="2">
                  <c:v>7.7852299999904062E-2</c:v>
                </c:pt>
                <c:pt idx="3">
                  <c:v>9.4231900000067981E-2</c:v>
                </c:pt>
                <c:pt idx="4">
                  <c:v>0.14150169999993523</c:v>
                </c:pt>
                <c:pt idx="5">
                  <c:v>0.17293789999985165</c:v>
                </c:pt>
                <c:pt idx="6">
                  <c:v>0.18861689999994269</c:v>
                </c:pt>
                <c:pt idx="7">
                  <c:v>0.21978579999995418</c:v>
                </c:pt>
                <c:pt idx="8">
                  <c:v>0.25131430000010369</c:v>
                </c:pt>
                <c:pt idx="9">
                  <c:v>0.29707890000008774</c:v>
                </c:pt>
                <c:pt idx="10">
                  <c:v>0.32772759999988921</c:v>
                </c:pt>
                <c:pt idx="11">
                  <c:v>0.35926770000014585</c:v>
                </c:pt>
                <c:pt idx="12">
                  <c:v>0.39053250000006301</c:v>
                </c:pt>
                <c:pt idx="13">
                  <c:v>0.42212909999989279</c:v>
                </c:pt>
                <c:pt idx="14">
                  <c:v>0.45332139999982246</c:v>
                </c:pt>
                <c:pt idx="15">
                  <c:v>0.50003530000003593</c:v>
                </c:pt>
                <c:pt idx="16">
                  <c:v>0.52990460000000894</c:v>
                </c:pt>
                <c:pt idx="17">
                  <c:v>0.56111069999997198</c:v>
                </c:pt>
                <c:pt idx="18">
                  <c:v>0.59210650000022724</c:v>
                </c:pt>
                <c:pt idx="19">
                  <c:v>0.62388689999988856</c:v>
                </c:pt>
                <c:pt idx="20">
                  <c:v>0.65538250000008702</c:v>
                </c:pt>
                <c:pt idx="21">
                  <c:v>0.70138069999984509</c:v>
                </c:pt>
                <c:pt idx="22">
                  <c:v>0.73292600000013408</c:v>
                </c:pt>
                <c:pt idx="23">
                  <c:v>0.74824519999992845</c:v>
                </c:pt>
                <c:pt idx="24">
                  <c:v>0.79398609999998371</c:v>
                </c:pt>
                <c:pt idx="25">
                  <c:v>0.80959780000011961</c:v>
                </c:pt>
                <c:pt idx="26">
                  <c:v>0.84044600000015635</c:v>
                </c:pt>
                <c:pt idx="27">
                  <c:v>0.87168070000006992</c:v>
                </c:pt>
                <c:pt idx="28">
                  <c:v>0.9190481999999065</c:v>
                </c:pt>
                <c:pt idx="29">
                  <c:v>0.95023020000007818</c:v>
                </c:pt>
                <c:pt idx="30">
                  <c:v>0.98096369999984745</c:v>
                </c:pt>
                <c:pt idx="31">
                  <c:v>1.0274758000000475</c:v>
                </c:pt>
                <c:pt idx="32">
                  <c:v>1.0433778000001439</c:v>
                </c:pt>
                <c:pt idx="33">
                  <c:v>1.0741189000000304</c:v>
                </c:pt>
                <c:pt idx="34">
                  <c:v>1.1050556000000142</c:v>
                </c:pt>
                <c:pt idx="35">
                  <c:v>1.1504346000001533</c:v>
                </c:pt>
                <c:pt idx="36">
                  <c:v>1.1817449999998644</c:v>
                </c:pt>
                <c:pt idx="37">
                  <c:v>1.2133214999998927</c:v>
                </c:pt>
                <c:pt idx="38">
                  <c:v>1.2439577999998619</c:v>
                </c:pt>
                <c:pt idx="39">
                  <c:v>1.2752057000002424</c:v>
                </c:pt>
                <c:pt idx="40">
                  <c:v>1.307228799999848</c:v>
                </c:pt>
                <c:pt idx="41">
                  <c:v>1.3539307000000917</c:v>
                </c:pt>
                <c:pt idx="42">
                  <c:v>1.369579000000158</c:v>
                </c:pt>
                <c:pt idx="43">
                  <c:v>1.4005013999999392</c:v>
                </c:pt>
                <c:pt idx="44">
                  <c:v>1.4480591000001368</c:v>
                </c:pt>
                <c:pt idx="45">
                  <c:v>1.4633317000002535</c:v>
                </c:pt>
                <c:pt idx="46">
                  <c:v>1.5099764000001414</c:v>
                </c:pt>
                <c:pt idx="47">
                  <c:v>1.5410950000000412</c:v>
                </c:pt>
                <c:pt idx="48">
                  <c:v>1.5728069000001597</c:v>
                </c:pt>
                <c:pt idx="49">
                  <c:v>1.6049176999999872</c:v>
                </c:pt>
                <c:pt idx="50">
                  <c:v>1.6359381000002031</c:v>
                </c:pt>
                <c:pt idx="51">
                  <c:v>1.666913200000181</c:v>
                </c:pt>
                <c:pt idx="52">
                  <c:v>1.6978994999999486</c:v>
                </c:pt>
                <c:pt idx="53">
                  <c:v>1.7454100999998445</c:v>
                </c:pt>
                <c:pt idx="54">
                  <c:v>1.7615832000001319</c:v>
                </c:pt>
                <c:pt idx="55">
                  <c:v>1.7935683999999128</c:v>
                </c:pt>
                <c:pt idx="56">
                  <c:v>1.824997600000188</c:v>
                </c:pt>
                <c:pt idx="57">
                  <c:v>1.8568582000002607</c:v>
                </c:pt>
                <c:pt idx="58">
                  <c:v>1.888017199999922</c:v>
                </c:pt>
                <c:pt idx="59">
                  <c:v>1.9337639000000308</c:v>
                </c:pt>
                <c:pt idx="60">
                  <c:v>1.9651656000000912</c:v>
                </c:pt>
                <c:pt idx="61">
                  <c:v>1.9969618000000082</c:v>
                </c:pt>
                <c:pt idx="62">
                  <c:v>2.027914900000269</c:v>
                </c:pt>
                <c:pt idx="63">
                  <c:v>2.0590366000001268</c:v>
                </c:pt>
                <c:pt idx="64">
                  <c:v>2.0897423000001254</c:v>
                </c:pt>
                <c:pt idx="65">
                  <c:v>2.121407900000122</c:v>
                </c:pt>
                <c:pt idx="66">
                  <c:v>2.1681177999998908</c:v>
                </c:pt>
                <c:pt idx="67">
                  <c:v>2.1839257000001453</c:v>
                </c:pt>
                <c:pt idx="68">
                  <c:v>2.215086600000177</c:v>
                </c:pt>
                <c:pt idx="69">
                  <c:v>2.245915800000148</c:v>
                </c:pt>
                <c:pt idx="70">
                  <c:v>2.2767589000000044</c:v>
                </c:pt>
                <c:pt idx="71">
                  <c:v>2.3554048999999395</c:v>
                </c:pt>
                <c:pt idx="72">
                  <c:v>2.3712682000000314</c:v>
                </c:pt>
                <c:pt idx="73">
                  <c:v>2.3861381000001529</c:v>
                </c:pt>
                <c:pt idx="74">
                  <c:v>2.4169950999998946</c:v>
                </c:pt>
                <c:pt idx="75">
                  <c:v>2.4483733000001848</c:v>
                </c:pt>
                <c:pt idx="76">
                  <c:v>2.4946175000000039</c:v>
                </c:pt>
                <c:pt idx="77">
                  <c:v>2.5103517000002284</c:v>
                </c:pt>
                <c:pt idx="78">
                  <c:v>2.5412317999998777</c:v>
                </c:pt>
                <c:pt idx="79">
                  <c:v>2.5879121000002669</c:v>
                </c:pt>
                <c:pt idx="80">
                  <c:v>2.6191321999999673</c:v>
                </c:pt>
                <c:pt idx="81">
                  <c:v>2.6509202000002006</c:v>
                </c:pt>
                <c:pt idx="82">
                  <c:v>2.681750600000214</c:v>
                </c:pt>
                <c:pt idx="83">
                  <c:v>2.6971093000001929</c:v>
                </c:pt>
                <c:pt idx="84">
                  <c:v>2.7429284999998345</c:v>
                </c:pt>
                <c:pt idx="85">
                  <c:v>2.7741995999999745</c:v>
                </c:pt>
                <c:pt idx="86">
                  <c:v>2.8046932000002016</c:v>
                </c:pt>
                <c:pt idx="87">
                  <c:v>2.8356305000002067</c:v>
                </c:pt>
                <c:pt idx="88">
                  <c:v>2.8662721000000602</c:v>
                </c:pt>
                <c:pt idx="89">
                  <c:v>2.8966549000001578</c:v>
                </c:pt>
                <c:pt idx="90">
                  <c:v>2.927453400000104</c:v>
                </c:pt>
                <c:pt idx="91">
                  <c:v>2.9737550999998348</c:v>
                </c:pt>
                <c:pt idx="92">
                  <c:v>3.0047061000000213</c:v>
                </c:pt>
                <c:pt idx="93">
                  <c:v>3.034881999999925</c:v>
                </c:pt>
                <c:pt idx="94">
                  <c:v>3.0657074999999168</c:v>
                </c:pt>
                <c:pt idx="95">
                  <c:v>3.0963956999999027</c:v>
                </c:pt>
                <c:pt idx="96">
                  <c:v>3.1267480000001342</c:v>
                </c:pt>
                <c:pt idx="97">
                  <c:v>3.1583092000000761</c:v>
                </c:pt>
                <c:pt idx="98">
                  <c:v>3.1900107000001299</c:v>
                </c:pt>
                <c:pt idx="99">
                  <c:v>3.2355640000000676</c:v>
                </c:pt>
                <c:pt idx="100">
                  <c:v>3.2667058000001816</c:v>
                </c:pt>
                <c:pt idx="101">
                  <c:v>3.2979309000002104</c:v>
                </c:pt>
                <c:pt idx="102">
                  <c:v>3.3143915000000561</c:v>
                </c:pt>
                <c:pt idx="103">
                  <c:v>3.3594730999998319</c:v>
                </c:pt>
                <c:pt idx="104">
                  <c:v>3.4063584000000446</c:v>
                </c:pt>
                <c:pt idx="105">
                  <c:v>3.4222961000000396</c:v>
                </c:pt>
                <c:pt idx="106">
                  <c:v>3.4523109000001568</c:v>
                </c:pt>
                <c:pt idx="107">
                  <c:v>3.4835891000002448</c:v>
                </c:pt>
                <c:pt idx="108">
                  <c:v>3.5146688999998332</c:v>
                </c:pt>
                <c:pt idx="109">
                  <c:v>3.5613435000000209</c:v>
                </c:pt>
                <c:pt idx="110">
                  <c:v>3.5765463000002455</c:v>
                </c:pt>
                <c:pt idx="111">
                  <c:v>3.6385973000001286</c:v>
                </c:pt>
                <c:pt idx="112">
                  <c:v>3.6546696999998858</c:v>
                </c:pt>
                <c:pt idx="113">
                  <c:v>3.6853205000002163</c:v>
                </c:pt>
                <c:pt idx="114">
                  <c:v>3.7154801000001498</c:v>
                </c:pt>
                <c:pt idx="115">
                  <c:v>3.7463053999999829</c:v>
                </c:pt>
                <c:pt idx="116">
                  <c:v>3.7765804000000571</c:v>
                </c:pt>
                <c:pt idx="117">
                  <c:v>3.8235494000000472</c:v>
                </c:pt>
                <c:pt idx="118">
                  <c:v>3.855959200000143</c:v>
                </c:pt>
                <c:pt idx="119">
                  <c:v>3.8874160000000302</c:v>
                </c:pt>
                <c:pt idx="120">
                  <c:v>3.9188499000001684</c:v>
                </c:pt>
                <c:pt idx="121">
                  <c:v>3.9656927999999425</c:v>
                </c:pt>
                <c:pt idx="122">
                  <c:v>3.9969046000001072</c:v>
                </c:pt>
                <c:pt idx="123">
                  <c:v>4.0130294999999023</c:v>
                </c:pt>
                <c:pt idx="124">
                  <c:v>4.0450654999999642</c:v>
                </c:pt>
                <c:pt idx="125">
                  <c:v>4.0759108000002016</c:v>
                </c:pt>
                <c:pt idx="126">
                  <c:v>4.1069501000001765</c:v>
                </c:pt>
                <c:pt idx="127">
                  <c:v>4.138668300000063</c:v>
                </c:pt>
                <c:pt idx="128">
                  <c:v>4.1692874999998821</c:v>
                </c:pt>
                <c:pt idx="129">
                  <c:v>4.2156368000000839</c:v>
                </c:pt>
                <c:pt idx="130">
                  <c:v>4.2469062999998641</c:v>
                </c:pt>
                <c:pt idx="131">
                  <c:v>4.2777743999999984</c:v>
                </c:pt>
                <c:pt idx="132">
                  <c:v>4.3090989000002082</c:v>
                </c:pt>
                <c:pt idx="133">
                  <c:v>4.3403845000002548</c:v>
                </c:pt>
                <c:pt idx="134">
                  <c:v>4.3710399999999936</c:v>
                </c:pt>
                <c:pt idx="135">
                  <c:v>4.4171341000001121</c:v>
                </c:pt>
                <c:pt idx="136">
                  <c:v>4.4476101000000199</c:v>
                </c:pt>
                <c:pt idx="137">
                  <c:v>4.4793479999998453</c:v>
                </c:pt>
                <c:pt idx="138">
                  <c:v>4.5098818999999821</c:v>
                </c:pt>
                <c:pt idx="139">
                  <c:v>4.5256804000000557</c:v>
                </c:pt>
                <c:pt idx="140">
                  <c:v>4.5578450000002704</c:v>
                </c:pt>
                <c:pt idx="141">
                  <c:v>4.5895076000001609</c:v>
                </c:pt>
                <c:pt idx="142">
                  <c:v>4.6351328999999168</c:v>
                </c:pt>
                <c:pt idx="143">
                  <c:v>4.6667075000000295</c:v>
                </c:pt>
                <c:pt idx="144">
                  <c:v>4.6973170000001119</c:v>
                </c:pt>
                <c:pt idx="145">
                  <c:v>4.7279305000001841</c:v>
                </c:pt>
                <c:pt idx="146">
                  <c:v>4.7597414000001663</c:v>
                </c:pt>
                <c:pt idx="147">
                  <c:v>4.7908545000000231</c:v>
                </c:pt>
                <c:pt idx="148">
                  <c:v>4.8372150000000147</c:v>
                </c:pt>
                <c:pt idx="149">
                  <c:v>4.8688990000000558</c:v>
                </c:pt>
                <c:pt idx="150">
                  <c:v>4.9000504000000547</c:v>
                </c:pt>
                <c:pt idx="151">
                  <c:v>4.9310412999998334</c:v>
                </c:pt>
                <c:pt idx="152">
                  <c:v>4.9627012999999351</c:v>
                </c:pt>
                <c:pt idx="153">
                  <c:v>4.9933851000000686</c:v>
                </c:pt>
                <c:pt idx="154">
                  <c:v>5.0244375000002037</c:v>
                </c:pt>
                <c:pt idx="155">
                  <c:v>5.0564386999999442</c:v>
                </c:pt>
                <c:pt idx="156">
                  <c:v>5.087730300000203</c:v>
                </c:pt>
                <c:pt idx="157">
                  <c:v>5.1190780000001723</c:v>
                </c:pt>
                <c:pt idx="158">
                  <c:v>5.1503078999999161</c:v>
                </c:pt>
                <c:pt idx="159">
                  <c:v>5.1808774000000994</c:v>
                </c:pt>
                <c:pt idx="160">
                  <c:v>5.2269455999999082</c:v>
                </c:pt>
                <c:pt idx="161">
                  <c:v>5.2424138999999741</c:v>
                </c:pt>
                <c:pt idx="162">
                  <c:v>5.2880860999998731</c:v>
                </c:pt>
                <c:pt idx="163">
                  <c:v>5.3192776999999296</c:v>
                </c:pt>
                <c:pt idx="164">
                  <c:v>5.3503872000001138</c:v>
                </c:pt>
                <c:pt idx="165">
                  <c:v>5.381358900000123</c:v>
                </c:pt>
                <c:pt idx="166">
                  <c:v>5.4274018999999498</c:v>
                </c:pt>
                <c:pt idx="167">
                  <c:v>5.5048436000001857</c:v>
                </c:pt>
                <c:pt idx="168">
                  <c:v>5.5210603000000447</c:v>
                </c:pt>
                <c:pt idx="169">
                  <c:v>5.5527351000000635</c:v>
                </c:pt>
                <c:pt idx="170">
                  <c:v>5.5682078999998339</c:v>
                </c:pt>
                <c:pt idx="171">
                  <c:v>5.5995965000001888</c:v>
                </c:pt>
                <c:pt idx="172">
                  <c:v>5.6303763999999319</c:v>
                </c:pt>
                <c:pt idx="173">
                  <c:v>5.6762059000002409</c:v>
                </c:pt>
                <c:pt idx="174">
                  <c:v>5.7069228999998813</c:v>
                </c:pt>
                <c:pt idx="175">
                  <c:v>5.7384043000001839</c:v>
                </c:pt>
                <c:pt idx="176">
                  <c:v>5.7701198999998269</c:v>
                </c:pt>
                <c:pt idx="177">
                  <c:v>5.8006375999998454</c:v>
                </c:pt>
                <c:pt idx="178">
                  <c:v>5.8310596999999689</c:v>
                </c:pt>
                <c:pt idx="179">
                  <c:v>5.8535784000000604</c:v>
                </c:pt>
                <c:pt idx="180">
                  <c:v>5.9091207999999824</c:v>
                </c:pt>
                <c:pt idx="181">
                  <c:v>5.9387451000002329</c:v>
                </c:pt>
                <c:pt idx="182">
                  <c:v>5.9700742999998511</c:v>
                </c:pt>
                <c:pt idx="183">
                  <c:v>6.0011484000001474</c:v>
                </c:pt>
                <c:pt idx="184">
                  <c:v>6.0319017000001622</c:v>
                </c:pt>
                <c:pt idx="185">
                  <c:v>6.06295050000017</c:v>
                </c:pt>
                <c:pt idx="186">
                  <c:v>6.0940009000000828</c:v>
                </c:pt>
                <c:pt idx="187">
                  <c:v>6.140916500000003</c:v>
                </c:pt>
                <c:pt idx="188">
                  <c:v>6.1722528000000239</c:v>
                </c:pt>
                <c:pt idx="189">
                  <c:v>6.1876345000000583</c:v>
                </c:pt>
                <c:pt idx="190">
                  <c:v>6.2347376000002441</c:v>
                </c:pt>
                <c:pt idx="191">
                  <c:v>6.2657075000001896</c:v>
                </c:pt>
                <c:pt idx="192">
                  <c:v>6.29658900000004</c:v>
                </c:pt>
                <c:pt idx="193">
                  <c:v>6.3283738999998604</c:v>
                </c:pt>
                <c:pt idx="194">
                  <c:v>6.3601717999999892</c:v>
                </c:pt>
                <c:pt idx="195">
                  <c:v>6.3914264999998522</c:v>
                </c:pt>
                <c:pt idx="196">
                  <c:v>6.4378710000000865</c:v>
                </c:pt>
                <c:pt idx="197">
                  <c:v>6.4687715000000026</c:v>
                </c:pt>
                <c:pt idx="198">
                  <c:v>6.4993058999998539</c:v>
                </c:pt>
                <c:pt idx="199">
                  <c:v>6.5302740000001904</c:v>
                </c:pt>
                <c:pt idx="200">
                  <c:v>6.5614295999998831</c:v>
                </c:pt>
                <c:pt idx="201">
                  <c:v>6.5920375999999123</c:v>
                </c:pt>
              </c:numCache>
            </c:numRef>
          </c:xVal>
          <c:yVal>
            <c:numRef>
              <c:f>'Maju 0.05'!$AK$7:$AK$281</c:f>
              <c:numCache>
                <c:formatCode>0.000</c:formatCode>
                <c:ptCount val="2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6.4653915286677251E-3</c:v>
                </c:pt>
                <c:pt idx="41">
                  <c:v>7.1735473712489173E-2</c:v>
                </c:pt>
                <c:pt idx="42">
                  <c:v>0.10908933392427418</c:v>
                </c:pt>
                <c:pt idx="43">
                  <c:v>0.20537814998363305</c:v>
                </c:pt>
                <c:pt idx="44">
                  <c:v>0.41074097566191592</c:v>
                </c:pt>
                <c:pt idx="45">
                  <c:v>0.49116998793824318</c:v>
                </c:pt>
                <c:pt idx="46">
                  <c:v>0.77954243818703417</c:v>
                </c:pt>
                <c:pt idx="47">
                  <c:v>1.0071382126495199</c:v>
                </c:pt>
                <c:pt idx="48">
                  <c:v>1.2675003615065847</c:v>
                </c:pt>
                <c:pt idx="49">
                  <c:v>1.559882768963387</c:v>
                </c:pt>
                <c:pt idx="50">
                  <c:v>1.8693411716710933</c:v>
                </c:pt>
                <c:pt idx="51">
                  <c:v>2.2043841362876182</c:v>
                </c:pt>
                <c:pt idx="52">
                  <c:v>2.5651489570080619</c:v>
                </c:pt>
                <c:pt idx="53">
                  <c:v>3.1670630499712482</c:v>
                </c:pt>
                <c:pt idx="54">
                  <c:v>3.3852003097367236</c:v>
                </c:pt>
                <c:pt idx="55">
                  <c:v>3.8360686365249506</c:v>
                </c:pt>
                <c:pt idx="56">
                  <c:v>4.3039255542701955</c:v>
                </c:pt>
                <c:pt idx="57">
                  <c:v>4.802895799837982</c:v>
                </c:pt>
                <c:pt idx="58">
                  <c:v>5.3145187224191091</c:v>
                </c:pt>
                <c:pt idx="59">
                  <c:v>6.1072056408099327</c:v>
                </c:pt>
                <c:pt idx="60">
                  <c:v>6.6793779391449224</c:v>
                </c:pt>
                <c:pt idx="61">
                  <c:v>7.2815555652696062</c:v>
                </c:pt>
                <c:pt idx="62">
                  <c:v>7.8894508563132844</c:v>
                </c:pt>
                <c:pt idx="63">
                  <c:v>8.5218655519733879</c:v>
                </c:pt>
                <c:pt idx="64">
                  <c:v>9.166323973178331</c:v>
                </c:pt>
                <c:pt idx="65">
                  <c:v>9.8518980077597558</c:v>
                </c:pt>
                <c:pt idx="66">
                  <c:v>10.90130283388395</c:v>
                </c:pt>
                <c:pt idx="67">
                  <c:v>11.266566661334116</c:v>
                </c:pt>
                <c:pt idx="68">
                  <c:v>12.00131559605583</c:v>
                </c:pt>
                <c:pt idx="69">
                  <c:v>12.747213767245489</c:v>
                </c:pt>
                <c:pt idx="70">
                  <c:v>13.512017931786298</c:v>
                </c:pt>
                <c:pt idx="71">
                  <c:v>15.544148194374598</c:v>
                </c:pt>
                <c:pt idx="72">
                  <c:v>15.967994312709223</c:v>
                </c:pt>
                <c:pt idx="73">
                  <c:v>16.369469003701056</c:v>
                </c:pt>
                <c:pt idx="74">
                  <c:v>17.215318054415352</c:v>
                </c:pt>
                <c:pt idx="75">
                  <c:v>18.092839119871382</c:v>
                </c:pt>
                <c:pt idx="76">
                  <c:v>19.417442220985436</c:v>
                </c:pt>
                <c:pt idx="77">
                  <c:v>19.876499894833188</c:v>
                </c:pt>
                <c:pt idx="78">
                  <c:v>20.789605435478467</c:v>
                </c:pt>
                <c:pt idx="79">
                  <c:v>22.199976941977138</c:v>
                </c:pt>
                <c:pt idx="80">
                  <c:v>23.163047454089995</c:v>
                </c:pt>
                <c:pt idx="81">
                  <c:v>24.159628082053345</c:v>
                </c:pt>
                <c:pt idx="82">
                  <c:v>25.141343685472098</c:v>
                </c:pt>
                <c:pt idx="83">
                  <c:v>25.635894381931084</c:v>
                </c:pt>
                <c:pt idx="84">
                  <c:v>27.132619993744086</c:v>
                </c:pt>
                <c:pt idx="85">
                  <c:v>28.172174279751278</c:v>
                </c:pt>
                <c:pt idx="86">
                  <c:v>29.199718332289063</c:v>
                </c:pt>
                <c:pt idx="87">
                  <c:v>30.255945252096719</c:v>
                </c:pt>
                <c:pt idx="88">
                  <c:v>31.315486270894283</c:v>
                </c:pt>
                <c:pt idx="89">
                  <c:v>32.379039224578165</c:v>
                </c:pt>
                <c:pt idx="90">
                  <c:v>33.47010045060734</c:v>
                </c:pt>
                <c:pt idx="91">
                  <c:v>35.134453020359381</c:v>
                </c:pt>
                <c:pt idx="92">
                  <c:v>36.262829579384011</c:v>
                </c:pt>
                <c:pt idx="93">
                  <c:v>37.374917514432767</c:v>
                </c:pt>
                <c:pt idx="94">
                  <c:v>38.52294741059896</c:v>
                </c:pt>
                <c:pt idx="95">
                  <c:v>39.677716000640274</c:v>
                </c:pt>
                <c:pt idx="96">
                  <c:v>40.831286980860611</c:v>
                </c:pt>
                <c:pt idx="97">
                  <c:v>42.042672434483407</c:v>
                </c:pt>
                <c:pt idx="98">
                  <c:v>43.271421449676787</c:v>
                </c:pt>
                <c:pt idx="99">
                  <c:v>45.057678917418066</c:v>
                </c:pt>
                <c:pt idx="100">
                  <c:v>46.29254607077592</c:v>
                </c:pt>
                <c:pt idx="101">
                  <c:v>47.541688416580591</c:v>
                </c:pt>
                <c:pt idx="102">
                  <c:v>48.20454564803331</c:v>
                </c:pt>
                <c:pt idx="103">
                  <c:v>50.03510871210014</c:v>
                </c:pt>
                <c:pt idx="104">
                  <c:v>51.96201579560973</c:v>
                </c:pt>
                <c:pt idx="105">
                  <c:v>52.622290328649562</c:v>
                </c:pt>
                <c:pt idx="106">
                  <c:v>53.872886026900218</c:v>
                </c:pt>
                <c:pt idx="107">
                  <c:v>55.185894579909693</c:v>
                </c:pt>
                <c:pt idx="108">
                  <c:v>56.50029098898473</c:v>
                </c:pt>
                <c:pt idx="109">
                  <c:v>58.492049467617605</c:v>
                </c:pt>
                <c:pt idx="110">
                  <c:v>59.145351125342252</c:v>
                </c:pt>
                <c:pt idx="111">
                  <c:v>61.834502496809051</c:v>
                </c:pt>
                <c:pt idx="112">
                  <c:v>62.536883095320555</c:v>
                </c:pt>
                <c:pt idx="113">
                  <c:v>63.882885390918211</c:v>
                </c:pt>
                <c:pt idx="114">
                  <c:v>65.215565731062625</c:v>
                </c:pt>
                <c:pt idx="115">
                  <c:v>66.585978741240623</c:v>
                </c:pt>
                <c:pt idx="116">
                  <c:v>67.939977839148085</c:v>
                </c:pt>
                <c:pt idx="117">
                  <c:v>70.056075825251469</c:v>
                </c:pt>
                <c:pt idx="118">
                  <c:v>71.527005124267149</c:v>
                </c:pt>
                <c:pt idx="119">
                  <c:v>72.962925480169957</c:v>
                </c:pt>
                <c:pt idx="120">
                  <c:v>74.405774336334233</c:v>
                </c:pt>
                <c:pt idx="121">
                  <c:v>76.570413820236325</c:v>
                </c:pt>
                <c:pt idx="122">
                  <c:v>78.022177968275088</c:v>
                </c:pt>
                <c:pt idx="123">
                  <c:v>78.775110780468594</c:v>
                </c:pt>
                <c:pt idx="124">
                  <c:v>80.276792803911306</c:v>
                </c:pt>
                <c:pt idx="125">
                  <c:v>81.729849099343284</c:v>
                </c:pt>
                <c:pt idx="126">
                  <c:v>83.19904400268112</c:v>
                </c:pt>
                <c:pt idx="127">
                  <c:v>84.707506362379306</c:v>
                </c:pt>
                <c:pt idx="128">
                  <c:v>86.170428103698285</c:v>
                </c:pt>
                <c:pt idx="129">
                  <c:v>88.397229476793328</c:v>
                </c:pt>
                <c:pt idx="130">
                  <c:v>89.907764435530282</c:v>
                </c:pt>
                <c:pt idx="131">
                  <c:v>91.405284353525445</c:v>
                </c:pt>
                <c:pt idx="132">
                  <c:v>92.93131348392096</c:v>
                </c:pt>
                <c:pt idx="133">
                  <c:v>94.461743436496064</c:v>
                </c:pt>
                <c:pt idx="134">
                  <c:v>95.967352001096572</c:v>
                </c:pt>
                <c:pt idx="135">
                  <c:v>98.242176527774944</c:v>
                </c:pt>
                <c:pt idx="136">
                  <c:v>99.753316932148238</c:v>
                </c:pt>
                <c:pt idx="137">
                  <c:v>101.33291714752843</c:v>
                </c:pt>
                <c:pt idx="138">
                  <c:v>102.85817133958653</c:v>
                </c:pt>
                <c:pt idx="139">
                  <c:v>103.64946802676536</c:v>
                </c:pt>
                <c:pt idx="140">
                  <c:v>105.26489037754581</c:v>
                </c:pt>
                <c:pt idx="141">
                  <c:v>106.86078228884449</c:v>
                </c:pt>
                <c:pt idx="142">
                  <c:v>109.17015831025076</c:v>
                </c:pt>
                <c:pt idx="143">
                  <c:v>110.77493216133357</c:v>
                </c:pt>
                <c:pt idx="144">
                  <c:v>112.33570212717322</c:v>
                </c:pt>
                <c:pt idx="145">
                  <c:v>113.90156375986227</c:v>
                </c:pt>
                <c:pt idx="146">
                  <c:v>115.53376445800946</c:v>
                </c:pt>
                <c:pt idx="147">
                  <c:v>117.13509875385068</c:v>
                </c:pt>
                <c:pt idx="148">
                  <c:v>119.53007106060276</c:v>
                </c:pt>
                <c:pt idx="149">
                  <c:v>121.17285535180829</c:v>
                </c:pt>
                <c:pt idx="150">
                  <c:v>122.79267938949705</c:v>
                </c:pt>
                <c:pt idx="151">
                  <c:v>124.40866067367594</c:v>
                </c:pt>
                <c:pt idx="152">
                  <c:v>126.06409176574266</c:v>
                </c:pt>
                <c:pt idx="153">
                  <c:v>127.67280461259843</c:v>
                </c:pt>
                <c:pt idx="154">
                  <c:v>129.30510501703054</c:v>
                </c:pt>
                <c:pt idx="155">
                  <c:v>130.99169148748769</c:v>
                </c:pt>
                <c:pt idx="156">
                  <c:v>132.64513658928604</c:v>
                </c:pt>
                <c:pt idx="157">
                  <c:v>134.30569579287328</c:v>
                </c:pt>
                <c:pt idx="158">
                  <c:v>135.96407597359357</c:v>
                </c:pt>
                <c:pt idx="159">
                  <c:v>137.5912480875601</c:v>
                </c:pt>
                <c:pt idx="160">
                  <c:v>140.05047128726846</c:v>
                </c:pt>
                <c:pt idx="161">
                  <c:v>140.87808026296551</c:v>
                </c:pt>
                <c:pt idx="162">
                  <c:v>143.32710558869977</c:v>
                </c:pt>
                <c:pt idx="163">
                  <c:v>145.00421569463322</c:v>
                </c:pt>
                <c:pt idx="164">
                  <c:v>146.68052740275866</c:v>
                </c:pt>
                <c:pt idx="165">
                  <c:v>148.35294153759111</c:v>
                </c:pt>
                <c:pt idx="166">
                  <c:v>150.84555864945446</c:v>
                </c:pt>
                <c:pt idx="167">
                  <c:v>155.05473684314586</c:v>
                </c:pt>
                <c:pt idx="168">
                  <c:v>155.93875350040287</c:v>
                </c:pt>
                <c:pt idx="169">
                  <c:v>157.66796509990084</c:v>
                </c:pt>
                <c:pt idx="170">
                  <c:v>158.51387011893536</c:v>
                </c:pt>
                <c:pt idx="171">
                  <c:v>160.23229224176055</c:v>
                </c:pt>
                <c:pt idx="172">
                  <c:v>161.92046019096279</c:v>
                </c:pt>
                <c:pt idx="173">
                  <c:v>164.43957015667925</c:v>
                </c:pt>
                <c:pt idx="174">
                  <c:v>166.13162087321575</c:v>
                </c:pt>
                <c:pt idx="175">
                  <c:v>167.86874315671128</c:v>
                </c:pt>
                <c:pt idx="176">
                  <c:v>169.62177219318053</c:v>
                </c:pt>
                <c:pt idx="177">
                  <c:v>171.31136934012505</c:v>
                </c:pt>
                <c:pt idx="178">
                  <c:v>172.99834268268549</c:v>
                </c:pt>
                <c:pt idx="179">
                  <c:v>174.24874565047168</c:v>
                </c:pt>
                <c:pt idx="180">
                  <c:v>177.33889676056708</c:v>
                </c:pt>
                <c:pt idx="181">
                  <c:v>178.9905133928354</c:v>
                </c:pt>
                <c:pt idx="182">
                  <c:v>180.73973314328512</c:v>
                </c:pt>
                <c:pt idx="183">
                  <c:v>182.47725811664083</c:v>
                </c:pt>
                <c:pt idx="184">
                  <c:v>184.19930272251401</c:v>
                </c:pt>
                <c:pt idx="185">
                  <c:v>185.94033291531034</c:v>
                </c:pt>
                <c:pt idx="186">
                  <c:v>187.6838631048588</c:v>
                </c:pt>
                <c:pt idx="187">
                  <c:v>190.32273372212313</c:v>
                </c:pt>
                <c:pt idx="188">
                  <c:v>192.08825994480264</c:v>
                </c:pt>
                <c:pt idx="189">
                  <c:v>192.95573344484544</c:v>
                </c:pt>
                <c:pt idx="190">
                  <c:v>195.61560240221303</c:v>
                </c:pt>
                <c:pt idx="191">
                  <c:v>197.3672077239973</c:v>
                </c:pt>
                <c:pt idx="192">
                  <c:v>199.11595397470907</c:v>
                </c:pt>
                <c:pt idx="193">
                  <c:v>200.91805276438245</c:v>
                </c:pt>
                <c:pt idx="194">
                  <c:v>202.72307929815096</c:v>
                </c:pt>
                <c:pt idx="195">
                  <c:v>204.49937003027676</c:v>
                </c:pt>
                <c:pt idx="196">
                  <c:v>207.14270833772281</c:v>
                </c:pt>
                <c:pt idx="197">
                  <c:v>208.90382498096085</c:v>
                </c:pt>
                <c:pt idx="198">
                  <c:v>210.64596113564983</c:v>
                </c:pt>
                <c:pt idx="199">
                  <c:v>212.4147240848624</c:v>
                </c:pt>
                <c:pt idx="200">
                  <c:v>214.19607729023821</c:v>
                </c:pt>
                <c:pt idx="201">
                  <c:v>215.94792787737939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E0-413D-AB54-BD5ADF469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893864"/>
        <c:axId val="1095898184"/>
      </c:scatterChart>
      <c:valAx>
        <c:axId val="1095893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898184"/>
        <c:crosses val="autoZero"/>
        <c:crossBetween val="midCat"/>
      </c:valAx>
      <c:valAx>
        <c:axId val="109589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893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Trajectory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'Maju 0.1'!$L$6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'Maju 0.1'!$AA$179:$AA$1000</c:f>
              <c:numCache>
                <c:formatCode>General</c:formatCode>
                <c:ptCount val="822"/>
                <c:pt idx="0">
                  <c:v>192.93048542056493</c:v>
                </c:pt>
                <c:pt idx="1">
                  <c:v>192.96109911309892</c:v>
                </c:pt>
                <c:pt idx="2">
                  <c:v>192.99171280563291</c:v>
                </c:pt>
                <c:pt idx="3">
                  <c:v>193.03763334443391</c:v>
                </c:pt>
                <c:pt idx="4">
                  <c:v>193.08355388323488</c:v>
                </c:pt>
                <c:pt idx="5">
                  <c:v>193.12947442203588</c:v>
                </c:pt>
                <c:pt idx="6">
                  <c:v>193.16008811456987</c:v>
                </c:pt>
                <c:pt idx="7">
                  <c:v>193.19070180710386</c:v>
                </c:pt>
                <c:pt idx="8">
                  <c:v>193.19070180710386</c:v>
                </c:pt>
                <c:pt idx="9">
                  <c:v>193.19070180710386</c:v>
                </c:pt>
                <c:pt idx="10">
                  <c:v>193.17539496083688</c:v>
                </c:pt>
                <c:pt idx="11">
                  <c:v>193.14478126830289</c:v>
                </c:pt>
                <c:pt idx="12">
                  <c:v>193.12947442203588</c:v>
                </c:pt>
                <c:pt idx="13">
                  <c:v>193.12947442203588</c:v>
                </c:pt>
                <c:pt idx="14">
                  <c:v>193.14478126830289</c:v>
                </c:pt>
                <c:pt idx="15">
                  <c:v>193.17539496083688</c:v>
                </c:pt>
                <c:pt idx="16">
                  <c:v>193.20600865337087</c:v>
                </c:pt>
                <c:pt idx="17">
                  <c:v>193.25192919217184</c:v>
                </c:pt>
                <c:pt idx="18">
                  <c:v>193.18622175453791</c:v>
                </c:pt>
                <c:pt idx="19">
                  <c:v>193.18622175453791</c:v>
                </c:pt>
                <c:pt idx="20">
                  <c:v>193.25192919217184</c:v>
                </c:pt>
                <c:pt idx="21">
                  <c:v>193.19070180710386</c:v>
                </c:pt>
                <c:pt idx="22">
                  <c:v>192.93048542056493</c:v>
                </c:pt>
                <c:pt idx="23">
                  <c:v>193.11074780231021</c:v>
                </c:pt>
                <c:pt idx="24">
                  <c:v>193.10646188535546</c:v>
                </c:pt>
                <c:pt idx="25">
                  <c:v>193.09587402779127</c:v>
                </c:pt>
                <c:pt idx="26">
                  <c:v>193.08424082462835</c:v>
                </c:pt>
                <c:pt idx="27">
                  <c:v>193.0701585260627</c:v>
                </c:pt>
                <c:pt idx="28">
                  <c:v>193.05301485824367</c:v>
                </c:pt>
                <c:pt idx="29">
                  <c:v>193.0334220950219</c:v>
                </c:pt>
                <c:pt idx="30">
                  <c:v>193.01138023639743</c:v>
                </c:pt>
                <c:pt idx="31">
                  <c:v>192.98872610392229</c:v>
                </c:pt>
                <c:pt idx="32">
                  <c:v>192.96607197144712</c:v>
                </c:pt>
                <c:pt idx="33">
                  <c:v>192.94647920822524</c:v>
                </c:pt>
                <c:pt idx="34">
                  <c:v>192.92749871885417</c:v>
                </c:pt>
                <c:pt idx="35">
                  <c:v>192.91035505103525</c:v>
                </c:pt>
                <c:pt idx="36">
                  <c:v>192.89443593091758</c:v>
                </c:pt>
                <c:pt idx="37">
                  <c:v>192.87790453694925</c:v>
                </c:pt>
                <c:pt idx="38">
                  <c:v>192.86198541683154</c:v>
                </c:pt>
                <c:pt idx="39">
                  <c:v>192.84361720131116</c:v>
                </c:pt>
                <c:pt idx="40">
                  <c:v>192.82341216423873</c:v>
                </c:pt>
                <c:pt idx="41">
                  <c:v>192.80137030561426</c:v>
                </c:pt>
                <c:pt idx="42">
                  <c:v>192.77359397970537</c:v>
                </c:pt>
                <c:pt idx="43">
                  <c:v>192.75418041858623</c:v>
                </c:pt>
                <c:pt idx="44">
                  <c:v>192.73476685746712</c:v>
                </c:pt>
                <c:pt idx="45">
                  <c:v>192.71211272499184</c:v>
                </c:pt>
                <c:pt idx="46">
                  <c:v>192.69190768791952</c:v>
                </c:pt>
                <c:pt idx="47">
                  <c:v>192.68272358015921</c:v>
                </c:pt>
                <c:pt idx="48">
                  <c:v>192.67598856780185</c:v>
                </c:pt>
                <c:pt idx="49">
                  <c:v>192.67353947239914</c:v>
                </c:pt>
                <c:pt idx="50">
                  <c:v>192.67739231760586</c:v>
                </c:pt>
                <c:pt idx="51">
                  <c:v>192.68167823456062</c:v>
                </c:pt>
                <c:pt idx="52">
                  <c:v>192.68718869921673</c:v>
                </c:pt>
                <c:pt idx="53">
                  <c:v>192.69269916387285</c:v>
                </c:pt>
                <c:pt idx="54">
                  <c:v>192.69759735467829</c:v>
                </c:pt>
                <c:pt idx="55">
                  <c:v>192.70249554548374</c:v>
                </c:pt>
                <c:pt idx="56">
                  <c:v>192.70555691473714</c:v>
                </c:pt>
                <c:pt idx="57">
                  <c:v>192.70739373628916</c:v>
                </c:pt>
                <c:pt idx="58">
                  <c:v>192.70433236703576</c:v>
                </c:pt>
                <c:pt idx="59">
                  <c:v>192.69943417623034</c:v>
                </c:pt>
                <c:pt idx="60">
                  <c:v>192.69086234232083</c:v>
                </c:pt>
                <c:pt idx="61">
                  <c:v>192.68045368685927</c:v>
                </c:pt>
                <c:pt idx="62">
                  <c:v>192.6694327575469</c:v>
                </c:pt>
                <c:pt idx="63">
                  <c:v>192.65718728053344</c:v>
                </c:pt>
                <c:pt idx="64">
                  <c:v>192.64677862507187</c:v>
                </c:pt>
                <c:pt idx="65">
                  <c:v>192.63619076750754</c:v>
                </c:pt>
                <c:pt idx="66">
                  <c:v>192.63068030285154</c:v>
                </c:pt>
                <c:pt idx="67">
                  <c:v>192.63090430547985</c:v>
                </c:pt>
                <c:pt idx="68">
                  <c:v>192.62661838852509</c:v>
                </c:pt>
                <c:pt idx="69">
                  <c:v>192.62294474542102</c:v>
                </c:pt>
                <c:pt idx="70">
                  <c:v>192.61988337616762</c:v>
                </c:pt>
                <c:pt idx="71">
                  <c:v>192.61620973306353</c:v>
                </c:pt>
                <c:pt idx="72">
                  <c:v>192.61008699455672</c:v>
                </c:pt>
                <c:pt idx="73">
                  <c:v>192.60151516064721</c:v>
                </c:pt>
                <c:pt idx="74">
                  <c:v>192.58804513593225</c:v>
                </c:pt>
                <c:pt idx="75">
                  <c:v>192.57151374196391</c:v>
                </c:pt>
                <c:pt idx="76">
                  <c:v>192.55253325259284</c:v>
                </c:pt>
                <c:pt idx="77">
                  <c:v>192.53294048937107</c:v>
                </c:pt>
                <c:pt idx="78">
                  <c:v>192.51396</c:v>
                </c:pt>
                <c:pt idx="79">
                  <c:v>168.55638609779953</c:v>
                </c:pt>
                <c:pt idx="80">
                  <c:v>192.49620405833028</c:v>
                </c:pt>
                <c:pt idx="81">
                  <c:v>192.47967266436191</c:v>
                </c:pt>
                <c:pt idx="82">
                  <c:v>192.46414181546652</c:v>
                </c:pt>
                <c:pt idx="83">
                  <c:v>192.45067179075167</c:v>
                </c:pt>
                <c:pt idx="84">
                  <c:v>192.43903858758875</c:v>
                </c:pt>
                <c:pt idx="85">
                  <c:v>192.42862993212719</c:v>
                </c:pt>
                <c:pt idx="86">
                  <c:v>192.41944582436702</c:v>
                </c:pt>
                <c:pt idx="87">
                  <c:v>192.41087399045747</c:v>
                </c:pt>
                <c:pt idx="88">
                  <c:v>192.40230215654796</c:v>
                </c:pt>
                <c:pt idx="89">
                  <c:v>192.39311804878778</c:v>
                </c:pt>
                <c:pt idx="90">
                  <c:v>192.38332166717689</c:v>
                </c:pt>
                <c:pt idx="91">
                  <c:v>192.37431676151934</c:v>
                </c:pt>
                <c:pt idx="92">
                  <c:v>192.36023446295368</c:v>
                </c:pt>
                <c:pt idx="93">
                  <c:v>192.34431534283601</c:v>
                </c:pt>
                <c:pt idx="94">
                  <c:v>192.32717167501698</c:v>
                </c:pt>
                <c:pt idx="95">
                  <c:v>192.31002800719796</c:v>
                </c:pt>
                <c:pt idx="96">
                  <c:v>192.29349661322959</c:v>
                </c:pt>
                <c:pt idx="97">
                  <c:v>192.27757749311192</c:v>
                </c:pt>
                <c:pt idx="98">
                  <c:v>192.26410746839696</c:v>
                </c:pt>
                <c:pt idx="99">
                  <c:v>192.25247426523404</c:v>
                </c:pt>
                <c:pt idx="100">
                  <c:v>192.24512697902588</c:v>
                </c:pt>
                <c:pt idx="101">
                  <c:v>192.24000478559213</c:v>
                </c:pt>
                <c:pt idx="102">
                  <c:v>192.23694341633876</c:v>
                </c:pt>
                <c:pt idx="103">
                  <c:v>192.23510659478671</c:v>
                </c:pt>
                <c:pt idx="104">
                  <c:v>192.23449432093591</c:v>
                </c:pt>
                <c:pt idx="105">
                  <c:v>192.23510659478671</c:v>
                </c:pt>
                <c:pt idx="106">
                  <c:v>192.2351065947866</c:v>
                </c:pt>
                <c:pt idx="107">
                  <c:v>192.23594287126556</c:v>
                </c:pt>
                <c:pt idx="108">
                  <c:v>192.23471832356421</c:v>
                </c:pt>
                <c:pt idx="109">
                  <c:v>192.23226922816161</c:v>
                </c:pt>
                <c:pt idx="110">
                  <c:v>192.22964093065625</c:v>
                </c:pt>
                <c:pt idx="111">
                  <c:v>192.22719183525354</c:v>
                </c:pt>
                <c:pt idx="112">
                  <c:v>192.22535501370149</c:v>
                </c:pt>
                <c:pt idx="113">
                  <c:v>192.22535501370149</c:v>
                </c:pt>
                <c:pt idx="114">
                  <c:v>192.22596728755218</c:v>
                </c:pt>
                <c:pt idx="115">
                  <c:v>192.22719183525354</c:v>
                </c:pt>
                <c:pt idx="116">
                  <c:v>192.22859558505752</c:v>
                </c:pt>
                <c:pt idx="117">
                  <c:v>192.23043240660957</c:v>
                </c:pt>
                <c:pt idx="118">
                  <c:v>192.23288150201228</c:v>
                </c:pt>
                <c:pt idx="119">
                  <c:v>192.23533059741501</c:v>
                </c:pt>
                <c:pt idx="120">
                  <c:v>192.23839196666842</c:v>
                </c:pt>
                <c:pt idx="121">
                  <c:v>192.24084106207113</c:v>
                </c:pt>
                <c:pt idx="122">
                  <c:v>192.24329015747372</c:v>
                </c:pt>
                <c:pt idx="123">
                  <c:v>192.24512697902577</c:v>
                </c:pt>
                <c:pt idx="124">
                  <c:v>192.24696380057779</c:v>
                </c:pt>
                <c:pt idx="125">
                  <c:v>192.24818834827917</c:v>
                </c:pt>
                <c:pt idx="126">
                  <c:v>192.24902462475814</c:v>
                </c:pt>
                <c:pt idx="127">
                  <c:v>192.25024917245949</c:v>
                </c:pt>
                <c:pt idx="128">
                  <c:v>192.25147372016085</c:v>
                </c:pt>
                <c:pt idx="129">
                  <c:v>192.25208599401165</c:v>
                </c:pt>
                <c:pt idx="130">
                  <c:v>192.25208599401165</c:v>
                </c:pt>
                <c:pt idx="131">
                  <c:v>192.25269826786234</c:v>
                </c:pt>
                <c:pt idx="132">
                  <c:v>192.25331054171301</c:v>
                </c:pt>
                <c:pt idx="133">
                  <c:v>192.25453508941439</c:v>
                </c:pt>
                <c:pt idx="134">
                  <c:v>192.25637191096641</c:v>
                </c:pt>
                <c:pt idx="135">
                  <c:v>192.25777566077042</c:v>
                </c:pt>
                <c:pt idx="136">
                  <c:v>192.25961248232247</c:v>
                </c:pt>
                <c:pt idx="137">
                  <c:v>192.26122530124618</c:v>
                </c:pt>
                <c:pt idx="138">
                  <c:v>192.26183757509688</c:v>
                </c:pt>
                <c:pt idx="139">
                  <c:v>192.26244984894757</c:v>
                </c:pt>
                <c:pt idx="140">
                  <c:v>192.26183757509688</c:v>
                </c:pt>
                <c:pt idx="141">
                  <c:v>192.25920927759151</c:v>
                </c:pt>
                <c:pt idx="142">
                  <c:v>192.25553563448744</c:v>
                </c:pt>
                <c:pt idx="143">
                  <c:v>192.25002516983133</c:v>
                </c:pt>
                <c:pt idx="144">
                  <c:v>192.24512697902577</c:v>
                </c:pt>
                <c:pt idx="145">
                  <c:v>192.23961651436963</c:v>
                </c:pt>
                <c:pt idx="146">
                  <c:v>192.23410604971366</c:v>
                </c:pt>
                <c:pt idx="147">
                  <c:v>192.22798331120671</c:v>
                </c:pt>
                <c:pt idx="148">
                  <c:v>192.22063602499856</c:v>
                </c:pt>
                <c:pt idx="149">
                  <c:v>192.21267646493985</c:v>
                </c:pt>
                <c:pt idx="150">
                  <c:v>192.20410463103033</c:v>
                </c:pt>
                <c:pt idx="151">
                  <c:v>192.19492052327013</c:v>
                </c:pt>
                <c:pt idx="152">
                  <c:v>192.1838995939579</c:v>
                </c:pt>
                <c:pt idx="153">
                  <c:v>192.17148984835009</c:v>
                </c:pt>
                <c:pt idx="154">
                  <c:v>192.15846782889184</c:v>
                </c:pt>
                <c:pt idx="155">
                  <c:v>192.14299671403066</c:v>
                </c:pt>
                <c:pt idx="156">
                  <c:v>192.12568877761765</c:v>
                </c:pt>
                <c:pt idx="157">
                  <c:v>192.10715629350318</c:v>
                </c:pt>
                <c:pt idx="158">
                  <c:v>192.08678698783666</c:v>
                </c:pt>
                <c:pt idx="159">
                  <c:v>192.06458086061798</c:v>
                </c:pt>
                <c:pt idx="160">
                  <c:v>192.0399256379967</c:v>
                </c:pt>
                <c:pt idx="161">
                  <c:v>192.01404586767404</c:v>
                </c:pt>
                <c:pt idx="162">
                  <c:v>191.9858464256896</c:v>
                </c:pt>
                <c:pt idx="163">
                  <c:v>191.95690528611357</c:v>
                </c:pt>
                <c:pt idx="164">
                  <c:v>191.92632572731338</c:v>
                </c:pt>
                <c:pt idx="165">
                  <c:v>191.8955477661853</c:v>
                </c:pt>
                <c:pt idx="166">
                  <c:v>191.86476980505722</c:v>
                </c:pt>
                <c:pt idx="167">
                  <c:v>191.83302614370939</c:v>
                </c:pt>
                <c:pt idx="168">
                  <c:v>191.79902254473382</c:v>
                </c:pt>
                <c:pt idx="169">
                  <c:v>191.76379439805689</c:v>
                </c:pt>
                <c:pt idx="170">
                  <c:v>191.72611715597725</c:v>
                </c:pt>
                <c:pt idx="171">
                  <c:v>191.6859908184949</c:v>
                </c:pt>
                <c:pt idx="172">
                  <c:v>191.64502820453356</c:v>
                </c:pt>
                <c:pt idx="173">
                  <c:v>191.60122822394712</c:v>
                </c:pt>
                <c:pt idx="174">
                  <c:v>191.55497914795797</c:v>
                </c:pt>
                <c:pt idx="175">
                  <c:v>191.50750552426746</c:v>
                </c:pt>
                <c:pt idx="176">
                  <c:v>191.46003190057692</c:v>
                </c:pt>
                <c:pt idx="177">
                  <c:v>191.41054225323174</c:v>
                </c:pt>
                <c:pt idx="178">
                  <c:v>191.35955925503123</c:v>
                </c:pt>
                <c:pt idx="179">
                  <c:v>191.30796398298003</c:v>
                </c:pt>
                <c:pt idx="180">
                  <c:v>191.25759325863021</c:v>
                </c:pt>
                <c:pt idx="181">
                  <c:v>191.20844708198172</c:v>
                </c:pt>
                <c:pt idx="182">
                  <c:v>191.15685180993054</c:v>
                </c:pt>
                <c:pt idx="183">
                  <c:v>191.10525653787934</c:v>
                </c:pt>
                <c:pt idx="184">
                  <c:v>191.05588635860258</c:v>
                </c:pt>
                <c:pt idx="185">
                  <c:v>191.00857700350613</c:v>
                </c:pt>
                <c:pt idx="186">
                  <c:v>190.96310446996173</c:v>
                </c:pt>
                <c:pt idx="187">
                  <c:v>190.9195633368569</c:v>
                </c:pt>
                <c:pt idx="188">
                  <c:v>190.87592762486454</c:v>
                </c:pt>
                <c:pt idx="189">
                  <c:v>190.83148123669349</c:v>
                </c:pt>
                <c:pt idx="190">
                  <c:v>190.78233506004514</c:v>
                </c:pt>
                <c:pt idx="191">
                  <c:v>190.73012751414328</c:v>
                </c:pt>
                <c:pt idx="192">
                  <c:v>190.67521202535696</c:v>
                </c:pt>
                <c:pt idx="193">
                  <c:v>190.61643373569171</c:v>
                </c:pt>
                <c:pt idx="194">
                  <c:v>190.55188613388884</c:v>
                </c:pt>
                <c:pt idx="195">
                  <c:v>190.48437174171985</c:v>
                </c:pt>
                <c:pt idx="196">
                  <c:v>190.41381304716461</c:v>
                </c:pt>
                <c:pt idx="197">
                  <c:v>190.34101219296792</c:v>
                </c:pt>
                <c:pt idx="198">
                  <c:v>190.26692705703567</c:v>
                </c:pt>
                <c:pt idx="199">
                  <c:v>190.19058198347571</c:v>
                </c:pt>
                <c:pt idx="200">
                  <c:v>190.11204666199458</c:v>
                </c:pt>
                <c:pt idx="201">
                  <c:v>190.02974311852191</c:v>
                </c:pt>
                <c:pt idx="202">
                  <c:v>189.9434445059515</c:v>
                </c:pt>
                <c:pt idx="203">
                  <c:v>189.85293251061074</c:v>
                </c:pt>
                <c:pt idx="204">
                  <c:v>168.55638609779953</c:v>
                </c:pt>
                <c:pt idx="205">
                  <c:v>189.75831380041788</c:v>
                </c:pt>
                <c:pt idx="206">
                  <c:v>189.65940917327026</c:v>
                </c:pt>
                <c:pt idx="207">
                  <c:v>189.55438180761584</c:v>
                </c:pt>
                <c:pt idx="208">
                  <c:v>189.44890643670482</c:v>
                </c:pt>
                <c:pt idx="209">
                  <c:v>189.33836860639428</c:v>
                </c:pt>
                <c:pt idx="210">
                  <c:v>189.22236511195328</c:v>
                </c:pt>
                <c:pt idx="211">
                  <c:v>189.10080635233049</c:v>
                </c:pt>
                <c:pt idx="212">
                  <c:v>188.9737371280516</c:v>
                </c:pt>
                <c:pt idx="213">
                  <c:v>188.84221771822385</c:v>
                </c:pt>
                <c:pt idx="214">
                  <c:v>188.70581718445757</c:v>
                </c:pt>
                <c:pt idx="215">
                  <c:v>188.56546709323874</c:v>
                </c:pt>
                <c:pt idx="216">
                  <c:v>188.42476357565079</c:v>
                </c:pt>
                <c:pt idx="217">
                  <c:v>188.28406005806283</c:v>
                </c:pt>
                <c:pt idx="218">
                  <c:v>188.14213199277356</c:v>
                </c:pt>
                <c:pt idx="219">
                  <c:v>188.00083113484348</c:v>
                </c:pt>
                <c:pt idx="220">
                  <c:v>187.85917685054432</c:v>
                </c:pt>
                <c:pt idx="221">
                  <c:v>187.7178610591057</c:v>
                </c:pt>
                <c:pt idx="222">
                  <c:v>187.57652820080017</c:v>
                </c:pt>
                <c:pt idx="223">
                  <c:v>187.43276331395884</c:v>
                </c:pt>
                <c:pt idx="224">
                  <c:v>187.28822188467274</c:v>
                </c:pt>
                <c:pt idx="225">
                  <c:v>187.14471584531299</c:v>
                </c:pt>
                <c:pt idx="226">
                  <c:v>186.99972641077028</c:v>
                </c:pt>
                <c:pt idx="227">
                  <c:v>186.85605610281647</c:v>
                </c:pt>
                <c:pt idx="228">
                  <c:v>186.71656006606298</c:v>
                </c:pt>
                <c:pt idx="229">
                  <c:v>186.58048593612651</c:v>
                </c:pt>
                <c:pt idx="230">
                  <c:v>186.4448448779381</c:v>
                </c:pt>
                <c:pt idx="231">
                  <c:v>186.31042836745104</c:v>
                </c:pt>
                <c:pt idx="232">
                  <c:v>186.17884922358908</c:v>
                </c:pt>
                <c:pt idx="233">
                  <c:v>186.04671753991067</c:v>
                </c:pt>
                <c:pt idx="234">
                  <c:v>185.91824243246944</c:v>
                </c:pt>
                <c:pt idx="235">
                  <c:v>185.79423244408545</c:v>
                </c:pt>
                <c:pt idx="236">
                  <c:v>168.55638609779953</c:v>
                </c:pt>
                <c:pt idx="237">
                  <c:v>185.67494144440442</c:v>
                </c:pt>
                <c:pt idx="238">
                  <c:v>185.55993636167813</c:v>
                </c:pt>
                <c:pt idx="239">
                  <c:v>185.44999373835137</c:v>
                </c:pt>
                <c:pt idx="240">
                  <c:v>185.34433703197936</c:v>
                </c:pt>
                <c:pt idx="241">
                  <c:v>185.24507897846263</c:v>
                </c:pt>
                <c:pt idx="242">
                  <c:v>185.1498479944191</c:v>
                </c:pt>
                <c:pt idx="243">
                  <c:v>185.05890292733031</c:v>
                </c:pt>
                <c:pt idx="244">
                  <c:v>184.97101922949491</c:v>
                </c:pt>
                <c:pt idx="245">
                  <c:v>184.88863106280709</c:v>
                </c:pt>
                <c:pt idx="246">
                  <c:v>184.80991653922337</c:v>
                </c:pt>
                <c:pt idx="247">
                  <c:v>184.73550286610293</c:v>
                </c:pt>
                <c:pt idx="248">
                  <c:v>184.6639265596076</c:v>
                </c:pt>
                <c:pt idx="249">
                  <c:v>184.59484414904065</c:v>
                </c:pt>
                <c:pt idx="250">
                  <c:v>184.53065992927912</c:v>
                </c:pt>
                <c:pt idx="251">
                  <c:v>184.46463888796558</c:v>
                </c:pt>
                <c:pt idx="252">
                  <c:v>184.40167921590543</c:v>
                </c:pt>
                <c:pt idx="253">
                  <c:v>184.33583737669451</c:v>
                </c:pt>
                <c:pt idx="254">
                  <c:v>184.26877098978224</c:v>
                </c:pt>
                <c:pt idx="255">
                  <c:v>184.20109232901927</c:v>
                </c:pt>
                <c:pt idx="256">
                  <c:v>184.13525048980839</c:v>
                </c:pt>
                <c:pt idx="257">
                  <c:v>184.07063319829882</c:v>
                </c:pt>
                <c:pt idx="258">
                  <c:v>184.00623990941756</c:v>
                </c:pt>
                <c:pt idx="259">
                  <c:v>183.94674481134174</c:v>
                </c:pt>
                <c:pt idx="260">
                  <c:v>183.88743104872691</c:v>
                </c:pt>
                <c:pt idx="261">
                  <c:v>183.82750501226141</c:v>
                </c:pt>
                <c:pt idx="262">
                  <c:v>183.75694631770602</c:v>
                </c:pt>
                <c:pt idx="263">
                  <c:v>183.70153020082358</c:v>
                </c:pt>
                <c:pt idx="264">
                  <c:v>183.62178739850802</c:v>
                </c:pt>
                <c:pt idx="265">
                  <c:v>183.53896616007228</c:v>
                </c:pt>
                <c:pt idx="266">
                  <c:v>183.45002218312962</c:v>
                </c:pt>
                <c:pt idx="267">
                  <c:v>183.35556774153082</c:v>
                </c:pt>
                <c:pt idx="268">
                  <c:v>183.25192919217184</c:v>
                </c:pt>
                <c:pt idx="269">
                  <c:v>183.25192919217184</c:v>
                </c:pt>
                <c:pt idx="270">
                  <c:v>183.25192919217184</c:v>
                </c:pt>
                <c:pt idx="271">
                  <c:v>183.25192919217184</c:v>
                </c:pt>
                <c:pt idx="272">
                  <c:v>183.25192919217184</c:v>
                </c:pt>
                <c:pt idx="273">
                  <c:v>183.25192919217184</c:v>
                </c:pt>
                <c:pt idx="274">
                  <c:v>183.25192919217184</c:v>
                </c:pt>
                <c:pt idx="275">
                  <c:v>183.25192919217184</c:v>
                </c:pt>
                <c:pt idx="276">
                  <c:v>183.25192919217184</c:v>
                </c:pt>
                <c:pt idx="277">
                  <c:v>183.25192919217184</c:v>
                </c:pt>
                <c:pt idx="278">
                  <c:v>183.25192919217184</c:v>
                </c:pt>
                <c:pt idx="279">
                  <c:v>183.25192919217184</c:v>
                </c:pt>
                <c:pt idx="280">
                  <c:v>183.25192919217184</c:v>
                </c:pt>
                <c:pt idx="281">
                  <c:v>183.25192919217184</c:v>
                </c:pt>
                <c:pt idx="282">
                  <c:v>183.25192919217184</c:v>
                </c:pt>
                <c:pt idx="283">
                  <c:v>183.25192919217184</c:v>
                </c:pt>
                <c:pt idx="284">
                  <c:v>183.25192919217184</c:v>
                </c:pt>
                <c:pt idx="285">
                  <c:v>183.25192919217184</c:v>
                </c:pt>
                <c:pt idx="286">
                  <c:v>183.25192919217184</c:v>
                </c:pt>
                <c:pt idx="287">
                  <c:v>183.25192919217184</c:v>
                </c:pt>
                <c:pt idx="288">
                  <c:v>183.25192919217184</c:v>
                </c:pt>
                <c:pt idx="289">
                  <c:v>183.25192919217184</c:v>
                </c:pt>
                <c:pt idx="290">
                  <c:v>183.25192919217184</c:v>
                </c:pt>
                <c:pt idx="291">
                  <c:v>183.25192919217184</c:v>
                </c:pt>
                <c:pt idx="292">
                  <c:v>183.25192919217184</c:v>
                </c:pt>
                <c:pt idx="293">
                  <c:v>183.25192919217184</c:v>
                </c:pt>
                <c:pt idx="294">
                  <c:v>183.25192919217184</c:v>
                </c:pt>
                <c:pt idx="295">
                  <c:v>183.25192919217184</c:v>
                </c:pt>
                <c:pt idx="296">
                  <c:v>183.25192919217184</c:v>
                </c:pt>
                <c:pt idx="297">
                  <c:v>183.25192919217184</c:v>
                </c:pt>
                <c:pt idx="298">
                  <c:v>183.25192919217184</c:v>
                </c:pt>
                <c:pt idx="299">
                  <c:v>183.25192919217184</c:v>
                </c:pt>
                <c:pt idx="300">
                  <c:v>183.25192919217184</c:v>
                </c:pt>
                <c:pt idx="301">
                  <c:v>183.25192919217184</c:v>
                </c:pt>
                <c:pt idx="302">
                  <c:v>183.25192919217184</c:v>
                </c:pt>
                <c:pt idx="303">
                  <c:v>183.25192919217184</c:v>
                </c:pt>
                <c:pt idx="304">
                  <c:v>183.25192919217184</c:v>
                </c:pt>
                <c:pt idx="305">
                  <c:v>183.25192919217184</c:v>
                </c:pt>
                <c:pt idx="306">
                  <c:v>183.25192919217184</c:v>
                </c:pt>
                <c:pt idx="307">
                  <c:v>183.25192919217184</c:v>
                </c:pt>
                <c:pt idx="308">
                  <c:v>183.25192919217184</c:v>
                </c:pt>
                <c:pt idx="309">
                  <c:v>183.25192919217184</c:v>
                </c:pt>
                <c:pt idx="310">
                  <c:v>183.25192919217184</c:v>
                </c:pt>
                <c:pt idx="311">
                  <c:v>183.25192919217184</c:v>
                </c:pt>
                <c:pt idx="312">
                  <c:v>183.25192919217184</c:v>
                </c:pt>
                <c:pt idx="313">
                  <c:v>183.25192919217184</c:v>
                </c:pt>
                <c:pt idx="314">
                  <c:v>183.25192919217184</c:v>
                </c:pt>
                <c:pt idx="315">
                  <c:v>183.25192919217184</c:v>
                </c:pt>
                <c:pt idx="316">
                  <c:v>183.25192919217184</c:v>
                </c:pt>
                <c:pt idx="317">
                  <c:v>183.25192919217184</c:v>
                </c:pt>
                <c:pt idx="318">
                  <c:v>183.25192919217184</c:v>
                </c:pt>
                <c:pt idx="319">
                  <c:v>183.25192919217184</c:v>
                </c:pt>
                <c:pt idx="320">
                  <c:v>183.25192919217184</c:v>
                </c:pt>
                <c:pt idx="321">
                  <c:v>183.25192919217184</c:v>
                </c:pt>
                <c:pt idx="322">
                  <c:v>183.25192919217184</c:v>
                </c:pt>
                <c:pt idx="323">
                  <c:v>183.25192919217184</c:v>
                </c:pt>
                <c:pt idx="324">
                  <c:v>183.25192919217184</c:v>
                </c:pt>
                <c:pt idx="325">
                  <c:v>183.25192919217184</c:v>
                </c:pt>
                <c:pt idx="326">
                  <c:v>183.25192919217184</c:v>
                </c:pt>
                <c:pt idx="327">
                  <c:v>183.25192919217184</c:v>
                </c:pt>
                <c:pt idx="328">
                  <c:v>183.25192919217184</c:v>
                </c:pt>
                <c:pt idx="329">
                  <c:v>183.25192919217184</c:v>
                </c:pt>
                <c:pt idx="330">
                  <c:v>183.25192919217184</c:v>
                </c:pt>
                <c:pt idx="331">
                  <c:v>183.25192919217184</c:v>
                </c:pt>
                <c:pt idx="332">
                  <c:v>183.25192919217184</c:v>
                </c:pt>
                <c:pt idx="333">
                  <c:v>183.25192919217184</c:v>
                </c:pt>
                <c:pt idx="334">
                  <c:v>183.25192919217184</c:v>
                </c:pt>
                <c:pt idx="335">
                  <c:v>183.25192919217184</c:v>
                </c:pt>
                <c:pt idx="336">
                  <c:v>183.25192919217184</c:v>
                </c:pt>
                <c:pt idx="337">
                  <c:v>183.25192919217184</c:v>
                </c:pt>
                <c:pt idx="338">
                  <c:v>183.25192919217184</c:v>
                </c:pt>
                <c:pt idx="339">
                  <c:v>183.25192919217184</c:v>
                </c:pt>
                <c:pt idx="340">
                  <c:v>183.25192919217184</c:v>
                </c:pt>
                <c:pt idx="341">
                  <c:v>183.25192919217184</c:v>
                </c:pt>
                <c:pt idx="342">
                  <c:v>183.25192919217184</c:v>
                </c:pt>
                <c:pt idx="343">
                  <c:v>183.25192919217184</c:v>
                </c:pt>
                <c:pt idx="344">
                  <c:v>183.25192919217184</c:v>
                </c:pt>
                <c:pt idx="345">
                  <c:v>183.25192919217184</c:v>
                </c:pt>
                <c:pt idx="346">
                  <c:v>183.25192919217184</c:v>
                </c:pt>
                <c:pt idx="347">
                  <c:v>183.25192919217184</c:v>
                </c:pt>
                <c:pt idx="348">
                  <c:v>183.25192919217184</c:v>
                </c:pt>
                <c:pt idx="349">
                  <c:v>183.25192919217184</c:v>
                </c:pt>
                <c:pt idx="350">
                  <c:v>183.25192919217184</c:v>
                </c:pt>
                <c:pt idx="351">
                  <c:v>183.25192919217184</c:v>
                </c:pt>
                <c:pt idx="352">
                  <c:v>183.25192919217184</c:v>
                </c:pt>
                <c:pt idx="353">
                  <c:v>183.25192919217184</c:v>
                </c:pt>
                <c:pt idx="354">
                  <c:v>183.25192919217184</c:v>
                </c:pt>
                <c:pt idx="355">
                  <c:v>183.25192919217184</c:v>
                </c:pt>
                <c:pt idx="356">
                  <c:v>183.25192919217184</c:v>
                </c:pt>
                <c:pt idx="357">
                  <c:v>183.25192919217184</c:v>
                </c:pt>
                <c:pt idx="358">
                  <c:v>183.25192919217184</c:v>
                </c:pt>
                <c:pt idx="359">
                  <c:v>183.25192919217184</c:v>
                </c:pt>
                <c:pt idx="360">
                  <c:v>183.25192919217184</c:v>
                </c:pt>
                <c:pt idx="361">
                  <c:v>183.25192919217184</c:v>
                </c:pt>
                <c:pt idx="362">
                  <c:v>183.25192919217184</c:v>
                </c:pt>
                <c:pt idx="363">
                  <c:v>183.25192919217184</c:v>
                </c:pt>
                <c:pt idx="364">
                  <c:v>183.25192919217184</c:v>
                </c:pt>
                <c:pt idx="365">
                  <c:v>183.25192919217184</c:v>
                </c:pt>
                <c:pt idx="366">
                  <c:v>183.25192919217184</c:v>
                </c:pt>
                <c:pt idx="367">
                  <c:v>183.25192919217184</c:v>
                </c:pt>
                <c:pt idx="368">
                  <c:v>183.25192919217184</c:v>
                </c:pt>
                <c:pt idx="369">
                  <c:v>183.25192919217184</c:v>
                </c:pt>
                <c:pt idx="370">
                  <c:v>183.25192919217184</c:v>
                </c:pt>
                <c:pt idx="371">
                  <c:v>183.25192919217184</c:v>
                </c:pt>
                <c:pt idx="372">
                  <c:v>183.25192919217184</c:v>
                </c:pt>
                <c:pt idx="373">
                  <c:v>183.25192919217184</c:v>
                </c:pt>
                <c:pt idx="374">
                  <c:v>183.25192919217184</c:v>
                </c:pt>
                <c:pt idx="375">
                  <c:v>183.25192919217184</c:v>
                </c:pt>
                <c:pt idx="376">
                  <c:v>183.25192919217184</c:v>
                </c:pt>
                <c:pt idx="377">
                  <c:v>183.25192919217184</c:v>
                </c:pt>
                <c:pt idx="378">
                  <c:v>183.25192919217184</c:v>
                </c:pt>
                <c:pt idx="379">
                  <c:v>183.25192919217184</c:v>
                </c:pt>
                <c:pt idx="380">
                  <c:v>183.25192919217184</c:v>
                </c:pt>
                <c:pt idx="381">
                  <c:v>183.25192919217184</c:v>
                </c:pt>
                <c:pt idx="382">
                  <c:v>183.25192919217184</c:v>
                </c:pt>
                <c:pt idx="383">
                  <c:v>183.25192919217184</c:v>
                </c:pt>
                <c:pt idx="384">
                  <c:v>183.25192919217184</c:v>
                </c:pt>
                <c:pt idx="385">
                  <c:v>183.25192919217184</c:v>
                </c:pt>
                <c:pt idx="386">
                  <c:v>183.25192919217184</c:v>
                </c:pt>
                <c:pt idx="387">
                  <c:v>183.25192919217184</c:v>
                </c:pt>
                <c:pt idx="388">
                  <c:v>183.25192919217184</c:v>
                </c:pt>
                <c:pt idx="389">
                  <c:v>183.25192919217184</c:v>
                </c:pt>
                <c:pt idx="390">
                  <c:v>183.25192919217184</c:v>
                </c:pt>
                <c:pt idx="391">
                  <c:v>183.25192919217184</c:v>
                </c:pt>
                <c:pt idx="392">
                  <c:v>183.25192919217184</c:v>
                </c:pt>
                <c:pt idx="393">
                  <c:v>183.25192919217184</c:v>
                </c:pt>
                <c:pt idx="394">
                  <c:v>183.25192919217184</c:v>
                </c:pt>
                <c:pt idx="395">
                  <c:v>183.25192919217184</c:v>
                </c:pt>
                <c:pt idx="396">
                  <c:v>183.25192919217184</c:v>
                </c:pt>
                <c:pt idx="397">
                  <c:v>183.25192919217184</c:v>
                </c:pt>
                <c:pt idx="398">
                  <c:v>183.25192919217184</c:v>
                </c:pt>
                <c:pt idx="399">
                  <c:v>183.25192919217184</c:v>
                </c:pt>
                <c:pt idx="400">
                  <c:v>183.25192919217184</c:v>
                </c:pt>
                <c:pt idx="401">
                  <c:v>183.25192919217184</c:v>
                </c:pt>
                <c:pt idx="402">
                  <c:v>183.25192919217184</c:v>
                </c:pt>
                <c:pt idx="403">
                  <c:v>183.25192919217184</c:v>
                </c:pt>
                <c:pt idx="404">
                  <c:v>183.25192919217184</c:v>
                </c:pt>
                <c:pt idx="405">
                  <c:v>183.25192919217184</c:v>
                </c:pt>
                <c:pt idx="406">
                  <c:v>183.25192919217184</c:v>
                </c:pt>
                <c:pt idx="407">
                  <c:v>183.25192919217184</c:v>
                </c:pt>
                <c:pt idx="408">
                  <c:v>183.25192919217184</c:v>
                </c:pt>
                <c:pt idx="409">
                  <c:v>183.25192919217184</c:v>
                </c:pt>
                <c:pt idx="410">
                  <c:v>183.25192919217184</c:v>
                </c:pt>
                <c:pt idx="411">
                  <c:v>183.25192919217184</c:v>
                </c:pt>
                <c:pt idx="412">
                  <c:v>183.25192919217184</c:v>
                </c:pt>
                <c:pt idx="413">
                  <c:v>183.25192919217184</c:v>
                </c:pt>
                <c:pt idx="414">
                  <c:v>183.25192919217184</c:v>
                </c:pt>
                <c:pt idx="415">
                  <c:v>183.25192919217184</c:v>
                </c:pt>
                <c:pt idx="416">
                  <c:v>183.25192919217184</c:v>
                </c:pt>
                <c:pt idx="417">
                  <c:v>183.25192919217184</c:v>
                </c:pt>
                <c:pt idx="418">
                  <c:v>183.25192919217184</c:v>
                </c:pt>
                <c:pt idx="419">
                  <c:v>183.25192919217184</c:v>
                </c:pt>
                <c:pt idx="420">
                  <c:v>183.25192919217184</c:v>
                </c:pt>
                <c:pt idx="421">
                  <c:v>183.25192919217184</c:v>
                </c:pt>
                <c:pt idx="422">
                  <c:v>183.25192919217184</c:v>
                </c:pt>
                <c:pt idx="423">
                  <c:v>183.25192919217184</c:v>
                </c:pt>
                <c:pt idx="424">
                  <c:v>183.25192919217184</c:v>
                </c:pt>
                <c:pt idx="425">
                  <c:v>183.25192919217184</c:v>
                </c:pt>
                <c:pt idx="426">
                  <c:v>183.25192919217184</c:v>
                </c:pt>
                <c:pt idx="427">
                  <c:v>183.25192919217184</c:v>
                </c:pt>
                <c:pt idx="428">
                  <c:v>183.25192919217184</c:v>
                </c:pt>
                <c:pt idx="429">
                  <c:v>183.25192919217184</c:v>
                </c:pt>
                <c:pt idx="430">
                  <c:v>183.25192919217184</c:v>
                </c:pt>
                <c:pt idx="431">
                  <c:v>183.25192919217184</c:v>
                </c:pt>
                <c:pt idx="432">
                  <c:v>183.25192919217184</c:v>
                </c:pt>
                <c:pt idx="433">
                  <c:v>183.25192919217184</c:v>
                </c:pt>
                <c:pt idx="434">
                  <c:v>183.25192919217184</c:v>
                </c:pt>
                <c:pt idx="435">
                  <c:v>183.25192919217184</c:v>
                </c:pt>
                <c:pt idx="436">
                  <c:v>183.25192919217184</c:v>
                </c:pt>
                <c:pt idx="437">
                  <c:v>183.25192919217184</c:v>
                </c:pt>
                <c:pt idx="438">
                  <c:v>183.25192919217184</c:v>
                </c:pt>
                <c:pt idx="439">
                  <c:v>183.25192919217184</c:v>
                </c:pt>
                <c:pt idx="440">
                  <c:v>183.25192919217184</c:v>
                </c:pt>
                <c:pt idx="441">
                  <c:v>183.25192919217184</c:v>
                </c:pt>
              </c:numCache>
            </c:numRef>
          </c:xVal>
          <c:yVal>
            <c:numRef>
              <c:f>'Maju 0.1'!$L$179:$L$1000</c:f>
              <c:numCache>
                <c:formatCode>General</c:formatCode>
                <c:ptCount val="822"/>
                <c:pt idx="0">
                  <c:v>23.561</c:v>
                </c:pt>
                <c:pt idx="1">
                  <c:v>23.823</c:v>
                </c:pt>
                <c:pt idx="2">
                  <c:v>23.823</c:v>
                </c:pt>
                <c:pt idx="3">
                  <c:v>23.692</c:v>
                </c:pt>
                <c:pt idx="4">
                  <c:v>23.298999999999999</c:v>
                </c:pt>
                <c:pt idx="5">
                  <c:v>22.774999999999999</c:v>
                </c:pt>
                <c:pt idx="6">
                  <c:v>22.251000000000001</c:v>
                </c:pt>
                <c:pt idx="7">
                  <c:v>21.465</c:v>
                </c:pt>
                <c:pt idx="8">
                  <c:v>20.678999999999998</c:v>
                </c:pt>
                <c:pt idx="9">
                  <c:v>19.762</c:v>
                </c:pt>
                <c:pt idx="10">
                  <c:v>18.975999999999999</c:v>
                </c:pt>
                <c:pt idx="11">
                  <c:v>17.928000000000001</c:v>
                </c:pt>
                <c:pt idx="12">
                  <c:v>16.748999999999999</c:v>
                </c:pt>
                <c:pt idx="13">
                  <c:v>15.701000000000001</c:v>
                </c:pt>
                <c:pt idx="14">
                  <c:v>14.391</c:v>
                </c:pt>
                <c:pt idx="15">
                  <c:v>13.212</c:v>
                </c:pt>
                <c:pt idx="16">
                  <c:v>12.164</c:v>
                </c:pt>
                <c:pt idx="17">
                  <c:v>11.247</c:v>
                </c:pt>
                <c:pt idx="18">
                  <c:v>27.954999999999998</c:v>
                </c:pt>
                <c:pt idx="19">
                  <c:v>27.3</c:v>
                </c:pt>
                <c:pt idx="20">
                  <c:v>31.477</c:v>
                </c:pt>
                <c:pt idx="21">
                  <c:v>31.215</c:v>
                </c:pt>
                <c:pt idx="22">
                  <c:v>31.608000000000001</c:v>
                </c:pt>
                <c:pt idx="23">
                  <c:v>22.003640000000001</c:v>
                </c:pt>
                <c:pt idx="24">
                  <c:v>22.362200000000001</c:v>
                </c:pt>
                <c:pt idx="25">
                  <c:v>22.5484399999999</c:v>
                </c:pt>
                <c:pt idx="26">
                  <c:v>22.045399999999901</c:v>
                </c:pt>
                <c:pt idx="27">
                  <c:v>21.558079999999901</c:v>
                </c:pt>
                <c:pt idx="28">
                  <c:v>21.0969599999999</c:v>
                </c:pt>
                <c:pt idx="29">
                  <c:v>20.6777599999999</c:v>
                </c:pt>
                <c:pt idx="30">
                  <c:v>20.300479999999901</c:v>
                </c:pt>
                <c:pt idx="31">
                  <c:v>19.954639999999898</c:v>
                </c:pt>
                <c:pt idx="32">
                  <c:v>19.640239999999999</c:v>
                </c:pt>
                <c:pt idx="33">
                  <c:v>19.346800000000002</c:v>
                </c:pt>
                <c:pt idx="34">
                  <c:v>19.084800000000001</c:v>
                </c:pt>
                <c:pt idx="35">
                  <c:v>18.833279999999998</c:v>
                </c:pt>
                <c:pt idx="36">
                  <c:v>18.602719999999898</c:v>
                </c:pt>
                <c:pt idx="37">
                  <c:v>18.382639999999999</c:v>
                </c:pt>
                <c:pt idx="38">
                  <c:v>19.03464</c:v>
                </c:pt>
                <c:pt idx="39">
                  <c:v>19.6814</c:v>
                </c:pt>
                <c:pt idx="40">
                  <c:v>20.312439999999999</c:v>
                </c:pt>
                <c:pt idx="41">
                  <c:v>20.922519999999999</c:v>
                </c:pt>
                <c:pt idx="42">
                  <c:v>21.958159999999999</c:v>
                </c:pt>
                <c:pt idx="43">
                  <c:v>22.709119999999999</c:v>
                </c:pt>
                <c:pt idx="44">
                  <c:v>23.439119999999999</c:v>
                </c:pt>
                <c:pt idx="45">
                  <c:v>23.965359999999901</c:v>
                </c:pt>
                <c:pt idx="46">
                  <c:v>24.4706399999999</c:v>
                </c:pt>
                <c:pt idx="47">
                  <c:v>24.928759999999901</c:v>
                </c:pt>
                <c:pt idx="48">
                  <c:v>25.350199999999901</c:v>
                </c:pt>
                <c:pt idx="49">
                  <c:v>25.729719999999901</c:v>
                </c:pt>
                <c:pt idx="50">
                  <c:v>26.244879999999998</c:v>
                </c:pt>
                <c:pt idx="51">
                  <c:v>27.41788</c:v>
                </c:pt>
                <c:pt idx="52">
                  <c:v>28.548959999999902</c:v>
                </c:pt>
                <c:pt idx="53">
                  <c:v>29.6276399999999</c:v>
                </c:pt>
                <c:pt idx="54">
                  <c:v>30.648679999999999</c:v>
                </c:pt>
                <c:pt idx="55">
                  <c:v>31.617319999999999</c:v>
                </c:pt>
                <c:pt idx="56">
                  <c:v>32.549279999999897</c:v>
                </c:pt>
                <c:pt idx="57">
                  <c:v>33.449800000000003</c:v>
                </c:pt>
                <c:pt idx="58">
                  <c:v>34.329360000000001</c:v>
                </c:pt>
                <c:pt idx="59">
                  <c:v>35.182719999999897</c:v>
                </c:pt>
                <c:pt idx="60">
                  <c:v>36.030839999999998</c:v>
                </c:pt>
                <c:pt idx="61">
                  <c:v>36.878959999999999</c:v>
                </c:pt>
                <c:pt idx="62">
                  <c:v>37.737560000000002</c:v>
                </c:pt>
                <c:pt idx="63">
                  <c:v>37.739800000000002</c:v>
                </c:pt>
                <c:pt idx="64">
                  <c:v>37.768239999999999</c:v>
                </c:pt>
                <c:pt idx="65">
                  <c:v>38.533119999999997</c:v>
                </c:pt>
                <c:pt idx="66">
                  <c:v>39.512239999999998</c:v>
                </c:pt>
                <c:pt idx="67">
                  <c:v>40.076279999999997</c:v>
                </c:pt>
                <c:pt idx="68">
                  <c:v>40.240960000000001</c:v>
                </c:pt>
                <c:pt idx="69">
                  <c:v>40.442320000000002</c:v>
                </c:pt>
                <c:pt idx="70">
                  <c:v>40.67512</c:v>
                </c:pt>
                <c:pt idx="71">
                  <c:v>40.949840000000002</c:v>
                </c:pt>
                <c:pt idx="72">
                  <c:v>41.276960000000003</c:v>
                </c:pt>
                <c:pt idx="73">
                  <c:v>41.661719999999903</c:v>
                </c:pt>
                <c:pt idx="74">
                  <c:v>42.0884</c:v>
                </c:pt>
                <c:pt idx="75">
                  <c:v>42.562240000000003</c:v>
                </c:pt>
                <c:pt idx="76">
                  <c:v>43.067520000000002</c:v>
                </c:pt>
                <c:pt idx="77">
                  <c:v>43.609479999999998</c:v>
                </c:pt>
                <c:pt idx="78">
                  <c:v>43.767799999999902</c:v>
                </c:pt>
                <c:pt idx="80">
                  <c:v>43.547719999999998</c:v>
                </c:pt>
                <c:pt idx="81">
                  <c:v>43.364319999999999</c:v>
                </c:pt>
                <c:pt idx="82">
                  <c:v>43.62744</c:v>
                </c:pt>
                <c:pt idx="83">
                  <c:v>44.33184</c:v>
                </c:pt>
                <c:pt idx="84">
                  <c:v>45.046720000000001</c:v>
                </c:pt>
                <c:pt idx="85">
                  <c:v>45.761600000000001</c:v>
                </c:pt>
                <c:pt idx="86">
                  <c:v>46.476479999999903</c:v>
                </c:pt>
                <c:pt idx="87">
                  <c:v>47.180879999999902</c:v>
                </c:pt>
                <c:pt idx="88">
                  <c:v>47.885280000000002</c:v>
                </c:pt>
                <c:pt idx="89">
                  <c:v>48.600159999999903</c:v>
                </c:pt>
                <c:pt idx="90">
                  <c:v>49.3412399999999</c:v>
                </c:pt>
                <c:pt idx="91">
                  <c:v>49.408760000000001</c:v>
                </c:pt>
                <c:pt idx="92">
                  <c:v>49.3353999999999</c:v>
                </c:pt>
                <c:pt idx="93">
                  <c:v>49.303959999999897</c:v>
                </c:pt>
                <c:pt idx="94">
                  <c:v>49.303959999999996</c:v>
                </c:pt>
                <c:pt idx="95">
                  <c:v>49.324919999999899</c:v>
                </c:pt>
                <c:pt idx="96">
                  <c:v>49.366839999999897</c:v>
                </c:pt>
                <c:pt idx="97">
                  <c:v>49.419240000000002</c:v>
                </c:pt>
                <c:pt idx="98">
                  <c:v>49.476880000000001</c:v>
                </c:pt>
                <c:pt idx="99">
                  <c:v>49.539759999999902</c:v>
                </c:pt>
                <c:pt idx="100">
                  <c:v>49.607880000000002</c:v>
                </c:pt>
                <c:pt idx="101">
                  <c:v>49.27664</c:v>
                </c:pt>
                <c:pt idx="102">
                  <c:v>48.551279999999899</c:v>
                </c:pt>
                <c:pt idx="103">
                  <c:v>47.836399999999998</c:v>
                </c:pt>
                <c:pt idx="104">
                  <c:v>47.552320000000002</c:v>
                </c:pt>
                <c:pt idx="105">
                  <c:v>47.678080000000001</c:v>
                </c:pt>
                <c:pt idx="106">
                  <c:v>47.7986</c:v>
                </c:pt>
                <c:pt idx="107">
                  <c:v>47.483080000000001</c:v>
                </c:pt>
                <c:pt idx="108">
                  <c:v>46.752479999999998</c:v>
                </c:pt>
                <c:pt idx="109">
                  <c:v>46.000919999999901</c:v>
                </c:pt>
                <c:pt idx="110">
                  <c:v>45.907200000000003</c:v>
                </c:pt>
                <c:pt idx="111">
                  <c:v>45.964839999999903</c:v>
                </c:pt>
                <c:pt idx="112">
                  <c:v>46.017240000000001</c:v>
                </c:pt>
                <c:pt idx="113">
                  <c:v>46.048679999999997</c:v>
                </c:pt>
                <c:pt idx="114">
                  <c:v>46.048679999999997</c:v>
                </c:pt>
                <c:pt idx="115">
                  <c:v>46.00676</c:v>
                </c:pt>
                <c:pt idx="116">
                  <c:v>45.755839999999999</c:v>
                </c:pt>
                <c:pt idx="117">
                  <c:v>45.609119999999898</c:v>
                </c:pt>
                <c:pt idx="118">
                  <c:v>45.394280000000002</c:v>
                </c:pt>
                <c:pt idx="119">
                  <c:v>45.11656</c:v>
                </c:pt>
                <c:pt idx="120">
                  <c:v>45.590400000000002</c:v>
                </c:pt>
                <c:pt idx="121">
                  <c:v>45.990879999999997</c:v>
                </c:pt>
                <c:pt idx="122">
                  <c:v>46.307519999999997</c:v>
                </c:pt>
                <c:pt idx="123">
                  <c:v>46.540320000000001</c:v>
                </c:pt>
                <c:pt idx="124">
                  <c:v>46.684039999999897</c:v>
                </c:pt>
                <c:pt idx="125">
                  <c:v>46.738680000000002</c:v>
                </c:pt>
                <c:pt idx="126">
                  <c:v>47.907559999999997</c:v>
                </c:pt>
                <c:pt idx="127">
                  <c:v>49.391959999999997</c:v>
                </c:pt>
                <c:pt idx="128">
                  <c:v>50.792520000000003</c:v>
                </c:pt>
                <c:pt idx="129">
                  <c:v>52.10924</c:v>
                </c:pt>
                <c:pt idx="130">
                  <c:v>53.357839999999896</c:v>
                </c:pt>
                <c:pt idx="131">
                  <c:v>54.527839999999998</c:v>
                </c:pt>
                <c:pt idx="132">
                  <c:v>55.640199999999901</c:v>
                </c:pt>
                <c:pt idx="133">
                  <c:v>57.477919999999997</c:v>
                </c:pt>
                <c:pt idx="134">
                  <c:v>59.278959999999998</c:v>
                </c:pt>
                <c:pt idx="135">
                  <c:v>60.369759999999999</c:v>
                </c:pt>
                <c:pt idx="136">
                  <c:v>61.262039999999999</c:v>
                </c:pt>
                <c:pt idx="137">
                  <c:v>62.516999999999904</c:v>
                </c:pt>
                <c:pt idx="138">
                  <c:v>64.145119999999906</c:v>
                </c:pt>
                <c:pt idx="139">
                  <c:v>65.736559999999898</c:v>
                </c:pt>
                <c:pt idx="140">
                  <c:v>67.291319999999899</c:v>
                </c:pt>
                <c:pt idx="141">
                  <c:v>68.960759999999993</c:v>
                </c:pt>
                <c:pt idx="142">
                  <c:v>70.410719999999998</c:v>
                </c:pt>
                <c:pt idx="143">
                  <c:v>72.61224</c:v>
                </c:pt>
                <c:pt idx="144">
                  <c:v>74.740399999999994</c:v>
                </c:pt>
                <c:pt idx="145">
                  <c:v>75.980760000000004</c:v>
                </c:pt>
                <c:pt idx="146">
                  <c:v>77.967439999999897</c:v>
                </c:pt>
                <c:pt idx="147">
                  <c:v>79.901719999999997</c:v>
                </c:pt>
                <c:pt idx="148">
                  <c:v>81.783599999999893</c:v>
                </c:pt>
                <c:pt idx="149">
                  <c:v>83.618319999999898</c:v>
                </c:pt>
                <c:pt idx="150">
                  <c:v>86.21508</c:v>
                </c:pt>
                <c:pt idx="151">
                  <c:v>87.992159999999899</c:v>
                </c:pt>
                <c:pt idx="152">
                  <c:v>89.743039999999993</c:v>
                </c:pt>
                <c:pt idx="153">
                  <c:v>91.472959999999901</c:v>
                </c:pt>
                <c:pt idx="154">
                  <c:v>93.985879999999995</c:v>
                </c:pt>
                <c:pt idx="155">
                  <c:v>96.4725999999999</c:v>
                </c:pt>
                <c:pt idx="156">
                  <c:v>98.943599999999904</c:v>
                </c:pt>
                <c:pt idx="157">
                  <c:v>101.3884</c:v>
                </c:pt>
                <c:pt idx="158">
                  <c:v>103.01352</c:v>
                </c:pt>
                <c:pt idx="159">
                  <c:v>105.42164</c:v>
                </c:pt>
                <c:pt idx="160">
                  <c:v>107.81404000000001</c:v>
                </c:pt>
                <c:pt idx="161">
                  <c:v>110.175</c:v>
                </c:pt>
                <c:pt idx="162">
                  <c:v>112.648119999999</c:v>
                </c:pt>
                <c:pt idx="163">
                  <c:v>114.967159999999</c:v>
                </c:pt>
                <c:pt idx="164">
                  <c:v>117.146645714285</c:v>
                </c:pt>
                <c:pt idx="165">
                  <c:v>119.418525714285</c:v>
                </c:pt>
                <c:pt idx="166">
                  <c:v>121.674685714285</c:v>
                </c:pt>
                <c:pt idx="167">
                  <c:v>124.734805714285</c:v>
                </c:pt>
                <c:pt idx="168">
                  <c:v>126.93856571428501</c:v>
                </c:pt>
                <c:pt idx="169">
                  <c:v>129.21044571428499</c:v>
                </c:pt>
                <c:pt idx="170">
                  <c:v>131.49804571428501</c:v>
                </c:pt>
                <c:pt idx="171">
                  <c:v>133.80660571428501</c:v>
                </c:pt>
                <c:pt idx="172">
                  <c:v>135.700085714285</c:v>
                </c:pt>
                <c:pt idx="173">
                  <c:v>137.94576571428499</c:v>
                </c:pt>
                <c:pt idx="174">
                  <c:v>141.005885714285</c:v>
                </c:pt>
                <c:pt idx="175">
                  <c:v>143.25680571428501</c:v>
                </c:pt>
                <c:pt idx="176">
                  <c:v>145.492005714285</c:v>
                </c:pt>
                <c:pt idx="177">
                  <c:v>148.34312571428501</c:v>
                </c:pt>
                <c:pt idx="178">
                  <c:v>151.335125714285</c:v>
                </c:pt>
                <c:pt idx="179">
                  <c:v>153.669285714285</c:v>
                </c:pt>
                <c:pt idx="180">
                  <c:v>155.82064571428501</c:v>
                </c:pt>
                <c:pt idx="181">
                  <c:v>157.79444571428499</c:v>
                </c:pt>
                <c:pt idx="182">
                  <c:v>160.702605714285</c:v>
                </c:pt>
                <c:pt idx="183">
                  <c:v>163.59504571428499</c:v>
                </c:pt>
                <c:pt idx="184">
                  <c:v>166.061925714285</c:v>
                </c:pt>
                <c:pt idx="185">
                  <c:v>168.93340571428499</c:v>
                </c:pt>
                <c:pt idx="186">
                  <c:v>171.81536571428501</c:v>
                </c:pt>
                <c:pt idx="187">
                  <c:v>174.15960571428499</c:v>
                </c:pt>
                <c:pt idx="188">
                  <c:v>176.237605714285</c:v>
                </c:pt>
                <c:pt idx="189">
                  <c:v>178.44467999999901</c:v>
                </c:pt>
                <c:pt idx="190">
                  <c:v>181.34759999999901</c:v>
                </c:pt>
                <c:pt idx="191">
                  <c:v>184.271479999999</c:v>
                </c:pt>
                <c:pt idx="192">
                  <c:v>186.407119999999</c:v>
                </c:pt>
                <c:pt idx="193">
                  <c:v>189.550479999999</c:v>
                </c:pt>
                <c:pt idx="194">
                  <c:v>192.75631999999899</c:v>
                </c:pt>
                <c:pt idx="195">
                  <c:v>195.70115999999999</c:v>
                </c:pt>
                <c:pt idx="196">
                  <c:v>197.95015428571401</c:v>
                </c:pt>
                <c:pt idx="197">
                  <c:v>200.50087428571399</c:v>
                </c:pt>
                <c:pt idx="198">
                  <c:v>203.498114285714</c:v>
                </c:pt>
                <c:pt idx="199">
                  <c:v>205.70187428571401</c:v>
                </c:pt>
                <c:pt idx="200">
                  <c:v>207.91087428571399</c:v>
                </c:pt>
                <c:pt idx="201">
                  <c:v>210.647114285714</c:v>
                </c:pt>
                <c:pt idx="202">
                  <c:v>212.92032</c:v>
                </c:pt>
                <c:pt idx="203">
                  <c:v>215.31736000000001</c:v>
                </c:pt>
                <c:pt idx="205">
                  <c:v>217.39595999999901</c:v>
                </c:pt>
                <c:pt idx="206">
                  <c:v>219.64687999999899</c:v>
                </c:pt>
                <c:pt idx="207">
                  <c:v>222.863599999999</c:v>
                </c:pt>
                <c:pt idx="208">
                  <c:v>225.14071999999899</c:v>
                </c:pt>
                <c:pt idx="209">
                  <c:v>227.43355999999901</c:v>
                </c:pt>
                <c:pt idx="210">
                  <c:v>229.98487999999901</c:v>
                </c:pt>
                <c:pt idx="211">
                  <c:v>232.28295999999901</c:v>
                </c:pt>
                <c:pt idx="212">
                  <c:v>234.57579999999899</c:v>
                </c:pt>
                <c:pt idx="213">
                  <c:v>236.86339999999899</c:v>
                </c:pt>
                <c:pt idx="214">
                  <c:v>239.25387428571401</c:v>
                </c:pt>
                <c:pt idx="215">
                  <c:v>242.32447428571399</c:v>
                </c:pt>
                <c:pt idx="216">
                  <c:v>244.59111428571401</c:v>
                </c:pt>
                <c:pt idx="217">
                  <c:v>246.85251428571399</c:v>
                </c:pt>
                <c:pt idx="218">
                  <c:v>249.09819428571399</c:v>
                </c:pt>
                <c:pt idx="219">
                  <c:v>251.05163428571399</c:v>
                </c:pt>
                <c:pt idx="220">
                  <c:v>253.219114285714</c:v>
                </c:pt>
                <c:pt idx="221">
                  <c:v>255.48575428571399</c:v>
                </c:pt>
                <c:pt idx="222">
                  <c:v>257.62331999999998</c:v>
                </c:pt>
                <c:pt idx="223">
                  <c:v>260.69391999999903</c:v>
                </c:pt>
                <c:pt idx="224">
                  <c:v>262.95007999999899</c:v>
                </c:pt>
                <c:pt idx="225">
                  <c:v>265.15384</c:v>
                </c:pt>
                <c:pt idx="226">
                  <c:v>268.13011999999998</c:v>
                </c:pt>
                <c:pt idx="227">
                  <c:v>270.54247999999899</c:v>
                </c:pt>
                <c:pt idx="228">
                  <c:v>272.76527428571399</c:v>
                </c:pt>
                <c:pt idx="229">
                  <c:v>275.08079428571398</c:v>
                </c:pt>
                <c:pt idx="230">
                  <c:v>277.931314285714</c:v>
                </c:pt>
                <c:pt idx="231">
                  <c:v>280.76611428571402</c:v>
                </c:pt>
                <c:pt idx="232">
                  <c:v>283.20679428571401</c:v>
                </c:pt>
                <c:pt idx="233">
                  <c:v>286.067794285714</c:v>
                </c:pt>
                <c:pt idx="234">
                  <c:v>289.07358857142799</c:v>
                </c:pt>
                <c:pt idx="235">
                  <c:v>291.47394285714199</c:v>
                </c:pt>
                <c:pt idx="237">
                  <c:v>293.759617142857</c:v>
                </c:pt>
                <c:pt idx="238">
                  <c:v>296.092451428571</c:v>
                </c:pt>
                <c:pt idx="239">
                  <c:v>298.47244571428502</c:v>
                </c:pt>
                <c:pt idx="240">
                  <c:v>301.48209142857098</c:v>
                </c:pt>
                <c:pt idx="241">
                  <c:v>303.87973142857101</c:v>
                </c:pt>
                <c:pt idx="242">
                  <c:v>306.30357142857099</c:v>
                </c:pt>
                <c:pt idx="243">
                  <c:v>308.80077142857101</c:v>
                </c:pt>
                <c:pt idx="244">
                  <c:v>311.32941142857101</c:v>
                </c:pt>
                <c:pt idx="245">
                  <c:v>313.27357142857102</c:v>
                </c:pt>
                <c:pt idx="246">
                  <c:v>314.92025142857102</c:v>
                </c:pt>
                <c:pt idx="247">
                  <c:v>316.80213142857099</c:v>
                </c:pt>
                <c:pt idx="248">
                  <c:v>319.15149142857098</c:v>
                </c:pt>
                <c:pt idx="249">
                  <c:v>320.99205142857102</c:v>
                </c:pt>
                <c:pt idx="250">
                  <c:v>322.93741142857101</c:v>
                </c:pt>
                <c:pt idx="251">
                  <c:v>324.97185142857097</c:v>
                </c:pt>
                <c:pt idx="252">
                  <c:v>326.32285142857103</c:v>
                </c:pt>
                <c:pt idx="253">
                  <c:v>327.94573142857098</c:v>
                </c:pt>
                <c:pt idx="254">
                  <c:v>329.66817142857099</c:v>
                </c:pt>
                <c:pt idx="255">
                  <c:v>331.096051428571</c:v>
                </c:pt>
                <c:pt idx="256">
                  <c:v>332.22937142857103</c:v>
                </c:pt>
                <c:pt idx="257">
                  <c:v>333.46225142857099</c:v>
                </c:pt>
                <c:pt idx="258">
                  <c:v>334.37437142857101</c:v>
                </c:pt>
                <c:pt idx="259">
                  <c:v>335.417491428571</c:v>
                </c:pt>
                <c:pt idx="260">
                  <c:v>336.40489714285701</c:v>
                </c:pt>
                <c:pt idx="261">
                  <c:v>337.44470285714198</c:v>
                </c:pt>
                <c:pt idx="262">
                  <c:v>338.98342857142802</c:v>
                </c:pt>
                <c:pt idx="263">
                  <c:v>340.600754285714</c:v>
                </c:pt>
                <c:pt idx="264">
                  <c:v>342.19188000000003</c:v>
                </c:pt>
                <c:pt idx="265">
                  <c:v>343.13955999999899</c:v>
                </c:pt>
                <c:pt idx="266">
                  <c:v>344.11344000000003</c:v>
                </c:pt>
                <c:pt idx="267">
                  <c:v>345.16068000000001</c:v>
                </c:pt>
                <c:pt idx="268">
                  <c:v>346.234119999999</c:v>
                </c:pt>
                <c:pt idx="269">
                  <c:v>346.234119999999</c:v>
                </c:pt>
                <c:pt idx="270">
                  <c:v>346.234119999999</c:v>
                </c:pt>
                <c:pt idx="271">
                  <c:v>346.234119999999</c:v>
                </c:pt>
                <c:pt idx="272">
                  <c:v>346.234119999999</c:v>
                </c:pt>
                <c:pt idx="273">
                  <c:v>346.234119999999</c:v>
                </c:pt>
                <c:pt idx="274">
                  <c:v>346.234119999999</c:v>
                </c:pt>
                <c:pt idx="275">
                  <c:v>346.234119999999</c:v>
                </c:pt>
                <c:pt idx="276">
                  <c:v>346.234119999999</c:v>
                </c:pt>
                <c:pt idx="277">
                  <c:v>346.234119999999</c:v>
                </c:pt>
                <c:pt idx="278">
                  <c:v>346.234119999999</c:v>
                </c:pt>
                <c:pt idx="279">
                  <c:v>346.234119999999</c:v>
                </c:pt>
                <c:pt idx="280">
                  <c:v>346.234119999999</c:v>
                </c:pt>
                <c:pt idx="281">
                  <c:v>346.234119999999</c:v>
                </c:pt>
                <c:pt idx="282">
                  <c:v>346.234119999999</c:v>
                </c:pt>
                <c:pt idx="283">
                  <c:v>346.234119999999</c:v>
                </c:pt>
                <c:pt idx="284">
                  <c:v>346.234119999999</c:v>
                </c:pt>
                <c:pt idx="285">
                  <c:v>346.234119999999</c:v>
                </c:pt>
                <c:pt idx="286">
                  <c:v>346.234119999999</c:v>
                </c:pt>
                <c:pt idx="287">
                  <c:v>346.234119999999</c:v>
                </c:pt>
                <c:pt idx="288">
                  <c:v>346.234119999999</c:v>
                </c:pt>
                <c:pt idx="289">
                  <c:v>346.234119999999</c:v>
                </c:pt>
                <c:pt idx="290">
                  <c:v>346.234119999999</c:v>
                </c:pt>
                <c:pt idx="291">
                  <c:v>346.234119999999</c:v>
                </c:pt>
                <c:pt idx="292">
                  <c:v>346.234119999999</c:v>
                </c:pt>
                <c:pt idx="293">
                  <c:v>346.234119999999</c:v>
                </c:pt>
                <c:pt idx="294">
                  <c:v>346.234119999999</c:v>
                </c:pt>
                <c:pt idx="295">
                  <c:v>346.234119999999</c:v>
                </c:pt>
                <c:pt idx="296">
                  <c:v>346.234119999999</c:v>
                </c:pt>
                <c:pt idx="297">
                  <c:v>346.234119999999</c:v>
                </c:pt>
                <c:pt idx="298">
                  <c:v>346.234119999999</c:v>
                </c:pt>
                <c:pt idx="299">
                  <c:v>346.234119999999</c:v>
                </c:pt>
                <c:pt idx="300">
                  <c:v>346.234119999999</c:v>
                </c:pt>
                <c:pt idx="301">
                  <c:v>346.234119999999</c:v>
                </c:pt>
                <c:pt idx="302">
                  <c:v>346.234119999999</c:v>
                </c:pt>
                <c:pt idx="303">
                  <c:v>346.234119999999</c:v>
                </c:pt>
                <c:pt idx="304">
                  <c:v>346.234119999999</c:v>
                </c:pt>
                <c:pt idx="305">
                  <c:v>346.234119999999</c:v>
                </c:pt>
                <c:pt idx="306">
                  <c:v>346.234119999999</c:v>
                </c:pt>
                <c:pt idx="307">
                  <c:v>346.234119999999</c:v>
                </c:pt>
                <c:pt idx="308">
                  <c:v>346.234119999999</c:v>
                </c:pt>
                <c:pt idx="309">
                  <c:v>346.234119999999</c:v>
                </c:pt>
                <c:pt idx="310">
                  <c:v>346.234119999999</c:v>
                </c:pt>
                <c:pt idx="311">
                  <c:v>346.234119999999</c:v>
                </c:pt>
                <c:pt idx="312">
                  <c:v>346.234119999999</c:v>
                </c:pt>
                <c:pt idx="313">
                  <c:v>346.234119999999</c:v>
                </c:pt>
                <c:pt idx="314">
                  <c:v>346.234119999999</c:v>
                </c:pt>
                <c:pt idx="315">
                  <c:v>346.234119999999</c:v>
                </c:pt>
                <c:pt idx="316">
                  <c:v>346.234119999999</c:v>
                </c:pt>
                <c:pt idx="317">
                  <c:v>346.234119999999</c:v>
                </c:pt>
                <c:pt idx="318">
                  <c:v>346.234119999999</c:v>
                </c:pt>
                <c:pt idx="319">
                  <c:v>346.234119999999</c:v>
                </c:pt>
                <c:pt idx="320">
                  <c:v>346.234119999999</c:v>
                </c:pt>
                <c:pt idx="321">
                  <c:v>346.234119999999</c:v>
                </c:pt>
                <c:pt idx="322">
                  <c:v>346.234119999999</c:v>
                </c:pt>
                <c:pt idx="323">
                  <c:v>346.234119999999</c:v>
                </c:pt>
                <c:pt idx="324">
                  <c:v>346.234119999999</c:v>
                </c:pt>
                <c:pt idx="325">
                  <c:v>346.234119999999</c:v>
                </c:pt>
                <c:pt idx="326">
                  <c:v>346.234119999999</c:v>
                </c:pt>
                <c:pt idx="327">
                  <c:v>346.234119999999</c:v>
                </c:pt>
                <c:pt idx="328">
                  <c:v>346.234119999999</c:v>
                </c:pt>
                <c:pt idx="329">
                  <c:v>346.234119999999</c:v>
                </c:pt>
                <c:pt idx="330">
                  <c:v>346.234119999999</c:v>
                </c:pt>
                <c:pt idx="331">
                  <c:v>346.234119999999</c:v>
                </c:pt>
                <c:pt idx="332">
                  <c:v>346.234119999999</c:v>
                </c:pt>
                <c:pt idx="333">
                  <c:v>346.234119999999</c:v>
                </c:pt>
                <c:pt idx="334">
                  <c:v>346.234119999999</c:v>
                </c:pt>
                <c:pt idx="335">
                  <c:v>346.234119999999</c:v>
                </c:pt>
                <c:pt idx="336">
                  <c:v>346.234119999999</c:v>
                </c:pt>
                <c:pt idx="337">
                  <c:v>346.234119999999</c:v>
                </c:pt>
                <c:pt idx="338">
                  <c:v>346.234119999999</c:v>
                </c:pt>
                <c:pt idx="339">
                  <c:v>346.234119999999</c:v>
                </c:pt>
                <c:pt idx="340">
                  <c:v>346.234119999999</c:v>
                </c:pt>
                <c:pt idx="341">
                  <c:v>346.234119999999</c:v>
                </c:pt>
                <c:pt idx="342">
                  <c:v>346.234119999999</c:v>
                </c:pt>
                <c:pt idx="343">
                  <c:v>346.234119999999</c:v>
                </c:pt>
                <c:pt idx="344">
                  <c:v>346.234119999999</c:v>
                </c:pt>
                <c:pt idx="345">
                  <c:v>346.234119999999</c:v>
                </c:pt>
                <c:pt idx="346">
                  <c:v>346.234119999999</c:v>
                </c:pt>
                <c:pt idx="347">
                  <c:v>346.234119999999</c:v>
                </c:pt>
                <c:pt idx="348">
                  <c:v>346.234119999999</c:v>
                </c:pt>
                <c:pt idx="349">
                  <c:v>346.234119999999</c:v>
                </c:pt>
                <c:pt idx="350">
                  <c:v>346.234119999999</c:v>
                </c:pt>
                <c:pt idx="351">
                  <c:v>346.234119999999</c:v>
                </c:pt>
                <c:pt idx="352">
                  <c:v>346.234119999999</c:v>
                </c:pt>
                <c:pt idx="353">
                  <c:v>346.234119999999</c:v>
                </c:pt>
                <c:pt idx="354">
                  <c:v>346.234119999999</c:v>
                </c:pt>
                <c:pt idx="355">
                  <c:v>346.234119999999</c:v>
                </c:pt>
                <c:pt idx="356">
                  <c:v>346.234119999999</c:v>
                </c:pt>
                <c:pt idx="357">
                  <c:v>346.234119999999</c:v>
                </c:pt>
                <c:pt idx="358">
                  <c:v>346.234119999999</c:v>
                </c:pt>
                <c:pt idx="359">
                  <c:v>346.234119999999</c:v>
                </c:pt>
                <c:pt idx="360">
                  <c:v>346.234119999999</c:v>
                </c:pt>
                <c:pt idx="361">
                  <c:v>346.234119999999</c:v>
                </c:pt>
                <c:pt idx="362">
                  <c:v>346.234119999999</c:v>
                </c:pt>
                <c:pt idx="363">
                  <c:v>346.234119999999</c:v>
                </c:pt>
                <c:pt idx="364">
                  <c:v>346.234119999999</c:v>
                </c:pt>
                <c:pt idx="365">
                  <c:v>346.234119999999</c:v>
                </c:pt>
                <c:pt idx="366">
                  <c:v>346.234119999999</c:v>
                </c:pt>
                <c:pt idx="367">
                  <c:v>346.234119999999</c:v>
                </c:pt>
                <c:pt idx="368">
                  <c:v>346.234119999999</c:v>
                </c:pt>
                <c:pt idx="369">
                  <c:v>346.234119999999</c:v>
                </c:pt>
                <c:pt idx="370">
                  <c:v>346.234119999999</c:v>
                </c:pt>
                <c:pt idx="371">
                  <c:v>346.234119999999</c:v>
                </c:pt>
                <c:pt idx="372">
                  <c:v>346.234119999999</c:v>
                </c:pt>
                <c:pt idx="373">
                  <c:v>346.234119999999</c:v>
                </c:pt>
                <c:pt idx="374">
                  <c:v>346.234119999999</c:v>
                </c:pt>
                <c:pt idx="375">
                  <c:v>346.234119999999</c:v>
                </c:pt>
                <c:pt idx="376">
                  <c:v>346.234119999999</c:v>
                </c:pt>
                <c:pt idx="377">
                  <c:v>346.234119999999</c:v>
                </c:pt>
                <c:pt idx="378">
                  <c:v>346.234119999999</c:v>
                </c:pt>
                <c:pt idx="379">
                  <c:v>346.234119999999</c:v>
                </c:pt>
                <c:pt idx="380">
                  <c:v>346.234119999999</c:v>
                </c:pt>
                <c:pt idx="381">
                  <c:v>346.234119999999</c:v>
                </c:pt>
                <c:pt idx="382">
                  <c:v>346.234119999999</c:v>
                </c:pt>
                <c:pt idx="383">
                  <c:v>346.234119999999</c:v>
                </c:pt>
                <c:pt idx="384">
                  <c:v>346.234119999999</c:v>
                </c:pt>
                <c:pt idx="385">
                  <c:v>346.234119999999</c:v>
                </c:pt>
                <c:pt idx="386">
                  <c:v>346.234119999999</c:v>
                </c:pt>
                <c:pt idx="387">
                  <c:v>346.234119999999</c:v>
                </c:pt>
                <c:pt idx="388">
                  <c:v>346.234119999999</c:v>
                </c:pt>
                <c:pt idx="389">
                  <c:v>346.234119999999</c:v>
                </c:pt>
                <c:pt idx="390">
                  <c:v>346.234119999999</c:v>
                </c:pt>
                <c:pt idx="391">
                  <c:v>346.234119999999</c:v>
                </c:pt>
                <c:pt idx="392">
                  <c:v>346.234119999999</c:v>
                </c:pt>
                <c:pt idx="393">
                  <c:v>346.234119999999</c:v>
                </c:pt>
                <c:pt idx="394">
                  <c:v>346.234119999999</c:v>
                </c:pt>
                <c:pt idx="395">
                  <c:v>346.234119999999</c:v>
                </c:pt>
                <c:pt idx="396">
                  <c:v>346.234119999999</c:v>
                </c:pt>
                <c:pt idx="397">
                  <c:v>346.234119999999</c:v>
                </c:pt>
                <c:pt idx="398">
                  <c:v>346.234119999999</c:v>
                </c:pt>
                <c:pt idx="399">
                  <c:v>346.234119999999</c:v>
                </c:pt>
                <c:pt idx="400">
                  <c:v>346.234119999999</c:v>
                </c:pt>
                <c:pt idx="401">
                  <c:v>346.234119999999</c:v>
                </c:pt>
                <c:pt idx="402">
                  <c:v>346.234119999999</c:v>
                </c:pt>
                <c:pt idx="403">
                  <c:v>346.234119999999</c:v>
                </c:pt>
                <c:pt idx="404">
                  <c:v>346.234119999999</c:v>
                </c:pt>
                <c:pt idx="405">
                  <c:v>346.234119999999</c:v>
                </c:pt>
                <c:pt idx="406">
                  <c:v>346.234119999999</c:v>
                </c:pt>
                <c:pt idx="407">
                  <c:v>346.234119999999</c:v>
                </c:pt>
                <c:pt idx="408">
                  <c:v>346.234119999999</c:v>
                </c:pt>
                <c:pt idx="409">
                  <c:v>346.234119999999</c:v>
                </c:pt>
                <c:pt idx="410">
                  <c:v>346.234119999999</c:v>
                </c:pt>
                <c:pt idx="411">
                  <c:v>346.234119999999</c:v>
                </c:pt>
                <c:pt idx="412">
                  <c:v>346.234119999999</c:v>
                </c:pt>
                <c:pt idx="413">
                  <c:v>346.234119999999</c:v>
                </c:pt>
                <c:pt idx="414">
                  <c:v>346.234119999999</c:v>
                </c:pt>
                <c:pt idx="415">
                  <c:v>346.234119999999</c:v>
                </c:pt>
                <c:pt idx="416">
                  <c:v>346.234119999999</c:v>
                </c:pt>
                <c:pt idx="417">
                  <c:v>346.234119999999</c:v>
                </c:pt>
                <c:pt idx="418">
                  <c:v>346.234119999999</c:v>
                </c:pt>
                <c:pt idx="419">
                  <c:v>346.234119999999</c:v>
                </c:pt>
                <c:pt idx="420">
                  <c:v>346.234119999999</c:v>
                </c:pt>
                <c:pt idx="421">
                  <c:v>346.234119999999</c:v>
                </c:pt>
                <c:pt idx="422">
                  <c:v>346.234119999999</c:v>
                </c:pt>
                <c:pt idx="423">
                  <c:v>346.234119999999</c:v>
                </c:pt>
                <c:pt idx="424">
                  <c:v>346.234119999999</c:v>
                </c:pt>
                <c:pt idx="425">
                  <c:v>346.234119999999</c:v>
                </c:pt>
                <c:pt idx="426">
                  <c:v>346.234119999999</c:v>
                </c:pt>
                <c:pt idx="427">
                  <c:v>346.234119999999</c:v>
                </c:pt>
                <c:pt idx="428">
                  <c:v>346.234119999999</c:v>
                </c:pt>
                <c:pt idx="429">
                  <c:v>346.234119999999</c:v>
                </c:pt>
                <c:pt idx="430">
                  <c:v>346.234119999999</c:v>
                </c:pt>
                <c:pt idx="431">
                  <c:v>346.234119999999</c:v>
                </c:pt>
                <c:pt idx="432">
                  <c:v>346.234119999999</c:v>
                </c:pt>
                <c:pt idx="433">
                  <c:v>346.234119999999</c:v>
                </c:pt>
                <c:pt idx="434">
                  <c:v>346.234119999999</c:v>
                </c:pt>
                <c:pt idx="435">
                  <c:v>346.234119999999</c:v>
                </c:pt>
                <c:pt idx="436">
                  <c:v>346.234119999999</c:v>
                </c:pt>
                <c:pt idx="437">
                  <c:v>346.234119999999</c:v>
                </c:pt>
                <c:pt idx="438">
                  <c:v>346.234119999999</c:v>
                </c:pt>
                <c:pt idx="439">
                  <c:v>346.234119999999</c:v>
                </c:pt>
                <c:pt idx="440">
                  <c:v>346.234119999999</c:v>
                </c:pt>
                <c:pt idx="441">
                  <c:v>346.234119999999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68-4099-A50D-D79916411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3072"/>
        <c:axId val="13959296"/>
      </c:scatterChart>
      <c:valAx>
        <c:axId val="13943072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9296"/>
        <c:crosses val="autoZero"/>
        <c:crossBetween val="midCat"/>
      </c:valAx>
      <c:valAx>
        <c:axId val="13959296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4"/>
          <c:order val="0"/>
          <c:tx>
            <c:strRef>
              <c:f>'Maju 0.1'!$AC$6</c:f>
              <c:strCache>
                <c:ptCount val="1"/>
                <c:pt idx="0">
                  <c:v>Int Vx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'Maju 0.1'!$D$7:$D$565</c:f>
              <c:numCache>
                <c:formatCode>0.000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5.2989000000707165E-3</c:v>
                </c:pt>
                <c:pt idx="3">
                  <c:v>9.2048999999860825E-3</c:v>
                </c:pt>
                <c:pt idx="4">
                  <c:v>2.7168100000380946E-2</c:v>
                </c:pt>
                <c:pt idx="5">
                  <c:v>4.3313000000125612E-2</c:v>
                </c:pt>
                <c:pt idx="6">
                  <c:v>5.8556899999985035E-2</c:v>
                </c:pt>
                <c:pt idx="7">
                  <c:v>7.4511200000415556E-2</c:v>
                </c:pt>
                <c:pt idx="8">
                  <c:v>8.9335699999992357E-2</c:v>
                </c:pt>
                <c:pt idx="9">
                  <c:v>0.10529730000007476</c:v>
                </c:pt>
                <c:pt idx="10">
                  <c:v>0.12134990000004109</c:v>
                </c:pt>
                <c:pt idx="11">
                  <c:v>0.13719690000016271</c:v>
                </c:pt>
                <c:pt idx="12">
                  <c:v>0.15306950000012876</c:v>
                </c:pt>
                <c:pt idx="13">
                  <c:v>0.16923990000032063</c:v>
                </c:pt>
                <c:pt idx="14">
                  <c:v>0.18482170000015685</c:v>
                </c:pt>
                <c:pt idx="15">
                  <c:v>0.20079230000010284</c:v>
                </c:pt>
                <c:pt idx="16">
                  <c:v>0.21585990000039601</c:v>
                </c:pt>
                <c:pt idx="17">
                  <c:v>0.23115530000040962</c:v>
                </c:pt>
                <c:pt idx="18">
                  <c:v>0.24731440000005023</c:v>
                </c:pt>
                <c:pt idx="19">
                  <c:v>0.26257580000037706</c:v>
                </c:pt>
                <c:pt idx="20">
                  <c:v>0.2780137000004288</c:v>
                </c:pt>
                <c:pt idx="21">
                  <c:v>0.2941795000001548</c:v>
                </c:pt>
                <c:pt idx="22">
                  <c:v>0.30981510000037815</c:v>
                </c:pt>
                <c:pt idx="23">
                  <c:v>0.32596110000031331</c:v>
                </c:pt>
                <c:pt idx="24">
                  <c:v>0.34174560000019483</c:v>
                </c:pt>
                <c:pt idx="25">
                  <c:v>0.35752370000000155</c:v>
                </c:pt>
                <c:pt idx="26">
                  <c:v>0.37302320000026157</c:v>
                </c:pt>
                <c:pt idx="27">
                  <c:v>0.38870820000011008</c:v>
                </c:pt>
                <c:pt idx="28">
                  <c:v>0.40394320000041262</c:v>
                </c:pt>
                <c:pt idx="29">
                  <c:v>0.4197916000002806</c:v>
                </c:pt>
                <c:pt idx="30">
                  <c:v>0.43575710000004619</c:v>
                </c:pt>
                <c:pt idx="31">
                  <c:v>0.45149400000036621</c:v>
                </c:pt>
                <c:pt idx="32">
                  <c:v>0.46699660000012955</c:v>
                </c:pt>
                <c:pt idx="33">
                  <c:v>0.4830205000002934</c:v>
                </c:pt>
                <c:pt idx="34">
                  <c:v>0.49845470000036585</c:v>
                </c:pt>
                <c:pt idx="35">
                  <c:v>0.51411460000008447</c:v>
                </c:pt>
                <c:pt idx="36">
                  <c:v>0.52958090000038283</c:v>
                </c:pt>
                <c:pt idx="37">
                  <c:v>0.54471950000015568</c:v>
                </c:pt>
                <c:pt idx="38">
                  <c:v>0.55994790000022476</c:v>
                </c:pt>
                <c:pt idx="39">
                  <c:v>0.57620560000032128</c:v>
                </c:pt>
                <c:pt idx="40">
                  <c:v>0.59083770000006552</c:v>
                </c:pt>
                <c:pt idx="41">
                  <c:v>0.60626369999999952</c:v>
                </c:pt>
                <c:pt idx="42">
                  <c:v>0.6214124000002812</c:v>
                </c:pt>
                <c:pt idx="43">
                  <c:v>0.63753459999998086</c:v>
                </c:pt>
                <c:pt idx="44">
                  <c:v>0.65260699999998906</c:v>
                </c:pt>
                <c:pt idx="45">
                  <c:v>0.66794340000024022</c:v>
                </c:pt>
                <c:pt idx="46">
                  <c:v>0.68331380000017816</c:v>
                </c:pt>
                <c:pt idx="47">
                  <c:v>0.69856420000041908</c:v>
                </c:pt>
                <c:pt idx="48">
                  <c:v>0.7138716000004024</c:v>
                </c:pt>
                <c:pt idx="49">
                  <c:v>0.73025120000011157</c:v>
                </c:pt>
                <c:pt idx="50">
                  <c:v>0.74559630000021571</c:v>
                </c:pt>
                <c:pt idx="51">
                  <c:v>0.7610821000002943</c:v>
                </c:pt>
                <c:pt idx="52">
                  <c:v>0.77641560000029131</c:v>
                </c:pt>
                <c:pt idx="53">
                  <c:v>0.79153070000029402</c:v>
                </c:pt>
                <c:pt idx="54">
                  <c:v>0.80748250000033295</c:v>
                </c:pt>
                <c:pt idx="55">
                  <c:v>0.82297660000040196</c:v>
                </c:pt>
                <c:pt idx="56">
                  <c:v>0.83904410000013741</c:v>
                </c:pt>
                <c:pt idx="57">
                  <c:v>0.85417240000015227</c:v>
                </c:pt>
                <c:pt idx="58">
                  <c:v>0.86972920000016529</c:v>
                </c:pt>
                <c:pt idx="59">
                  <c:v>0.88524850000021615</c:v>
                </c:pt>
                <c:pt idx="60">
                  <c:v>0.90091920000031678</c:v>
                </c:pt>
                <c:pt idx="61">
                  <c:v>0.90367850000029648</c:v>
                </c:pt>
                <c:pt idx="62">
                  <c:v>0.91670670000030441</c:v>
                </c:pt>
                <c:pt idx="63">
                  <c:v>0.93219020000015007</c:v>
                </c:pt>
                <c:pt idx="64">
                  <c:v>0.94763220000004367</c:v>
                </c:pt>
                <c:pt idx="65">
                  <c:v>0.96272680000038235</c:v>
                </c:pt>
                <c:pt idx="66">
                  <c:v>0.97808190000023387</c:v>
                </c:pt>
                <c:pt idx="67">
                  <c:v>0.9934240000002319</c:v>
                </c:pt>
                <c:pt idx="68">
                  <c:v>1.0095186000003196</c:v>
                </c:pt>
                <c:pt idx="69">
                  <c:v>1.0249522000003708</c:v>
                </c:pt>
                <c:pt idx="70">
                  <c:v>1.0401796000001013</c:v>
                </c:pt>
                <c:pt idx="71">
                  <c:v>1.055965400000332</c:v>
                </c:pt>
                <c:pt idx="72">
                  <c:v>1.0718302000000222</c:v>
                </c:pt>
                <c:pt idx="73">
                  <c:v>1.0875557000003937</c:v>
                </c:pt>
                <c:pt idx="74">
                  <c:v>1.1028458000000683</c:v>
                </c:pt>
                <c:pt idx="75">
                  <c:v>1.1188025999999809</c:v>
                </c:pt>
                <c:pt idx="76">
                  <c:v>1.1348634000000857</c:v>
                </c:pt>
                <c:pt idx="77">
                  <c:v>1.1506616000001486</c:v>
                </c:pt>
                <c:pt idx="78">
                  <c:v>1.1660625000004075</c:v>
                </c:pt>
                <c:pt idx="79">
                  <c:v>1.1819746000001032</c:v>
                </c:pt>
                <c:pt idx="80">
                  <c:v>1.197920300000078</c:v>
                </c:pt>
                <c:pt idx="81">
                  <c:v>1.2132191000000603</c:v>
                </c:pt>
                <c:pt idx="82">
                  <c:v>1.2292172000002211</c:v>
                </c:pt>
                <c:pt idx="83">
                  <c:v>1.2446591000002627</c:v>
                </c:pt>
                <c:pt idx="84">
                  <c:v>1.2601951999999983</c:v>
                </c:pt>
                <c:pt idx="85">
                  <c:v>1.2756392000001142</c:v>
                </c:pt>
                <c:pt idx="86">
                  <c:v>1.2915996000001542</c:v>
                </c:pt>
                <c:pt idx="87">
                  <c:v>1.3068004000001565</c:v>
                </c:pt>
                <c:pt idx="88">
                  <c:v>1.3228144000004249</c:v>
                </c:pt>
                <c:pt idx="89">
                  <c:v>1.338255300000128</c:v>
                </c:pt>
                <c:pt idx="90">
                  <c:v>1.3536158000001706</c:v>
                </c:pt>
                <c:pt idx="91">
                  <c:v>1.3692170000003898</c:v>
                </c:pt>
                <c:pt idx="92">
                  <c:v>1.3851982000001044</c:v>
                </c:pt>
                <c:pt idx="93">
                  <c:v>1.4013238000002275</c:v>
                </c:pt>
                <c:pt idx="94">
                  <c:v>1.4175716000004286</c:v>
                </c:pt>
                <c:pt idx="95">
                  <c:v>1.433107000000291</c:v>
                </c:pt>
                <c:pt idx="96">
                  <c:v>1.4486382000000049</c:v>
                </c:pt>
                <c:pt idx="97">
                  <c:v>1.464110900000378</c:v>
                </c:pt>
                <c:pt idx="98">
                  <c:v>1.4797096000002057</c:v>
                </c:pt>
                <c:pt idx="99">
                  <c:v>1.4950284000001375</c:v>
                </c:pt>
                <c:pt idx="100">
                  <c:v>1.511221100000057</c:v>
                </c:pt>
                <c:pt idx="101">
                  <c:v>1.5267674000001534</c:v>
                </c:pt>
                <c:pt idx="102">
                  <c:v>1.542782200000147</c:v>
                </c:pt>
                <c:pt idx="103">
                  <c:v>1.5579615000001468</c:v>
                </c:pt>
                <c:pt idx="104">
                  <c:v>1.573585400000411</c:v>
                </c:pt>
                <c:pt idx="105">
                  <c:v>1.589252000000215</c:v>
                </c:pt>
                <c:pt idx="106">
                  <c:v>1.603999400000248</c:v>
                </c:pt>
                <c:pt idx="107">
                  <c:v>1.6198876000003111</c:v>
                </c:pt>
                <c:pt idx="108">
                  <c:v>1.6361267000002044</c:v>
                </c:pt>
                <c:pt idx="109">
                  <c:v>1.6512564000004204</c:v>
                </c:pt>
                <c:pt idx="110">
                  <c:v>1.6663169000003109</c:v>
                </c:pt>
                <c:pt idx="111">
                  <c:v>1.6817897000000812</c:v>
                </c:pt>
                <c:pt idx="112">
                  <c:v>1.6973350000002938</c:v>
                </c:pt>
                <c:pt idx="113">
                  <c:v>1.7125753000000259</c:v>
                </c:pt>
                <c:pt idx="114">
                  <c:v>1.7276518000003307</c:v>
                </c:pt>
                <c:pt idx="115">
                  <c:v>1.7429422000000159</c:v>
                </c:pt>
                <c:pt idx="116">
                  <c:v>1.7582855000000563</c:v>
                </c:pt>
                <c:pt idx="117">
                  <c:v>1.773996200000056</c:v>
                </c:pt>
                <c:pt idx="118">
                  <c:v>1.7897581000001992</c:v>
                </c:pt>
                <c:pt idx="119">
                  <c:v>1.8050165000004199</c:v>
                </c:pt>
                <c:pt idx="120">
                  <c:v>1.8200581000000966</c:v>
                </c:pt>
                <c:pt idx="121">
                  <c:v>1.8358427000002848</c:v>
                </c:pt>
                <c:pt idx="122">
                  <c:v>1.8507931000003737</c:v>
                </c:pt>
                <c:pt idx="123">
                  <c:v>1.8669764000001123</c:v>
                </c:pt>
                <c:pt idx="124">
                  <c:v>1.8826533000001291</c:v>
                </c:pt>
                <c:pt idx="125">
                  <c:v>1.8972933000000012</c:v>
                </c:pt>
                <c:pt idx="126">
                  <c:v>1.9133269000003565</c:v>
                </c:pt>
                <c:pt idx="127">
                  <c:v>1.9296000000003914</c:v>
                </c:pt>
                <c:pt idx="128">
                  <c:v>1.9452049000001352</c:v>
                </c:pt>
                <c:pt idx="129">
                  <c:v>1.9606398000000809</c:v>
                </c:pt>
                <c:pt idx="130">
                  <c:v>1.9759725000003527</c:v>
                </c:pt>
                <c:pt idx="131">
                  <c:v>1.9914278000001104</c:v>
                </c:pt>
                <c:pt idx="132">
                  <c:v>2.0069760000001224</c:v>
                </c:pt>
                <c:pt idx="133">
                  <c:v>2.0227060000001984</c:v>
                </c:pt>
                <c:pt idx="134">
                  <c:v>2.0380438000001959</c:v>
                </c:pt>
                <c:pt idx="135">
                  <c:v>2.0530307000003631</c:v>
                </c:pt>
                <c:pt idx="136">
                  <c:v>2.0684856000002583</c:v>
                </c:pt>
                <c:pt idx="137">
                  <c:v>2.0836755000000267</c:v>
                </c:pt>
                <c:pt idx="138">
                  <c:v>2.0990962000000764</c:v>
                </c:pt>
                <c:pt idx="139">
                  <c:v>2.1141289000001962</c:v>
                </c:pt>
                <c:pt idx="140">
                  <c:v>2.1296484000004057</c:v>
                </c:pt>
                <c:pt idx="141">
                  <c:v>2.1453720000004068</c:v>
                </c:pt>
                <c:pt idx="142">
                  <c:v>2.1608561000002737</c:v>
                </c:pt>
                <c:pt idx="143">
                  <c:v>2.1762023000001136</c:v>
                </c:pt>
                <c:pt idx="144">
                  <c:v>2.191330999999991</c:v>
                </c:pt>
                <c:pt idx="145">
                  <c:v>2.2065747000001465</c:v>
                </c:pt>
                <c:pt idx="146">
                  <c:v>2.2223314000002574</c:v>
                </c:pt>
                <c:pt idx="147">
                  <c:v>2.2377394000000095</c:v>
                </c:pt>
                <c:pt idx="148">
                  <c:v>2.2529523000002882</c:v>
                </c:pt>
                <c:pt idx="149">
                  <c:v>2.2684573999999884</c:v>
                </c:pt>
                <c:pt idx="150">
                  <c:v>2.2840030000002116</c:v>
                </c:pt>
                <c:pt idx="151">
                  <c:v>2.2868802000002688</c:v>
                </c:pt>
                <c:pt idx="152">
                  <c:v>2.2995488000001387</c:v>
                </c:pt>
                <c:pt idx="153">
                  <c:v>2.3149207999999817</c:v>
                </c:pt>
                <c:pt idx="154">
                  <c:v>2.3300423000000592</c:v>
                </c:pt>
                <c:pt idx="155">
                  <c:v>2.3454623000002357</c:v>
                </c:pt>
                <c:pt idx="156">
                  <c:v>2.3615370000002258</c:v>
                </c:pt>
                <c:pt idx="157">
                  <c:v>2.3767136000001301</c:v>
                </c:pt>
                <c:pt idx="158">
                  <c:v>2.3927026000001206</c:v>
                </c:pt>
                <c:pt idx="159">
                  <c:v>2.4083026000002974</c:v>
                </c:pt>
                <c:pt idx="160">
                  <c:v>2.4243546000002425</c:v>
                </c:pt>
                <c:pt idx="161">
                  <c:v>2.4402967000000899</c:v>
                </c:pt>
                <c:pt idx="162">
                  <c:v>2.4554897000002711</c:v>
                </c:pt>
                <c:pt idx="163">
                  <c:v>2.4712208000000828</c:v>
                </c:pt>
                <c:pt idx="164">
                  <c:v>2.4867932000001929</c:v>
                </c:pt>
                <c:pt idx="165">
                  <c:v>2.5027567000001909</c:v>
                </c:pt>
                <c:pt idx="166">
                  <c:v>2.5181257000003825</c:v>
                </c:pt>
                <c:pt idx="167">
                  <c:v>2.5331108000000313</c:v>
                </c:pt>
                <c:pt idx="168">
                  <c:v>2.5489589000003434</c:v>
                </c:pt>
                <c:pt idx="169">
                  <c:v>2.5650508000003356</c:v>
                </c:pt>
                <c:pt idx="170">
                  <c:v>2.5803182000004199</c:v>
                </c:pt>
                <c:pt idx="171">
                  <c:v>2.5957627000002503</c:v>
                </c:pt>
                <c:pt idx="172">
                  <c:v>2.6111039000002165</c:v>
                </c:pt>
                <c:pt idx="173">
                  <c:v>2.6267086000002564</c:v>
                </c:pt>
                <c:pt idx="174">
                  <c:v>2.6419436000001042</c:v>
                </c:pt>
                <c:pt idx="175">
                  <c:v>2.6580228000002535</c:v>
                </c:pt>
                <c:pt idx="176">
                  <c:v>2.6738740000000689</c:v>
                </c:pt>
                <c:pt idx="177">
                  <c:v>2.6894137000003866</c:v>
                </c:pt>
                <c:pt idx="178">
                  <c:v>2.7046626000001197</c:v>
                </c:pt>
                <c:pt idx="179">
                  <c:v>2.7199347000000671</c:v>
                </c:pt>
                <c:pt idx="180">
                  <c:v>2.7358025000003181</c:v>
                </c:pt>
                <c:pt idx="181">
                  <c:v>2.7508734000002733</c:v>
                </c:pt>
                <c:pt idx="182">
                  <c:v>2.7659552000000076</c:v>
                </c:pt>
                <c:pt idx="183">
                  <c:v>2.7808774000000085</c:v>
                </c:pt>
                <c:pt idx="184">
                  <c:v>2.7956675000000359</c:v>
                </c:pt>
                <c:pt idx="185">
                  <c:v>2.811707800000022</c:v>
                </c:pt>
                <c:pt idx="186">
                  <c:v>2.8270329000001766</c:v>
                </c:pt>
                <c:pt idx="187">
                  <c:v>2.8423720000000685</c:v>
                </c:pt>
                <c:pt idx="188">
                  <c:v>2.858502700000372</c:v>
                </c:pt>
                <c:pt idx="189">
                  <c:v>2.8740185000001475</c:v>
                </c:pt>
                <c:pt idx="190">
                  <c:v>2.8900909000003594</c:v>
                </c:pt>
                <c:pt idx="191">
                  <c:v>2.9053735000002234</c:v>
                </c:pt>
                <c:pt idx="192">
                  <c:v>2.921306100000038</c:v>
                </c:pt>
                <c:pt idx="193">
                  <c:v>2.9369955000001937</c:v>
                </c:pt>
                <c:pt idx="194">
                  <c:v>2.9526253000003635</c:v>
                </c:pt>
                <c:pt idx="195">
                  <c:v>2.9675974000001588</c:v>
                </c:pt>
                <c:pt idx="196">
                  <c:v>2.9831733000000895</c:v>
                </c:pt>
                <c:pt idx="197">
                  <c:v>2.9984130000002551</c:v>
                </c:pt>
                <c:pt idx="198">
                  <c:v>3.0135693000001993</c:v>
                </c:pt>
                <c:pt idx="199">
                  <c:v>3.0290494000000763</c:v>
                </c:pt>
                <c:pt idx="200">
                  <c:v>3.0444785000004231</c:v>
                </c:pt>
                <c:pt idx="201">
                  <c:v>3.0598500000000968</c:v>
                </c:pt>
                <c:pt idx="202">
                  <c:v>3.0750644000004286</c:v>
                </c:pt>
                <c:pt idx="203">
                  <c:v>3.0904241000002912</c:v>
                </c:pt>
                <c:pt idx="204">
                  <c:v>3.1064377000002423</c:v>
                </c:pt>
                <c:pt idx="205">
                  <c:v>3.1225518000001102</c:v>
                </c:pt>
                <c:pt idx="206">
                  <c:v>3.138448800000333</c:v>
                </c:pt>
                <c:pt idx="207">
                  <c:v>3.1540184000000409</c:v>
                </c:pt>
                <c:pt idx="208">
                  <c:v>3.1689089999999851</c:v>
                </c:pt>
                <c:pt idx="209">
                  <c:v>3.1849315000004026</c:v>
                </c:pt>
                <c:pt idx="210">
                  <c:v>3.2003816000001279</c:v>
                </c:pt>
                <c:pt idx="211">
                  <c:v>3.2153074000002562</c:v>
                </c:pt>
                <c:pt idx="212">
                  <c:v>3.2629249999999956</c:v>
                </c:pt>
                <c:pt idx="213">
                  <c:v>3.2789824000001317</c:v>
                </c:pt>
                <c:pt idx="214">
                  <c:v>3.2943454000001111</c:v>
                </c:pt>
                <c:pt idx="215">
                  <c:v>3.3418642999999975</c:v>
                </c:pt>
                <c:pt idx="216">
                  <c:v>3.357551400000375</c:v>
                </c:pt>
                <c:pt idx="217">
                  <c:v>3.4502027000003181</c:v>
                </c:pt>
                <c:pt idx="218">
                  <c:v>3.466481400000248</c:v>
                </c:pt>
                <c:pt idx="219">
                  <c:v>3.4815856000000167</c:v>
                </c:pt>
                <c:pt idx="220">
                  <c:v>3.496932100000322</c:v>
                </c:pt>
                <c:pt idx="221">
                  <c:v>3.5277230000001509</c:v>
                </c:pt>
                <c:pt idx="222">
                  <c:v>3.5595329000002494</c:v>
                </c:pt>
                <c:pt idx="223">
                  <c:v>3.590596000000005</c:v>
                </c:pt>
                <c:pt idx="224">
                  <c:v>3.6220025000002352</c:v>
                </c:pt>
                <c:pt idx="225">
                  <c:v>3.6521181000002798</c:v>
                </c:pt>
                <c:pt idx="226">
                  <c:v>3.7453942000001916</c:v>
                </c:pt>
                <c:pt idx="227">
                  <c:v>3.7610059000003275</c:v>
                </c:pt>
                <c:pt idx="228">
                  <c:v>3.7763112000002366</c:v>
                </c:pt>
                <c:pt idx="229">
                  <c:v>3.7926324000000022</c:v>
                </c:pt>
                <c:pt idx="230">
                  <c:v>3.8087636000000202</c:v>
                </c:pt>
                <c:pt idx="231">
                  <c:v>3.8874061999999867</c:v>
                </c:pt>
                <c:pt idx="232">
                  <c:v>3.9030201000000488</c:v>
                </c:pt>
                <c:pt idx="233">
                  <c:v>3.9183447000000342</c:v>
                </c:pt>
                <c:pt idx="234">
                  <c:v>3.9338287000000491</c:v>
                </c:pt>
                <c:pt idx="235">
                  <c:v>3.9800678999999946</c:v>
                </c:pt>
                <c:pt idx="236">
                  <c:v>3.995798900000409</c:v>
                </c:pt>
                <c:pt idx="237">
                  <c:v>4.0423875999999836</c:v>
                </c:pt>
                <c:pt idx="238">
                  <c:v>4.0739817000003313</c:v>
                </c:pt>
                <c:pt idx="239">
                  <c:v>4.1044402000002265</c:v>
                </c:pt>
                <c:pt idx="240">
                  <c:v>4.1355275000000802</c:v>
                </c:pt>
                <c:pt idx="241">
                  <c:v>4.1654601000000184</c:v>
                </c:pt>
                <c:pt idx="242">
                  <c:v>4.1966453000000001</c:v>
                </c:pt>
                <c:pt idx="243">
                  <c:v>4.2278092000001379</c:v>
                </c:pt>
                <c:pt idx="244">
                  <c:v>4.2745982000001277</c:v>
                </c:pt>
                <c:pt idx="245">
                  <c:v>4.3050646000001507</c:v>
                </c:pt>
                <c:pt idx="246">
                  <c:v>4.3357205000002068</c:v>
                </c:pt>
                <c:pt idx="247">
                  <c:v>4.3668618000001516</c:v>
                </c:pt>
                <c:pt idx="248">
                  <c:v>4.3979300000000876</c:v>
                </c:pt>
                <c:pt idx="249">
                  <c:v>4.4284158000000389</c:v>
                </c:pt>
                <c:pt idx="250">
                  <c:v>4.4752190000003793</c:v>
                </c:pt>
                <c:pt idx="251">
                  <c:v>4.5070405000001301</c:v>
                </c:pt>
                <c:pt idx="252">
                  <c:v>4.5080405000001305</c:v>
                </c:pt>
                <c:pt idx="253">
                  <c:v>4.537615900000219</c:v>
                </c:pt>
                <c:pt idx="254">
                  <c:v>4.5528210000002218</c:v>
                </c:pt>
                <c:pt idx="255">
                  <c:v>4.5840331000003971</c:v>
                </c:pt>
                <c:pt idx="256">
                  <c:v>4.6146783000003779</c:v>
                </c:pt>
                <c:pt idx="257">
                  <c:v>4.6612142000003587</c:v>
                </c:pt>
                <c:pt idx="258">
                  <c:v>4.6927078000003348</c:v>
                </c:pt>
                <c:pt idx="259">
                  <c:v>4.7241723000001912</c:v>
                </c:pt>
                <c:pt idx="260">
                  <c:v>4.7552841000001536</c:v>
                </c:pt>
                <c:pt idx="261">
                  <c:v>4.7871487000002162</c:v>
                </c:pt>
                <c:pt idx="262">
                  <c:v>4.8184103000003233</c:v>
                </c:pt>
                <c:pt idx="263">
                  <c:v>4.8648840000000746</c:v>
                </c:pt>
                <c:pt idx="264">
                  <c:v>4.8959517000002961</c:v>
                </c:pt>
                <c:pt idx="265">
                  <c:v>4.9267509000001155</c:v>
                </c:pt>
                <c:pt idx="266">
                  <c:v>4.9738620000002811</c:v>
                </c:pt>
                <c:pt idx="267">
                  <c:v>4.9892149000002064</c:v>
                </c:pt>
                <c:pt idx="268">
                  <c:v>5.0212012000001778</c:v>
                </c:pt>
                <c:pt idx="269">
                  <c:v>5.0516725000002225</c:v>
                </c:pt>
                <c:pt idx="270">
                  <c:v>5.0827851000003648</c:v>
                </c:pt>
                <c:pt idx="271">
                  <c:v>5.1137316000003921</c:v>
                </c:pt>
                <c:pt idx="272">
                  <c:v>5.1452981000002183</c:v>
                </c:pt>
                <c:pt idx="273">
                  <c:v>5.1763471000003847</c:v>
                </c:pt>
                <c:pt idx="274">
                  <c:v>5.206453700000111</c:v>
                </c:pt>
                <c:pt idx="275">
                  <c:v>5.2538562000004276</c:v>
                </c:pt>
                <c:pt idx="276">
                  <c:v>5.2850330000001122</c:v>
                </c:pt>
                <c:pt idx="277">
                  <c:v>5.3151507000002312</c:v>
                </c:pt>
                <c:pt idx="278">
                  <c:v>5.3462414000000535</c:v>
                </c:pt>
                <c:pt idx="279">
                  <c:v>5.3769308000000819</c:v>
                </c:pt>
                <c:pt idx="280">
                  <c:v>5.4089211000000432</c:v>
                </c:pt>
                <c:pt idx="281">
                  <c:v>5.4551541000000725</c:v>
                </c:pt>
                <c:pt idx="282">
                  <c:v>5.4857228000000759</c:v>
                </c:pt>
                <c:pt idx="283">
                  <c:v>5.5166819000000942</c:v>
                </c:pt>
                <c:pt idx="284">
                  <c:v>5.5484199000002263</c:v>
                </c:pt>
                <c:pt idx="285">
                  <c:v>5.5797838000003139</c:v>
                </c:pt>
                <c:pt idx="286">
                  <c:v>5.6095580000001064</c:v>
                </c:pt>
                <c:pt idx="287">
                  <c:v>5.6410262000003968</c:v>
                </c:pt>
                <c:pt idx="288">
                  <c:v>5.6720820000000458</c:v>
                </c:pt>
                <c:pt idx="289">
                  <c:v>5.7036822000000029</c:v>
                </c:pt>
                <c:pt idx="290">
                  <c:v>5.7347582000002149</c:v>
                </c:pt>
                <c:pt idx="291">
                  <c:v>5.7660101999999824</c:v>
                </c:pt>
                <c:pt idx="292">
                  <c:v>5.7983756000003268</c:v>
                </c:pt>
                <c:pt idx="293">
                  <c:v>5.8292917000003399</c:v>
                </c:pt>
                <c:pt idx="294">
                  <c:v>5.8760879999999815</c:v>
                </c:pt>
                <c:pt idx="295">
                  <c:v>5.9069489000003159</c:v>
                </c:pt>
                <c:pt idx="296">
                  <c:v>5.9376335000001745</c:v>
                </c:pt>
                <c:pt idx="297">
                  <c:v>5.9686227000001963</c:v>
                </c:pt>
                <c:pt idx="298">
                  <c:v>5.999062700000195</c:v>
                </c:pt>
                <c:pt idx="299">
                  <c:v>6.0304338000000826</c:v>
                </c:pt>
                <c:pt idx="300">
                  <c:v>6.0618288000000575</c:v>
                </c:pt>
                <c:pt idx="301">
                  <c:v>6.0927022000000761</c:v>
                </c:pt>
                <c:pt idx="302">
                  <c:v>6.1397364000004018</c:v>
                </c:pt>
                <c:pt idx="303">
                  <c:v>6.1711775000003399</c:v>
                </c:pt>
                <c:pt idx="304">
                  <c:v>6.1872160000002623</c:v>
                </c:pt>
                <c:pt idx="305">
                  <c:v>6.2184366000001319</c:v>
                </c:pt>
                <c:pt idx="306">
                  <c:v>6.2489861000003657</c:v>
                </c:pt>
                <c:pt idx="307">
                  <c:v>6.2801828999999998</c:v>
                </c:pt>
                <c:pt idx="308">
                  <c:v>6.3263348000000406</c:v>
                </c:pt>
                <c:pt idx="309">
                  <c:v>6.3577290000002904</c:v>
                </c:pt>
                <c:pt idx="310">
                  <c:v>6.3879193000002488</c:v>
                </c:pt>
                <c:pt idx="311">
                  <c:v>6.4188283000003139</c:v>
                </c:pt>
                <c:pt idx="312">
                  <c:v>6.4498166000003039</c:v>
                </c:pt>
                <c:pt idx="313">
                  <c:v>6.4810206000001926</c:v>
                </c:pt>
                <c:pt idx="314">
                  <c:v>6.5271981000000778</c:v>
                </c:pt>
                <c:pt idx="315">
                  <c:v>6.5573610000001281</c:v>
                </c:pt>
                <c:pt idx="316">
                  <c:v>6.5885600000001432</c:v>
                </c:pt>
                <c:pt idx="317">
                  <c:v>6.6192061000001559</c:v>
                </c:pt>
                <c:pt idx="318">
                  <c:v>6.6495939999999791</c:v>
                </c:pt>
                <c:pt idx="319">
                  <c:v>6.6809850000004189</c:v>
                </c:pt>
                <c:pt idx="320">
                  <c:v>6.7279085000000123</c:v>
                </c:pt>
                <c:pt idx="321">
                  <c:v>6.7590113000001111</c:v>
                </c:pt>
                <c:pt idx="322">
                  <c:v>6.7899225000001024</c:v>
                </c:pt>
                <c:pt idx="323">
                  <c:v>6.8056283000000803</c:v>
                </c:pt>
                <c:pt idx="324">
                  <c:v>6.8376799000002393</c:v>
                </c:pt>
                <c:pt idx="325">
                  <c:v>6.8684104000003572</c:v>
                </c:pt>
                <c:pt idx="326">
                  <c:v>6.9149276000002828</c:v>
                </c:pt>
                <c:pt idx="327">
                  <c:v>6.946722900000168</c:v>
                </c:pt>
                <c:pt idx="328">
                  <c:v>6.9777452000002995</c:v>
                </c:pt>
                <c:pt idx="329">
                  <c:v>7.0080390000002808</c:v>
                </c:pt>
                <c:pt idx="330">
                  <c:v>7.039289700000154</c:v>
                </c:pt>
                <c:pt idx="331">
                  <c:v>7.0705900000002657</c:v>
                </c:pt>
                <c:pt idx="332">
                  <c:v>7.1177352000004248</c:v>
                </c:pt>
                <c:pt idx="333">
                  <c:v>7.149779700000181</c:v>
                </c:pt>
                <c:pt idx="334">
                  <c:v>7.1810393000000659</c:v>
                </c:pt>
                <c:pt idx="335">
                  <c:v>7.2121169000001828</c:v>
                </c:pt>
                <c:pt idx="336">
                  <c:v>7.2427593000002162</c:v>
                </c:pt>
                <c:pt idx="337">
                  <c:v>7.2730527000003349</c:v>
                </c:pt>
                <c:pt idx="338">
                  <c:v>7.3046481000001222</c:v>
                </c:pt>
                <c:pt idx="339">
                  <c:v>7.3364228000000367</c:v>
                </c:pt>
                <c:pt idx="340">
                  <c:v>7.367167000000336</c:v>
                </c:pt>
                <c:pt idx="341">
                  <c:v>7.3981877000001077</c:v>
                </c:pt>
                <c:pt idx="342">
                  <c:v>7.4297265000000152</c:v>
                </c:pt>
                <c:pt idx="343">
                  <c:v>7.4607101999999941</c:v>
                </c:pt>
                <c:pt idx="344">
                  <c:v>7.4922096000000238</c:v>
                </c:pt>
                <c:pt idx="345">
                  <c:v>7.5385995000001458</c:v>
                </c:pt>
                <c:pt idx="346">
                  <c:v>7.570056200000181</c:v>
                </c:pt>
                <c:pt idx="347">
                  <c:v>7.6007871000001614</c:v>
                </c:pt>
                <c:pt idx="348">
                  <c:v>7.6318452000000434</c:v>
                </c:pt>
                <c:pt idx="349">
                  <c:v>7.6628080000000409</c:v>
                </c:pt>
                <c:pt idx="350">
                  <c:v>7.693853300000228</c:v>
                </c:pt>
                <c:pt idx="351">
                  <c:v>7.740906300000006</c:v>
                </c:pt>
                <c:pt idx="352">
                  <c:v>7.7560024000003978</c:v>
                </c:pt>
                <c:pt idx="353">
                  <c:v>7.8027047000000493</c:v>
                </c:pt>
                <c:pt idx="354">
                  <c:v>7.818170800000189</c:v>
                </c:pt>
                <c:pt idx="355">
                  <c:v>7.849333900000147</c:v>
                </c:pt>
                <c:pt idx="356">
                  <c:v>7.8953836000000592</c:v>
                </c:pt>
                <c:pt idx="357">
                  <c:v>7.9105360000003202</c:v>
                </c:pt>
                <c:pt idx="358">
                  <c:v>7.9416419000003771</c:v>
                </c:pt>
                <c:pt idx="359">
                  <c:v>7.988133000000289</c:v>
                </c:pt>
                <c:pt idx="360">
                  <c:v>8.0195339000001695</c:v>
                </c:pt>
                <c:pt idx="361">
                  <c:v>8.0499366000003647</c:v>
                </c:pt>
                <c:pt idx="362">
                  <c:v>8.0813528000003316</c:v>
                </c:pt>
                <c:pt idx="363">
                  <c:v>8.1119710000002669</c:v>
                </c:pt>
                <c:pt idx="364">
                  <c:v>8.1418160000002899</c:v>
                </c:pt>
                <c:pt idx="365">
                  <c:v>8.1884018000000651</c:v>
                </c:pt>
                <c:pt idx="366">
                  <c:v>8.2195125000002918</c:v>
                </c:pt>
                <c:pt idx="367">
                  <c:v>8.2505235000003267</c:v>
                </c:pt>
                <c:pt idx="368">
                  <c:v>8.2813416000003599</c:v>
                </c:pt>
                <c:pt idx="369">
                  <c:v>8.3130092000001241</c:v>
                </c:pt>
                <c:pt idx="370">
                  <c:v>8.3439578000002257</c:v>
                </c:pt>
                <c:pt idx="371">
                  <c:v>8.3752976000000672</c:v>
                </c:pt>
                <c:pt idx="372">
                  <c:v>8.4216149000003497</c:v>
                </c:pt>
                <c:pt idx="373">
                  <c:v>8.435135100000025</c:v>
                </c:pt>
                <c:pt idx="374">
                  <c:v>8.4680778000001737</c:v>
                </c:pt>
                <c:pt idx="375">
                  <c:v>8.4993426000000909</c:v>
                </c:pt>
                <c:pt idx="376">
                  <c:v>8.5301843000002009</c:v>
                </c:pt>
                <c:pt idx="377">
                  <c:v>8.5311843000002003</c:v>
                </c:pt>
                <c:pt idx="378">
                  <c:v>8.5615048000004208</c:v>
                </c:pt>
                <c:pt idx="379">
                  <c:v>8.6084997000002659</c:v>
                </c:pt>
                <c:pt idx="380">
                  <c:v>8.6396508000002541</c:v>
                </c:pt>
                <c:pt idx="381">
                  <c:v>8.6708717999999863</c:v>
                </c:pt>
                <c:pt idx="382">
                  <c:v>8.7026233000001412</c:v>
                </c:pt>
                <c:pt idx="383">
                  <c:v>8.7334623000001557</c:v>
                </c:pt>
                <c:pt idx="384">
                  <c:v>8.7646595000001071</c:v>
                </c:pt>
                <c:pt idx="385">
                  <c:v>8.8111308000002282</c:v>
                </c:pt>
                <c:pt idx="386">
                  <c:v>8.8430741000001944</c:v>
                </c:pt>
                <c:pt idx="387">
                  <c:v>8.8728994000002785</c:v>
                </c:pt>
                <c:pt idx="388">
                  <c:v>8.9049598000001424</c:v>
                </c:pt>
                <c:pt idx="389">
                  <c:v>8.920539700000063</c:v>
                </c:pt>
                <c:pt idx="390">
                  <c:v>8.9517083000000639</c:v>
                </c:pt>
                <c:pt idx="391">
                  <c:v>8.9822482000004129</c:v>
                </c:pt>
                <c:pt idx="392">
                  <c:v>9.0298377000003711</c:v>
                </c:pt>
                <c:pt idx="393">
                  <c:v>9.0611833000002662</c:v>
                </c:pt>
                <c:pt idx="394">
                  <c:v>9.0922832000001108</c:v>
                </c:pt>
                <c:pt idx="395">
                  <c:v>9.12239610000006</c:v>
                </c:pt>
                <c:pt idx="396">
                  <c:v>9.1532780000002276</c:v>
                </c:pt>
                <c:pt idx="397">
                  <c:v>9.1842184000001907</c:v>
                </c:pt>
                <c:pt idx="398">
                  <c:v>9.2300111000004108</c:v>
                </c:pt>
                <c:pt idx="399">
                  <c:v>9.2606885000000148</c:v>
                </c:pt>
                <c:pt idx="400">
                  <c:v>9.291738500000065</c:v>
                </c:pt>
                <c:pt idx="401">
                  <c:v>9.3234608000002481</c:v>
                </c:pt>
                <c:pt idx="402">
                  <c:v>9.3695388000001003</c:v>
                </c:pt>
                <c:pt idx="403">
                  <c:v>9.4001502000000983</c:v>
                </c:pt>
                <c:pt idx="404">
                  <c:v>9.4309679000002689</c:v>
                </c:pt>
                <c:pt idx="405">
                  <c:v>9.4623018000002048</c:v>
                </c:pt>
                <c:pt idx="406">
                  <c:v>9.4935661000004075</c:v>
                </c:pt>
                <c:pt idx="407">
                  <c:v>9.5246996000000763</c:v>
                </c:pt>
                <c:pt idx="408">
                  <c:v>9.5554276000002574</c:v>
                </c:pt>
                <c:pt idx="409">
                  <c:v>9.5555276000002571</c:v>
                </c:pt>
                <c:pt idx="410">
                  <c:v>9.5856540000004316</c:v>
                </c:pt>
                <c:pt idx="411">
                  <c:v>9.6167265000003681</c:v>
                </c:pt>
                <c:pt idx="412">
                  <c:v>9.6474853000004259</c:v>
                </c:pt>
                <c:pt idx="413">
                  <c:v>9.6789674999999988</c:v>
                </c:pt>
                <c:pt idx="414">
                  <c:v>9.7094308000000638</c:v>
                </c:pt>
                <c:pt idx="415">
                  <c:v>9.7403956000002836</c:v>
                </c:pt>
                <c:pt idx="416">
                  <c:v>9.7720160000003489</c:v>
                </c:pt>
                <c:pt idx="417">
                  <c:v>9.8176916000002166</c:v>
                </c:pt>
                <c:pt idx="418">
                  <c:v>9.8488786000002619</c:v>
                </c:pt>
                <c:pt idx="419">
                  <c:v>9.8793074000000161</c:v>
                </c:pt>
                <c:pt idx="420">
                  <c:v>9.9106115000004138</c:v>
                </c:pt>
                <c:pt idx="421">
                  <c:v>9.9409724000001916</c:v>
                </c:pt>
                <c:pt idx="422">
                  <c:v>9.9728406000003815</c:v>
                </c:pt>
                <c:pt idx="423">
                  <c:v>10.004080200000317</c:v>
                </c:pt>
                <c:pt idx="424">
                  <c:v>10.052269700000124</c:v>
                </c:pt>
                <c:pt idx="425">
                  <c:v>10.067612800000006</c:v>
                </c:pt>
                <c:pt idx="426">
                  <c:v>10.098507600000175</c:v>
                </c:pt>
                <c:pt idx="427">
                  <c:v>10.129110700000183</c:v>
                </c:pt>
                <c:pt idx="428">
                  <c:v>10.159869600000093</c:v>
                </c:pt>
                <c:pt idx="429">
                  <c:v>10.191697800000384</c:v>
                </c:pt>
                <c:pt idx="430">
                  <c:v>10.223350500000379</c:v>
                </c:pt>
                <c:pt idx="431">
                  <c:v>10.317478700000265</c:v>
                </c:pt>
                <c:pt idx="432">
                  <c:v>10.333174900000358</c:v>
                </c:pt>
                <c:pt idx="433">
                  <c:v>10.348560300000372</c:v>
                </c:pt>
                <c:pt idx="434">
                  <c:v>10.36367700000028</c:v>
                </c:pt>
                <c:pt idx="435">
                  <c:v>10.410301700000218</c:v>
                </c:pt>
                <c:pt idx="436">
                  <c:v>10.58332960000007</c:v>
                </c:pt>
                <c:pt idx="437">
                  <c:v>10.598769900000207</c:v>
                </c:pt>
                <c:pt idx="438">
                  <c:v>10.614560700000311</c:v>
                </c:pt>
                <c:pt idx="439">
                  <c:v>10.63024680000035</c:v>
                </c:pt>
                <c:pt idx="440">
                  <c:v>10.645605100000012</c:v>
                </c:pt>
                <c:pt idx="441">
                  <c:v>10.661888300000101</c:v>
                </c:pt>
                <c:pt idx="442">
                  <c:v>10.67790260000038</c:v>
                </c:pt>
                <c:pt idx="443">
                  <c:v>10.693193000000065</c:v>
                </c:pt>
                <c:pt idx="444">
                  <c:v>10.709016600000268</c:v>
                </c:pt>
                <c:pt idx="445">
                  <c:v>10.724044000000049</c:v>
                </c:pt>
                <c:pt idx="446">
                  <c:v>10.756220200000371</c:v>
                </c:pt>
                <c:pt idx="447">
                  <c:v>10.787308800000119</c:v>
                </c:pt>
                <c:pt idx="448">
                  <c:v>10.833230000000185</c:v>
                </c:pt>
                <c:pt idx="449">
                  <c:v>10.848908600000414</c:v>
                </c:pt>
                <c:pt idx="450">
                  <c:v>10.895104500000343</c:v>
                </c:pt>
                <c:pt idx="451">
                  <c:v>10.926145600000382</c:v>
                </c:pt>
                <c:pt idx="452">
                  <c:v>10.942143000000215</c:v>
                </c:pt>
                <c:pt idx="453">
                  <c:v>10.973500700000386</c:v>
                </c:pt>
                <c:pt idx="454">
                  <c:v>11.019185500000276</c:v>
                </c:pt>
                <c:pt idx="455">
                  <c:v>11.034989600000245</c:v>
                </c:pt>
                <c:pt idx="456">
                  <c:v>11.082045999999991</c:v>
                </c:pt>
                <c:pt idx="457">
                  <c:v>11.1128262000002</c:v>
                </c:pt>
                <c:pt idx="458">
                  <c:v>11.143854800000099</c:v>
                </c:pt>
                <c:pt idx="459">
                  <c:v>11.175350700000308</c:v>
                </c:pt>
                <c:pt idx="460">
                  <c:v>11.206693400000404</c:v>
                </c:pt>
                <c:pt idx="461">
                  <c:v>11.237335799999983</c:v>
                </c:pt>
                <c:pt idx="462">
                  <c:v>11.284025600000405</c:v>
                </c:pt>
                <c:pt idx="463">
                  <c:v>11.314848700000312</c:v>
                </c:pt>
                <c:pt idx="464">
                  <c:v>11.345894600000065</c:v>
                </c:pt>
                <c:pt idx="465">
                  <c:v>11.377582900000107</c:v>
                </c:pt>
                <c:pt idx="466">
                  <c:v>11.408712500000092</c:v>
                </c:pt>
                <c:pt idx="467">
                  <c:v>11.424737800000003</c:v>
                </c:pt>
                <c:pt idx="468">
                  <c:v>11.47156490000043</c:v>
                </c:pt>
                <c:pt idx="469">
                  <c:v>11.502535600000101</c:v>
                </c:pt>
                <c:pt idx="470">
                  <c:v>11.534924500000216</c:v>
                </c:pt>
                <c:pt idx="471">
                  <c:v>11.565958300000148</c:v>
                </c:pt>
                <c:pt idx="472">
                  <c:v>11.59783920000018</c:v>
                </c:pt>
                <c:pt idx="473">
                  <c:v>11.644704600000296</c:v>
                </c:pt>
                <c:pt idx="474">
                  <c:v>11.675825900000291</c:v>
                </c:pt>
                <c:pt idx="475">
                  <c:v>11.706475600000431</c:v>
                </c:pt>
                <c:pt idx="476">
                  <c:v>11.737749000000349</c:v>
                </c:pt>
                <c:pt idx="477">
                  <c:v>11.76921160000029</c:v>
                </c:pt>
                <c:pt idx="478">
                  <c:v>11.800858600000083</c:v>
                </c:pt>
                <c:pt idx="479">
                  <c:v>11.832110300000295</c:v>
                </c:pt>
                <c:pt idx="480">
                  <c:v>11.847406900000351</c:v>
                </c:pt>
                <c:pt idx="481">
                  <c:v>11.894228900000144</c:v>
                </c:pt>
                <c:pt idx="482">
                  <c:v>11.92492110000012</c:v>
                </c:pt>
                <c:pt idx="483">
                  <c:v>11.955142800000431</c:v>
                </c:pt>
                <c:pt idx="484">
                  <c:v>12.000833200000216</c:v>
                </c:pt>
                <c:pt idx="485">
                  <c:v>12.016915900000186</c:v>
                </c:pt>
                <c:pt idx="486">
                  <c:v>12.063823899999988</c:v>
                </c:pt>
                <c:pt idx="487">
                  <c:v>12.094814100000349</c:v>
                </c:pt>
                <c:pt idx="488">
                  <c:v>12.125114600000416</c:v>
                </c:pt>
                <c:pt idx="489">
                  <c:v>12.15568790000043</c:v>
                </c:pt>
                <c:pt idx="490">
                  <c:v>12.186626400000023</c:v>
                </c:pt>
                <c:pt idx="491">
                  <c:v>12.218306000000211</c:v>
                </c:pt>
                <c:pt idx="492">
                  <c:v>12.249259600000187</c:v>
                </c:pt>
                <c:pt idx="493">
                  <c:v>12.296085400000266</c:v>
                </c:pt>
                <c:pt idx="494">
                  <c:v>12.326275300000361</c:v>
                </c:pt>
                <c:pt idx="495">
                  <c:v>12.357014600000184</c:v>
                </c:pt>
                <c:pt idx="496">
                  <c:v>12.388153500000044</c:v>
                </c:pt>
                <c:pt idx="497">
                  <c:v>12.4197750000003</c:v>
                </c:pt>
                <c:pt idx="498">
                  <c:v>12.451095400000213</c:v>
                </c:pt>
                <c:pt idx="499">
                  <c:v>12.482295500000419</c:v>
                </c:pt>
                <c:pt idx="500">
                  <c:v>12.513406000000032</c:v>
                </c:pt>
                <c:pt idx="501">
                  <c:v>12.545510300000387</c:v>
                </c:pt>
                <c:pt idx="502">
                  <c:v>12.576301700000386</c:v>
                </c:pt>
                <c:pt idx="503">
                  <c:v>12.607888900000034</c:v>
                </c:pt>
                <c:pt idx="504">
                  <c:v>12.638797200000226</c:v>
                </c:pt>
                <c:pt idx="505">
                  <c:v>12.670864300000176</c:v>
                </c:pt>
                <c:pt idx="506">
                  <c:v>12.702406300000348</c:v>
                </c:pt>
                <c:pt idx="507">
                  <c:v>12.748906799999986</c:v>
                </c:pt>
                <c:pt idx="508">
                  <c:v>12.780055300000186</c:v>
                </c:pt>
                <c:pt idx="509">
                  <c:v>12.810586700000385</c:v>
                </c:pt>
                <c:pt idx="510">
                  <c:v>12.840667400000257</c:v>
                </c:pt>
                <c:pt idx="511">
                  <c:v>12.87273660000028</c:v>
                </c:pt>
                <c:pt idx="512">
                  <c:v>12.919059700000162</c:v>
                </c:pt>
                <c:pt idx="513">
                  <c:v>12.950166000000081</c:v>
                </c:pt>
                <c:pt idx="514">
                  <c:v>12.965575600000193</c:v>
                </c:pt>
                <c:pt idx="515">
                  <c:v>12.996916700000384</c:v>
                </c:pt>
                <c:pt idx="516">
                  <c:v>13.027586500000325</c:v>
                </c:pt>
                <c:pt idx="517">
                  <c:v>13.058944500000052</c:v>
                </c:pt>
                <c:pt idx="518">
                  <c:v>13.089599500000077</c:v>
                </c:pt>
                <c:pt idx="519">
                  <c:v>13.136956600000303</c:v>
                </c:pt>
                <c:pt idx="520">
                  <c:v>13.167147800000294</c:v>
                </c:pt>
                <c:pt idx="521">
                  <c:v>13.197788200000105</c:v>
                </c:pt>
                <c:pt idx="522">
                  <c:v>13.243707000000086</c:v>
                </c:pt>
                <c:pt idx="523">
                  <c:v>13.30562800000007</c:v>
                </c:pt>
                <c:pt idx="524">
                  <c:v>13.320852300000297</c:v>
                </c:pt>
                <c:pt idx="525">
                  <c:v>13.336251400000037</c:v>
                </c:pt>
                <c:pt idx="526">
                  <c:v>13.367295000000013</c:v>
                </c:pt>
                <c:pt idx="527">
                  <c:v>13.397435500000029</c:v>
                </c:pt>
                <c:pt idx="528">
                  <c:v>13.429170900000372</c:v>
                </c:pt>
                <c:pt idx="529">
                  <c:v>13.460952700000234</c:v>
                </c:pt>
                <c:pt idx="530">
                  <c:v>13.492381000000023</c:v>
                </c:pt>
                <c:pt idx="531">
                  <c:v>13.523081499999989</c:v>
                </c:pt>
                <c:pt idx="532">
                  <c:v>13.555078700000195</c:v>
                </c:pt>
                <c:pt idx="533">
                  <c:v>13.587006100000053</c:v>
                </c:pt>
                <c:pt idx="534">
                  <c:v>13.619073000000299</c:v>
                </c:pt>
                <c:pt idx="535">
                  <c:v>13.650212200000169</c:v>
                </c:pt>
                <c:pt idx="536">
                  <c:v>13.681003300000157</c:v>
                </c:pt>
                <c:pt idx="537">
                  <c:v>13.712306100000205</c:v>
                </c:pt>
                <c:pt idx="538">
                  <c:v>13.758961900000031</c:v>
                </c:pt>
                <c:pt idx="539">
                  <c:v>13.789472500000102</c:v>
                </c:pt>
                <c:pt idx="540">
                  <c:v>13.822084700000232</c:v>
                </c:pt>
                <c:pt idx="541">
                  <c:v>13.852689600000303</c:v>
                </c:pt>
                <c:pt idx="542">
                  <c:v>13.883946300000389</c:v>
                </c:pt>
                <c:pt idx="543">
                  <c:v>13.914673300000231</c:v>
                </c:pt>
                <c:pt idx="544">
                  <c:v>13.945167700000184</c:v>
                </c:pt>
                <c:pt idx="545">
                  <c:v>13.992031400000087</c:v>
                </c:pt>
                <c:pt idx="546">
                  <c:v>14.023872700000084</c:v>
                </c:pt>
                <c:pt idx="547">
                  <c:v>14.054001299999982</c:v>
                </c:pt>
                <c:pt idx="548">
                  <c:v>14.069429500000297</c:v>
                </c:pt>
                <c:pt idx="549">
                  <c:v>14.100932499999999</c:v>
                </c:pt>
                <c:pt idx="550">
                  <c:v>14.14680670000007</c:v>
                </c:pt>
                <c:pt idx="551">
                  <c:v>14.17827780000016</c:v>
                </c:pt>
                <c:pt idx="552">
                  <c:v>14.209291300000132</c:v>
                </c:pt>
                <c:pt idx="553">
                  <c:v>14.240556100000049</c:v>
                </c:pt>
                <c:pt idx="554">
                  <c:v>14.271950000000288</c:v>
                </c:pt>
                <c:pt idx="555">
                  <c:v>14.303397800000312</c:v>
                </c:pt>
                <c:pt idx="556">
                  <c:v>14.333667700000206</c:v>
                </c:pt>
                <c:pt idx="557">
                  <c:v>14.380823100000271</c:v>
                </c:pt>
                <c:pt idx="558">
                  <c:v>14.411975400000301</c:v>
                </c:pt>
              </c:numCache>
            </c:numRef>
          </c:xVal>
          <c:yVal>
            <c:numRef>
              <c:f>'Maju 0.1'!$AC$7:$AC$565</c:f>
              <c:numCache>
                <c:formatCode>General</c:formatCode>
                <c:ptCount val="559"/>
                <c:pt idx="0">
                  <c:v>40.073734332710998</c:v>
                </c:pt>
                <c:pt idx="1">
                  <c:v>40.073734332710998</c:v>
                </c:pt>
                <c:pt idx="2">
                  <c:v>40.05103472028302</c:v>
                </c:pt>
                <c:pt idx="3">
                  <c:v>40.034302061402769</c:v>
                </c:pt>
                <c:pt idx="4">
                  <c:v>39.957350679423541</c:v>
                </c:pt>
                <c:pt idx="5">
                  <c:v>39.83786562145859</c:v>
                </c:pt>
                <c:pt idx="6">
                  <c:v>39.725048677710163</c:v>
                </c:pt>
                <c:pt idx="7">
                  <c:v>39.60697421082763</c:v>
                </c:pt>
                <c:pt idx="8">
                  <c:v>39.497261159537196</c:v>
                </c:pt>
                <c:pt idx="9">
                  <c:v>39.403951681079683</c:v>
                </c:pt>
                <c:pt idx="10">
                  <c:v>39.310110228225568</c:v>
                </c:pt>
                <c:pt idx="11">
                  <c:v>39.217470686756045</c:v>
                </c:pt>
                <c:pt idx="12">
                  <c:v>39.124681490951495</c:v>
                </c:pt>
                <c:pt idx="13">
                  <c:v>38.985366040912609</c:v>
                </c:pt>
                <c:pt idx="14">
                  <c:v>38.851121651202561</c:v>
                </c:pt>
                <c:pt idx="15">
                  <c:v>38.713527570267203</c:v>
                </c:pt>
                <c:pt idx="16">
                  <c:v>38.583713250582974</c:v>
                </c:pt>
                <c:pt idx="17">
                  <c:v>38.437473918579826</c:v>
                </c:pt>
                <c:pt idx="18">
                  <c:v>38.282976750168572</c:v>
                </c:pt>
                <c:pt idx="19">
                  <c:v>38.137062492190438</c:v>
                </c:pt>
                <c:pt idx="20">
                  <c:v>37.989460717569507</c:v>
                </c:pt>
                <c:pt idx="21">
                  <c:v>37.834577573073844</c:v>
                </c:pt>
                <c:pt idx="22">
                  <c:v>37.684774229338792</c:v>
                </c:pt>
                <c:pt idx="23">
                  <c:v>37.530080786944396</c:v>
                </c:pt>
                <c:pt idx="24">
                  <c:v>37.378850845072364</c:v>
                </c:pt>
                <c:pt idx="25">
                  <c:v>37.181626448885964</c:v>
                </c:pt>
                <c:pt idx="26">
                  <c:v>36.987884519960446</c:v>
                </c:pt>
                <c:pt idx="27">
                  <c:v>36.79182386283496</c:v>
                </c:pt>
                <c:pt idx="28">
                  <c:v>36.601388152832094</c:v>
                </c:pt>
                <c:pt idx="29">
                  <c:v>36.40052370882254</c:v>
                </c:pt>
                <c:pt idx="30">
                  <c:v>36.198175125948922</c:v>
                </c:pt>
                <c:pt idx="31">
                  <c:v>35.998723845755045</c:v>
                </c:pt>
                <c:pt idx="32">
                  <c:v>35.802242110710438</c:v>
                </c:pt>
                <c:pt idx="33">
                  <c:v>35.599153359516343</c:v>
                </c:pt>
                <c:pt idx="34">
                  <c:v>35.398782513087184</c:v>
                </c:pt>
                <c:pt idx="35">
                  <c:v>35.195481569862075</c:v>
                </c:pt>
                <c:pt idx="36">
                  <c:v>34.994693992781784</c:v>
                </c:pt>
                <c:pt idx="37">
                  <c:v>34.798160703353581</c:v>
                </c:pt>
                <c:pt idx="38">
                  <c:v>34.561822562457735</c:v>
                </c:pt>
                <c:pt idx="39">
                  <c:v>34.309510133492921</c:v>
                </c:pt>
                <c:pt idx="40">
                  <c:v>34.082426309103887</c:v>
                </c:pt>
                <c:pt idx="41">
                  <c:v>33.843021502201836</c:v>
                </c:pt>
                <c:pt idx="42">
                  <c:v>33.655051483197028</c:v>
                </c:pt>
                <c:pt idx="43">
                  <c:v>33.455001958136364</c:v>
                </c:pt>
                <c:pt idx="44">
                  <c:v>33.267978694463778</c:v>
                </c:pt>
                <c:pt idx="45">
                  <c:v>33.07767963253378</c:v>
                </c:pt>
                <c:pt idx="46">
                  <c:v>32.926839089552821</c:v>
                </c:pt>
                <c:pt idx="47">
                  <c:v>32.77717619094755</c:v>
                </c:pt>
                <c:pt idx="48">
                  <c:v>32.626953911264941</c:v>
                </c:pt>
                <c:pt idx="49">
                  <c:v>32.466209379061681</c:v>
                </c:pt>
                <c:pt idx="50">
                  <c:v>32.315617122768927</c:v>
                </c:pt>
                <c:pt idx="51">
                  <c:v>32.178424373787671</c:v>
                </c:pt>
                <c:pt idx="52">
                  <c:v>32.042580890306482</c:v>
                </c:pt>
                <c:pt idx="53">
                  <c:v>31.90867226949797</c:v>
                </c:pt>
                <c:pt idx="54">
                  <c:v>31.767351104741003</c:v>
                </c:pt>
                <c:pt idx="55">
                  <c:v>31.620880851865671</c:v>
                </c:pt>
                <c:pt idx="56">
                  <c:v>31.468990081312675</c:v>
                </c:pt>
                <c:pt idx="57">
                  <c:v>31.325977842682089</c:v>
                </c:pt>
                <c:pt idx="58">
                  <c:v>31.178914868393637</c:v>
                </c:pt>
                <c:pt idx="59">
                  <c:v>31.031329169429913</c:v>
                </c:pt>
                <c:pt idx="60">
                  <c:v>30.882303684210985</c:v>
                </c:pt>
                <c:pt idx="61">
                  <c:v>30.856063246875134</c:v>
                </c:pt>
                <c:pt idx="62">
                  <c:v>30.732167452397672</c:v>
                </c:pt>
                <c:pt idx="63">
                  <c:v>30.584922204875259</c:v>
                </c:pt>
                <c:pt idx="64">
                  <c:v>30.456618072673994</c:v>
                </c:pt>
                <c:pt idx="65">
                  <c:v>30.331200409548622</c:v>
                </c:pt>
                <c:pt idx="66">
                  <c:v>30.203618310056449</c:v>
                </c:pt>
                <c:pt idx="67">
                  <c:v>30.076144224662176</c:v>
                </c:pt>
                <c:pt idx="68">
                  <c:v>29.988373662240662</c:v>
                </c:pt>
                <c:pt idx="69">
                  <c:v>29.904207808340235</c:v>
                </c:pt>
                <c:pt idx="70">
                  <c:v>29.821166448990738</c:v>
                </c:pt>
                <c:pt idx="71">
                  <c:v>29.7350799016838</c:v>
                </c:pt>
                <c:pt idx="72">
                  <c:v>29.648562534450686</c:v>
                </c:pt>
                <c:pt idx="73">
                  <c:v>29.573219126695534</c:v>
                </c:pt>
                <c:pt idx="74">
                  <c:v>29.499961790593961</c:v>
                </c:pt>
                <c:pt idx="75">
                  <c:v>29.423510187221577</c:v>
                </c:pt>
                <c:pt idx="76">
                  <c:v>29.346560303068244</c:v>
                </c:pt>
                <c:pt idx="77">
                  <c:v>29.266676339318842</c:v>
                </c:pt>
                <c:pt idx="78">
                  <c:v>29.188801332208921</c:v>
                </c:pt>
                <c:pt idx="79">
                  <c:v>29.108341430476603</c:v>
                </c:pt>
                <c:pt idx="80">
                  <c:v>29.02771162956563</c:v>
                </c:pt>
                <c:pt idx="81">
                  <c:v>28.950352893468917</c:v>
                </c:pt>
                <c:pt idx="82">
                  <c:v>28.896352049750075</c:v>
                </c:pt>
                <c:pt idx="83">
                  <c:v>28.844228633305882</c:v>
                </c:pt>
                <c:pt idx="84">
                  <c:v>28.791787249136661</c:v>
                </c:pt>
                <c:pt idx="85">
                  <c:v>28.713147346590905</c:v>
                </c:pt>
                <c:pt idx="86">
                  <c:v>28.631877966858646</c:v>
                </c:pt>
                <c:pt idx="87">
                  <c:v>28.554476423825186</c:v>
                </c:pt>
                <c:pt idx="88">
                  <c:v>28.472934116173061</c:v>
                </c:pt>
                <c:pt idx="89">
                  <c:v>28.390335609087476</c:v>
                </c:pt>
                <c:pt idx="90">
                  <c:v>28.308167188327285</c:v>
                </c:pt>
                <c:pt idx="91">
                  <c:v>28.224711183250733</c:v>
                </c:pt>
                <c:pt idx="92">
                  <c:v>28.13922243185425</c:v>
                </c:pt>
                <c:pt idx="93">
                  <c:v>28.052961236852983</c:v>
                </c:pt>
                <c:pt idx="94">
                  <c:v>27.978216472793527</c:v>
                </c:pt>
                <c:pt idx="95">
                  <c:v>27.906748962881746</c:v>
                </c:pt>
                <c:pt idx="96">
                  <c:v>27.835300774233161</c:v>
                </c:pt>
                <c:pt idx="97">
                  <c:v>27.764121703166534</c:v>
                </c:pt>
                <c:pt idx="98">
                  <c:v>27.701110569339793</c:v>
                </c:pt>
                <c:pt idx="99">
                  <c:v>27.639230094885416</c:v>
                </c:pt>
                <c:pt idx="100">
                  <c:v>27.573819491006727</c:v>
                </c:pt>
                <c:pt idx="101">
                  <c:v>27.511020027600956</c:v>
                </c:pt>
                <c:pt idx="102">
                  <c:v>27.499888286398722</c:v>
                </c:pt>
                <c:pt idx="103">
                  <c:v>27.489337293615101</c:v>
                </c:pt>
                <c:pt idx="104">
                  <c:v>27.478477263432232</c:v>
                </c:pt>
                <c:pt idx="105">
                  <c:v>27.467587552869702</c:v>
                </c:pt>
                <c:pt idx="106">
                  <c:v>27.502360794007092</c:v>
                </c:pt>
                <c:pt idx="107">
                  <c:v>27.539823954282127</c:v>
                </c:pt>
                <c:pt idx="108">
                  <c:v>27.578114509915611</c:v>
                </c:pt>
                <c:pt idx="109">
                  <c:v>27.613789185210425</c:v>
                </c:pt>
                <c:pt idx="110">
                  <c:v>27.649300692197738</c:v>
                </c:pt>
                <c:pt idx="111">
                  <c:v>27.740085108004497</c:v>
                </c:pt>
                <c:pt idx="112">
                  <c:v>27.831294907076483</c:v>
                </c:pt>
                <c:pt idx="113">
                  <c:v>27.920715162764914</c:v>
                </c:pt>
                <c:pt idx="114">
                  <c:v>28.029976388998126</c:v>
                </c:pt>
                <c:pt idx="115">
                  <c:v>28.140787774500605</c:v>
                </c:pt>
                <c:pt idx="116">
                  <c:v>28.251982532729276</c:v>
                </c:pt>
                <c:pt idx="117">
                  <c:v>28.365839883370828</c:v>
                </c:pt>
                <c:pt idx="118">
                  <c:v>28.480068286630608</c:v>
                </c:pt>
                <c:pt idx="119">
                  <c:v>28.638067579776202</c:v>
                </c:pt>
                <c:pt idx="120">
                  <c:v>28.793821929360256</c:v>
                </c:pt>
                <c:pt idx="121">
                  <c:v>28.957269973885214</c:v>
                </c:pt>
                <c:pt idx="122">
                  <c:v>29.112079956073632</c:v>
                </c:pt>
                <c:pt idx="123">
                  <c:v>29.343881034813784</c:v>
                </c:pt>
                <c:pt idx="124">
                  <c:v>29.568428706262999</c:v>
                </c:pt>
                <c:pt idx="125">
                  <c:v>29.778124367393978</c:v>
                </c:pt>
                <c:pt idx="126">
                  <c:v>30.007781222067038</c:v>
                </c:pt>
                <c:pt idx="127">
                  <c:v>30.240868548787507</c:v>
                </c:pt>
                <c:pt idx="128">
                  <c:v>30.476705933949344</c:v>
                </c:pt>
                <c:pt idx="129">
                  <c:v>30.709974103324438</c:v>
                </c:pt>
                <c:pt idx="130">
                  <c:v>30.941697720623772</c:v>
                </c:pt>
                <c:pt idx="131">
                  <c:v>31.1752741958908</c:v>
                </c:pt>
                <c:pt idx="132">
                  <c:v>31.365266742035661</c:v>
                </c:pt>
                <c:pt idx="133">
                  <c:v>31.55748080867172</c:v>
                </c:pt>
                <c:pt idx="134">
                  <c:v>31.744902354204832</c:v>
                </c:pt>
                <c:pt idx="135">
                  <c:v>31.928036047484312</c:v>
                </c:pt>
                <c:pt idx="136">
                  <c:v>32.06131256948315</c:v>
                </c:pt>
                <c:pt idx="137">
                  <c:v>32.192303843544643</c:v>
                </c:pt>
                <c:pt idx="138">
                  <c:v>32.325285439207377</c:v>
                </c:pt>
                <c:pt idx="139">
                  <c:v>32.454921086948964</c:v>
                </c:pt>
                <c:pt idx="140">
                  <c:v>32.557345761201141</c:v>
                </c:pt>
                <c:pt idx="141">
                  <c:v>32.66111744250852</c:v>
                </c:pt>
                <c:pt idx="142">
                  <c:v>32.763308485941174</c:v>
                </c:pt>
                <c:pt idx="143">
                  <c:v>32.864589425144828</c:v>
                </c:pt>
                <c:pt idx="144">
                  <c:v>32.964434920768106</c:v>
                </c:pt>
                <c:pt idx="145">
                  <c:v>33.015163021742744</c:v>
                </c:pt>
                <c:pt idx="146">
                  <c:v>33.067598288024854</c:v>
                </c:pt>
                <c:pt idx="147">
                  <c:v>33.118873147789657</c:v>
                </c:pt>
                <c:pt idx="148">
                  <c:v>33.169498752290096</c:v>
                </c:pt>
                <c:pt idx="149">
                  <c:v>33.168453137186084</c:v>
                </c:pt>
                <c:pt idx="150">
                  <c:v>33.167404790889606</c:v>
                </c:pt>
                <c:pt idx="151">
                  <c:v>33.167210761584577</c:v>
                </c:pt>
                <c:pt idx="152">
                  <c:v>33.166356431105775</c:v>
                </c:pt>
                <c:pt idx="153">
                  <c:v>33.165319791846493</c:v>
                </c:pt>
                <c:pt idx="154">
                  <c:v>33.140649830985254</c:v>
                </c:pt>
                <c:pt idx="155">
                  <c:v>33.115492882502451</c:v>
                </c:pt>
                <c:pt idx="156">
                  <c:v>33.089267824151506</c:v>
                </c:pt>
                <c:pt idx="157">
                  <c:v>33.064507970433134</c:v>
                </c:pt>
                <c:pt idx="158">
                  <c:v>32.978797088571305</c:v>
                </c:pt>
                <c:pt idx="159">
                  <c:v>32.895171486153366</c:v>
                </c:pt>
                <c:pt idx="160">
                  <c:v>32.809122885512792</c:v>
                </c:pt>
                <c:pt idx="161">
                  <c:v>32.723663416520537</c:v>
                </c:pt>
                <c:pt idx="162">
                  <c:v>32.647561383708656</c:v>
                </c:pt>
                <c:pt idx="163">
                  <c:v>32.5687639975217</c:v>
                </c:pt>
                <c:pt idx="164">
                  <c:v>32.490761542723178</c:v>
                </c:pt>
                <c:pt idx="165">
                  <c:v>32.410800060410416</c:v>
                </c:pt>
                <c:pt idx="166">
                  <c:v>32.384514804630825</c:v>
                </c:pt>
                <c:pt idx="167">
                  <c:v>32.358886124406432</c:v>
                </c:pt>
                <c:pt idx="168">
                  <c:v>32.331781474648892</c:v>
                </c:pt>
                <c:pt idx="169">
                  <c:v>32.304259859223414</c:v>
                </c:pt>
                <c:pt idx="170">
                  <c:v>32.27814836764383</c:v>
                </c:pt>
                <c:pt idx="171">
                  <c:v>32.294777791030128</c:v>
                </c:pt>
                <c:pt idx="172">
                  <c:v>32.311295989097793</c:v>
                </c:pt>
                <c:pt idx="173">
                  <c:v>32.328097903249734</c:v>
                </c:pt>
                <c:pt idx="174">
                  <c:v>32.344501753506492</c:v>
                </c:pt>
                <c:pt idx="175">
                  <c:v>32.389228714270459</c:v>
                </c:pt>
                <c:pt idx="176">
                  <c:v>32.43332145523064</c:v>
                </c:pt>
                <c:pt idx="177">
                  <c:v>32.476547707294891</c:v>
                </c:pt>
                <c:pt idx="178">
                  <c:v>32.518965050942299</c:v>
                </c:pt>
                <c:pt idx="179">
                  <c:v>32.561446929236908</c:v>
                </c:pt>
                <c:pt idx="180">
                  <c:v>32.685613723280618</c:v>
                </c:pt>
                <c:pt idx="181">
                  <c:v>32.803544711591421</c:v>
                </c:pt>
                <c:pt idx="182">
                  <c:v>32.921560993265366</c:v>
                </c:pt>
                <c:pt idx="183">
                  <c:v>33.124781247269283</c:v>
                </c:pt>
                <c:pt idx="184">
                  <c:v>33.326202477298956</c:v>
                </c:pt>
                <c:pt idx="185">
                  <c:v>33.544649746488219</c:v>
                </c:pt>
                <c:pt idx="186">
                  <c:v>33.753356955523529</c:v>
                </c:pt>
                <c:pt idx="187">
                  <c:v>33.947696326158301</c:v>
                </c:pt>
                <c:pt idx="188">
                  <c:v>34.152064906190986</c:v>
                </c:pt>
                <c:pt idx="189">
                  <c:v>34.348642984883512</c:v>
                </c:pt>
                <c:pt idx="190">
                  <c:v>34.552272930620447</c:v>
                </c:pt>
                <c:pt idx="191">
                  <c:v>34.745896472135755</c:v>
                </c:pt>
                <c:pt idx="192">
                  <c:v>34.936898859056903</c:v>
                </c:pt>
                <c:pt idx="193">
                  <c:v>35.124985728081747</c:v>
                </c:pt>
                <c:pt idx="194">
                  <c:v>35.31235810341078</c:v>
                </c:pt>
                <c:pt idx="195">
                  <c:v>35.491845872966053</c:v>
                </c:pt>
                <c:pt idx="196">
                  <c:v>35.678572087047023</c:v>
                </c:pt>
                <c:pt idx="197">
                  <c:v>35.8612678853491</c:v>
                </c:pt>
                <c:pt idx="198">
                  <c:v>35.994577425878319</c:v>
                </c:pt>
                <c:pt idx="199">
                  <c:v>36.130734998527153</c:v>
                </c:pt>
                <c:pt idx="200">
                  <c:v>36.277871558573949</c:v>
                </c:pt>
                <c:pt idx="201">
                  <c:v>36.424458827608468</c:v>
                </c:pt>
                <c:pt idx="202">
                  <c:v>36.569547943575991</c:v>
                </c:pt>
                <c:pt idx="203">
                  <c:v>36.716022684246525</c:v>
                </c:pt>
                <c:pt idx="204">
                  <c:v>36.868733212916716</c:v>
                </c:pt>
                <c:pt idx="205">
                  <c:v>37.001281914092388</c:v>
                </c:pt>
                <c:pt idx="206">
                  <c:v>37.132044829963363</c:v>
                </c:pt>
                <c:pt idx="207">
                  <c:v>37.260114673007834</c:v>
                </c:pt>
                <c:pt idx="208">
                  <c:v>37.382599310048391</c:v>
                </c:pt>
                <c:pt idx="209">
                  <c:v>37.527167240208868</c:v>
                </c:pt>
                <c:pt idx="210">
                  <c:v>37.6665705154577</c:v>
                </c:pt>
                <c:pt idx="211">
                  <c:v>37.801243132836483</c:v>
                </c:pt>
                <c:pt idx="212">
                  <c:v>38.322650548749152</c:v>
                </c:pt>
                <c:pt idx="213">
                  <c:v>38.498477290130339</c:v>
                </c:pt>
                <c:pt idx="214">
                  <c:v>38.666700428858448</c:v>
                </c:pt>
                <c:pt idx="215">
                  <c:v>39.128248663690492</c:v>
                </c:pt>
                <c:pt idx="216">
                  <c:v>39.280616528157587</c:v>
                </c:pt>
                <c:pt idx="217">
                  <c:v>40.291939058277201</c:v>
                </c:pt>
                <c:pt idx="218">
                  <c:v>40.44842014852982</c:v>
                </c:pt>
                <c:pt idx="219">
                  <c:v>40.59361120699073</c:v>
                </c:pt>
                <c:pt idx="220">
                  <c:v>40.741131405263317</c:v>
                </c:pt>
                <c:pt idx="221">
                  <c:v>41.027994076199761</c:v>
                </c:pt>
                <c:pt idx="222">
                  <c:v>41.324350235854077</c:v>
                </c:pt>
                <c:pt idx="223">
                  <c:v>41.707944754029995</c:v>
                </c:pt>
                <c:pt idx="224">
                  <c:v>41.993716252740434</c:v>
                </c:pt>
                <c:pt idx="225">
                  <c:v>42.267741697999021</c:v>
                </c:pt>
                <c:pt idx="226">
                  <c:v>43.116472084722922</c:v>
                </c:pt>
                <c:pt idx="227">
                  <c:v>43.252132614648495</c:v>
                </c:pt>
                <c:pt idx="228">
                  <c:v>43.385130629511671</c:v>
                </c:pt>
                <c:pt idx="229">
                  <c:v>43.456555329671168</c:v>
                </c:pt>
                <c:pt idx="230">
                  <c:v>43.527148553406597</c:v>
                </c:pt>
                <c:pt idx="231">
                  <c:v>43.411163843306511</c:v>
                </c:pt>
                <c:pt idx="232">
                  <c:v>43.381233742062705</c:v>
                </c:pt>
                <c:pt idx="233">
                  <c:v>43.351858196586008</c:v>
                </c:pt>
                <c:pt idx="234">
                  <c:v>43.322177099124282</c:v>
                </c:pt>
                <c:pt idx="235">
                  <c:v>43.302513197758948</c:v>
                </c:pt>
                <c:pt idx="236">
                  <c:v>43.295823358133987</c:v>
                </c:pt>
                <c:pt idx="237">
                  <c:v>43.207474374719112</c:v>
                </c:pt>
                <c:pt idx="238">
                  <c:v>43.147560562636698</c:v>
                </c:pt>
                <c:pt idx="239">
                  <c:v>43.076858085153098</c:v>
                </c:pt>
                <c:pt idx="240">
                  <c:v>43.004695991541361</c:v>
                </c:pt>
                <c:pt idx="241">
                  <c:v>43.048261358837131</c:v>
                </c:pt>
                <c:pt idx="242">
                  <c:v>43.093649821322643</c:v>
                </c:pt>
                <c:pt idx="243">
                  <c:v>43.250858158672813</c:v>
                </c:pt>
                <c:pt idx="244">
                  <c:v>43.486888337701842</c:v>
                </c:pt>
                <c:pt idx="245">
                  <c:v>43.619307884326695</c:v>
                </c:pt>
                <c:pt idx="246">
                  <c:v>43.752551076150517</c:v>
                </c:pt>
                <c:pt idx="247">
                  <c:v>43.785728011265036</c:v>
                </c:pt>
                <c:pt idx="248">
                  <c:v>43.818827068000772</c:v>
                </c:pt>
                <c:pt idx="249">
                  <c:v>43.755895796157155</c:v>
                </c:pt>
                <c:pt idx="250">
                  <c:v>43.659280817958212</c:v>
                </c:pt>
                <c:pt idx="251">
                  <c:v>43.547720000000062</c:v>
                </c:pt>
                <c:pt idx="252">
                  <c:v>43.544214168472351</c:v>
                </c:pt>
                <c:pt idx="253">
                  <c:v>43.440527798707407</c:v>
                </c:pt>
                <c:pt idx="254">
                  <c:v>43.41131613776836</c:v>
                </c:pt>
                <c:pt idx="255">
                  <c:v>43.351352225502033</c:v>
                </c:pt>
                <c:pt idx="256">
                  <c:v>43.344549117414822</c:v>
                </c:pt>
                <c:pt idx="257">
                  <c:v>43.33421833942559</c:v>
                </c:pt>
                <c:pt idx="258">
                  <c:v>43.298907030652273</c:v>
                </c:pt>
                <c:pt idx="259">
                  <c:v>43.263628349431521</c:v>
                </c:pt>
                <c:pt idx="260">
                  <c:v>43.242305478577165</c:v>
                </c:pt>
                <c:pt idx="261">
                  <c:v>43.220466666594966</c:v>
                </c:pt>
                <c:pt idx="262">
                  <c:v>43.256743092610101</c:v>
                </c:pt>
                <c:pt idx="263">
                  <c:v>43.310671865919367</c:v>
                </c:pt>
                <c:pt idx="264">
                  <c:v>43.461433194332386</c:v>
                </c:pt>
                <c:pt idx="265">
                  <c:v>43.610891580566253</c:v>
                </c:pt>
                <c:pt idx="266">
                  <c:v>43.945236762671612</c:v>
                </c:pt>
                <c:pt idx="267">
                  <c:v>44.054195546191892</c:v>
                </c:pt>
                <c:pt idx="268">
                  <c:v>44.433804392092583</c:v>
                </c:pt>
                <c:pt idx="269">
                  <c:v>44.795433434092473</c:v>
                </c:pt>
                <c:pt idx="270">
                  <c:v>45.381441600313721</c:v>
                </c:pt>
                <c:pt idx="271">
                  <c:v>45.964321260512442</c:v>
                </c:pt>
                <c:pt idx="272">
                  <c:v>46.654805839182188</c:v>
                </c:pt>
                <c:pt idx="273">
                  <c:v>47.333970639947239</c:v>
                </c:pt>
                <c:pt idx="274">
                  <c:v>48.083679371747067</c:v>
                </c:pt>
                <c:pt idx="275">
                  <c:v>49.264087261037176</c:v>
                </c:pt>
                <c:pt idx="276">
                  <c:v>50.042061547296392</c:v>
                </c:pt>
                <c:pt idx="277">
                  <c:v>50.793607445579696</c:v>
                </c:pt>
                <c:pt idx="278">
                  <c:v>51.70293299744462</c:v>
                </c:pt>
                <c:pt idx="279">
                  <c:v>52.60052152364662</c:v>
                </c:pt>
                <c:pt idx="280">
                  <c:v>53.687785011029945</c:v>
                </c:pt>
                <c:pt idx="281">
                  <c:v>55.259119222096615</c:v>
                </c:pt>
                <c:pt idx="282">
                  <c:v>56.318725070347469</c:v>
                </c:pt>
                <c:pt idx="283">
                  <c:v>57.391863392114459</c:v>
                </c:pt>
                <c:pt idx="284">
                  <c:v>58.510176152519506</c:v>
                </c:pt>
                <c:pt idx="285">
                  <c:v>59.61530721263734</c:v>
                </c:pt>
                <c:pt idx="286">
                  <c:v>60.732366994375766</c:v>
                </c:pt>
                <c:pt idx="287">
                  <c:v>61.912981775772771</c:v>
                </c:pt>
                <c:pt idx="288">
                  <c:v>63.157559356795687</c:v>
                </c:pt>
                <c:pt idx="289">
                  <c:v>64.423954055249169</c:v>
                </c:pt>
                <c:pt idx="290">
                  <c:v>65.803185327048126</c:v>
                </c:pt>
                <c:pt idx="291">
                  <c:v>67.190227922801967</c:v>
                </c:pt>
                <c:pt idx="292">
                  <c:v>68.777770053234505</c:v>
                </c:pt>
                <c:pt idx="293">
                  <c:v>70.294223156182838</c:v>
                </c:pt>
                <c:pt idx="294">
                  <c:v>72.661685075455779</c:v>
                </c:pt>
                <c:pt idx="295">
                  <c:v>74.222962474434794</c:v>
                </c:pt>
                <c:pt idx="296">
                  <c:v>75.753354090168713</c:v>
                </c:pt>
                <c:pt idx="297">
                  <c:v>77.298937603023802</c:v>
                </c:pt>
                <c:pt idx="298">
                  <c:v>78.935355513668256</c:v>
                </c:pt>
                <c:pt idx="299">
                  <c:v>80.621828244168796</c:v>
                </c:pt>
                <c:pt idx="300">
                  <c:v>82.378963892879554</c:v>
                </c:pt>
                <c:pt idx="301">
                  <c:v>84.106906295713841</c:v>
                </c:pt>
                <c:pt idx="302">
                  <c:v>87.073452387670415</c:v>
                </c:pt>
                <c:pt idx="303">
                  <c:v>89.056508808976332</c:v>
                </c:pt>
                <c:pt idx="304">
                  <c:v>90.194180482740961</c:v>
                </c:pt>
                <c:pt idx="305">
                  <c:v>92.408776128091816</c:v>
                </c:pt>
                <c:pt idx="306">
                  <c:v>94.603702697600198</c:v>
                </c:pt>
                <c:pt idx="307">
                  <c:v>96.84513660657781</c:v>
                </c:pt>
                <c:pt idx="308">
                  <c:v>99.979171460172495</c:v>
                </c:pt>
                <c:pt idx="309">
                  <c:v>102.11105588966333</c:v>
                </c:pt>
                <c:pt idx="310">
                  <c:v>103.99294623868478</c:v>
                </c:pt>
                <c:pt idx="311">
                  <c:v>105.91963622845324</c:v>
                </c:pt>
                <c:pt idx="312">
                  <c:v>107.8215779422661</c:v>
                </c:pt>
                <c:pt idx="313">
                  <c:v>109.73675848581397</c:v>
                </c:pt>
                <c:pt idx="314">
                  <c:v>112.66271358727764</c:v>
                </c:pt>
                <c:pt idx="315">
                  <c:v>114.57393206229914</c:v>
                </c:pt>
                <c:pt idx="316">
                  <c:v>116.60255696694489</c:v>
                </c:pt>
                <c:pt idx="317">
                  <c:v>118.59523114529227</c:v>
                </c:pt>
                <c:pt idx="318">
                  <c:v>120.56722854307134</c:v>
                </c:pt>
                <c:pt idx="319">
                  <c:v>122.60432127784109</c:v>
                </c:pt>
                <c:pt idx="320">
                  <c:v>125.54176445442697</c:v>
                </c:pt>
                <c:pt idx="321">
                  <c:v>127.48882099611284</c:v>
                </c:pt>
                <c:pt idx="322">
                  <c:v>129.48622504704488</c:v>
                </c:pt>
                <c:pt idx="323">
                  <c:v>130.50109436765015</c:v>
                </c:pt>
                <c:pt idx="324">
                  <c:v>132.67043171447244</c:v>
                </c:pt>
                <c:pt idx="325">
                  <c:v>134.75035350734541</c:v>
                </c:pt>
                <c:pt idx="326">
                  <c:v>137.93977222044822</c:v>
                </c:pt>
                <c:pt idx="327">
                  <c:v>140.11979433718167</c:v>
                </c:pt>
                <c:pt idx="328">
                  <c:v>142.28230028681912</c:v>
                </c:pt>
                <c:pt idx="329">
                  <c:v>144.39402387716572</c:v>
                </c:pt>
                <c:pt idx="330">
                  <c:v>146.59446188351544</c:v>
                </c:pt>
                <c:pt idx="331">
                  <c:v>148.7983923468546</c:v>
                </c:pt>
                <c:pt idx="332">
                  <c:v>152.09736707006152</c:v>
                </c:pt>
                <c:pt idx="333">
                  <c:v>154.33967372093252</c:v>
                </c:pt>
                <c:pt idx="334">
                  <c:v>156.52803746834877</c:v>
                </c:pt>
                <c:pt idx="335">
                  <c:v>158.70366009938724</c:v>
                </c:pt>
                <c:pt idx="336">
                  <c:v>160.86712781249994</c:v>
                </c:pt>
                <c:pt idx="337">
                  <c:v>163.00595482411111</c:v>
                </c:pt>
                <c:pt idx="338">
                  <c:v>165.24290239459043</c:v>
                </c:pt>
                <c:pt idx="339">
                  <c:v>167.49254436677614</c:v>
                </c:pt>
                <c:pt idx="340">
                  <c:v>169.73616353494984</c:v>
                </c:pt>
                <c:pt idx="341">
                  <c:v>171.99996084074982</c:v>
                </c:pt>
                <c:pt idx="342">
                  <c:v>174.41540923361626</c:v>
                </c:pt>
                <c:pt idx="343">
                  <c:v>176.78834442361159</c:v>
                </c:pt>
                <c:pt idx="344">
                  <c:v>178.99297923946204</c:v>
                </c:pt>
                <c:pt idx="345">
                  <c:v>182.23979627864355</c:v>
                </c:pt>
                <c:pt idx="346">
                  <c:v>184.33382141291958</c:v>
                </c:pt>
                <c:pt idx="347">
                  <c:v>186.37953113449908</c:v>
                </c:pt>
                <c:pt idx="348">
                  <c:v>188.47027090518571</c:v>
                </c:pt>
                <c:pt idx="349">
                  <c:v>190.55459536070799</c:v>
                </c:pt>
                <c:pt idx="350">
                  <c:v>192.53046953792204</c:v>
                </c:pt>
                <c:pt idx="351">
                  <c:v>195.52515174938253</c:v>
                </c:pt>
                <c:pt idx="352">
                  <c:v>196.48424916377081</c:v>
                </c:pt>
                <c:pt idx="353">
                  <c:v>199.45137677782276</c:v>
                </c:pt>
                <c:pt idx="354">
                  <c:v>200.50676658242398</c:v>
                </c:pt>
                <c:pt idx="355">
                  <c:v>202.63330255590316</c:v>
                </c:pt>
                <c:pt idx="356">
                  <c:v>205.75595817739196</c:v>
                </c:pt>
                <c:pt idx="357">
                  <c:v>206.78345080036132</c:v>
                </c:pt>
                <c:pt idx="358">
                  <c:v>208.89275908025959</c:v>
                </c:pt>
                <c:pt idx="359">
                  <c:v>211.8751444171497</c:v>
                </c:pt>
                <c:pt idx="360">
                  <c:v>213.95579097318549</c:v>
                </c:pt>
                <c:pt idx="361">
                  <c:v>215.97029606857561</c:v>
                </c:pt>
                <c:pt idx="362">
                  <c:v>218.04046334618573</c:v>
                </c:pt>
                <c:pt idx="363">
                  <c:v>220.05804649561995</c:v>
                </c:pt>
                <c:pt idx="364">
                  <c:v>222.02467971034315</c:v>
                </c:pt>
                <c:pt idx="365">
                  <c:v>225.23833703373219</c:v>
                </c:pt>
                <c:pt idx="366">
                  <c:v>227.3872425563919</c:v>
                </c:pt>
                <c:pt idx="367">
                  <c:v>229.52926151330348</c:v>
                </c:pt>
                <c:pt idx="368">
                  <c:v>231.63513278571907</c:v>
                </c:pt>
                <c:pt idx="369">
                  <c:v>233.79905233643049</c:v>
                </c:pt>
                <c:pt idx="370">
                  <c:v>235.91384097238225</c:v>
                </c:pt>
                <c:pt idx="371">
                  <c:v>238.08877967113955</c:v>
                </c:pt>
                <c:pt idx="372">
                  <c:v>241.27419713517631</c:v>
                </c:pt>
                <c:pt idx="373">
                  <c:v>242.20403288112809</c:v>
                </c:pt>
                <c:pt idx="374">
                  <c:v>244.38340400786888</c:v>
                </c:pt>
                <c:pt idx="375">
                  <c:v>246.45177127596887</c:v>
                </c:pt>
                <c:pt idx="376">
                  <c:v>248.49214776239947</c:v>
                </c:pt>
                <c:pt idx="377">
                  <c:v>248.55830418329788</c:v>
                </c:pt>
                <c:pt idx="378">
                  <c:v>250.6009642896604</c:v>
                </c:pt>
                <c:pt idx="379">
                  <c:v>253.78750591742454</c:v>
                </c:pt>
                <c:pt idx="380">
                  <c:v>255.89974100891177</c:v>
                </c:pt>
                <c:pt idx="381">
                  <c:v>257.9286096056656</c:v>
                </c:pt>
                <c:pt idx="382">
                  <c:v>259.99195226767824</c:v>
                </c:pt>
                <c:pt idx="383">
                  <c:v>261.99599693811984</c:v>
                </c:pt>
                <c:pt idx="384">
                  <c:v>264.03296483467187</c:v>
                </c:pt>
                <c:pt idx="385">
                  <c:v>267.20844486033809</c:v>
                </c:pt>
                <c:pt idx="386">
                  <c:v>269.3911966039625</c:v>
                </c:pt>
                <c:pt idx="387">
                  <c:v>271.50972749314207</c:v>
                </c:pt>
                <c:pt idx="388">
                  <c:v>273.78702052016854</c:v>
                </c:pt>
                <c:pt idx="389">
                  <c:v>274.89368162332818</c:v>
                </c:pt>
                <c:pt idx="390">
                  <c:v>277.05684543211851</c:v>
                </c:pt>
                <c:pt idx="391">
                  <c:v>279.17637619079323</c:v>
                </c:pt>
                <c:pt idx="392">
                  <c:v>281.99862727978308</c:v>
                </c:pt>
                <c:pt idx="393">
                  <c:v>283.51854488936783</c:v>
                </c:pt>
                <c:pt idx="394">
                  <c:v>285.02654874529168</c:v>
                </c:pt>
                <c:pt idx="395">
                  <c:v>286.48669393267812</c:v>
                </c:pt>
                <c:pt idx="396">
                  <c:v>287.80109368063387</c:v>
                </c:pt>
                <c:pt idx="397">
                  <c:v>289.11798331376463</c:v>
                </c:pt>
                <c:pt idx="398">
                  <c:v>291.06225529881397</c:v>
                </c:pt>
                <c:pt idx="399">
                  <c:v>292.28881822654591</c:v>
                </c:pt>
                <c:pt idx="400">
                  <c:v>293.53027867973395</c:v>
                </c:pt>
                <c:pt idx="401">
                  <c:v>294.79861945056587</c:v>
                </c:pt>
                <c:pt idx="402">
                  <c:v>296.43154021481234</c:v>
                </c:pt>
                <c:pt idx="403">
                  <c:v>297.44947884480558</c:v>
                </c:pt>
                <c:pt idx="404">
                  <c:v>298.47427768829908</c:v>
                </c:pt>
                <c:pt idx="405">
                  <c:v>299.44518193104949</c:v>
                </c:pt>
                <c:pt idx="406">
                  <c:v>300.4139295659395</c:v>
                </c:pt>
                <c:pt idx="407">
                  <c:v>301.37862426533565</c:v>
                </c:pt>
                <c:pt idx="408">
                  <c:v>302.30461828433522</c:v>
                </c:pt>
                <c:pt idx="409">
                  <c:v>302.30763180301199</c:v>
                </c:pt>
                <c:pt idx="410">
                  <c:v>303.21549649365198</c:v>
                </c:pt>
                <c:pt idx="411">
                  <c:v>303.95189250701338</c:v>
                </c:pt>
                <c:pt idx="412">
                  <c:v>304.47226155553182</c:v>
                </c:pt>
                <c:pt idx="413">
                  <c:v>305.00486888933591</c:v>
                </c:pt>
                <c:pt idx="414">
                  <c:v>305.52023874887971</c:v>
                </c:pt>
                <c:pt idx="415">
                  <c:v>306.01926313015764</c:v>
                </c:pt>
                <c:pt idx="416">
                  <c:v>306.52885306923952</c:v>
                </c:pt>
                <c:pt idx="417">
                  <c:v>307.1794110247564</c:v>
                </c:pt>
                <c:pt idx="418">
                  <c:v>307.55600975366013</c:v>
                </c:pt>
                <c:pt idx="419">
                  <c:v>307.92345283577629</c:v>
                </c:pt>
                <c:pt idx="420">
                  <c:v>308.30146560614884</c:v>
                </c:pt>
                <c:pt idx="421">
                  <c:v>308.60653710500537</c:v>
                </c:pt>
                <c:pt idx="422">
                  <c:v>308.92675421121731</c:v>
                </c:pt>
                <c:pt idx="423">
                  <c:v>309.17829488791568</c:v>
                </c:pt>
                <c:pt idx="424">
                  <c:v>309.53340619290162</c:v>
                </c:pt>
                <c:pt idx="425">
                  <c:v>309.64647041360342</c:v>
                </c:pt>
                <c:pt idx="426">
                  <c:v>309.87413604087459</c:v>
                </c:pt>
                <c:pt idx="427">
                  <c:v>310.0486436624185</c:v>
                </c:pt>
                <c:pt idx="428">
                  <c:v>310.22403970008429</c:v>
                </c:pt>
                <c:pt idx="429">
                  <c:v>310.31231921535027</c:v>
                </c:pt>
                <c:pt idx="430">
                  <c:v>310.40011195929537</c:v>
                </c:pt>
                <c:pt idx="431">
                  <c:v>310.37207015776761</c:v>
                </c:pt>
                <c:pt idx="432">
                  <c:v>310.34487560390141</c:v>
                </c:pt>
                <c:pt idx="433">
                  <c:v>310.31821952860605</c:v>
                </c:pt>
                <c:pt idx="434">
                  <c:v>310.29202899125153</c:v>
                </c:pt>
                <c:pt idx="435">
                  <c:v>310.14975000479194</c:v>
                </c:pt>
                <c:pt idx="436">
                  <c:v>309.71164313625553</c:v>
                </c:pt>
                <c:pt idx="437">
                  <c:v>309.67700730043515</c:v>
                </c:pt>
                <c:pt idx="438">
                  <c:v>309.64158521949946</c:v>
                </c:pt>
                <c:pt idx="439">
                  <c:v>309.60639800265403</c:v>
                </c:pt>
                <c:pt idx="440">
                  <c:v>309.57194611005713</c:v>
                </c:pt>
                <c:pt idx="441">
                  <c:v>309.53541947250289</c:v>
                </c:pt>
                <c:pt idx="442">
                  <c:v>309.49949603412523</c:v>
                </c:pt>
                <c:pt idx="443">
                  <c:v>309.46519645548932</c:v>
                </c:pt>
                <c:pt idx="444">
                  <c:v>309.46519645548932</c:v>
                </c:pt>
                <c:pt idx="445">
                  <c:v>309.46519645548932</c:v>
                </c:pt>
                <c:pt idx="446">
                  <c:v>309.46519645548932</c:v>
                </c:pt>
                <c:pt idx="447">
                  <c:v>309.46519645548932</c:v>
                </c:pt>
                <c:pt idx="448">
                  <c:v>309.46519645548932</c:v>
                </c:pt>
                <c:pt idx="449">
                  <c:v>309.46519645548932</c:v>
                </c:pt>
                <c:pt idx="450">
                  <c:v>309.46519645548932</c:v>
                </c:pt>
                <c:pt idx="451">
                  <c:v>309.46519645548932</c:v>
                </c:pt>
                <c:pt idx="452">
                  <c:v>309.46519645548932</c:v>
                </c:pt>
                <c:pt idx="453">
                  <c:v>309.46519645548932</c:v>
                </c:pt>
                <c:pt idx="454">
                  <c:v>309.46519645548932</c:v>
                </c:pt>
                <c:pt idx="455">
                  <c:v>309.46519645548932</c:v>
                </c:pt>
                <c:pt idx="456">
                  <c:v>309.46519645548932</c:v>
                </c:pt>
                <c:pt idx="457">
                  <c:v>309.46519645548932</c:v>
                </c:pt>
                <c:pt idx="458">
                  <c:v>309.46519645548932</c:v>
                </c:pt>
                <c:pt idx="459">
                  <c:v>309.46519645548932</c:v>
                </c:pt>
                <c:pt idx="460">
                  <c:v>309.46519645548932</c:v>
                </c:pt>
                <c:pt idx="461">
                  <c:v>309.46519645548932</c:v>
                </c:pt>
                <c:pt idx="462">
                  <c:v>309.46519645548932</c:v>
                </c:pt>
                <c:pt idx="463">
                  <c:v>309.46519645548932</c:v>
                </c:pt>
                <c:pt idx="464">
                  <c:v>309.46519645548932</c:v>
                </c:pt>
                <c:pt idx="465">
                  <c:v>309.46519645548932</c:v>
                </c:pt>
                <c:pt idx="466">
                  <c:v>309.46519645548932</c:v>
                </c:pt>
                <c:pt idx="467">
                  <c:v>309.46519645548932</c:v>
                </c:pt>
                <c:pt idx="468">
                  <c:v>309.46519645548932</c:v>
                </c:pt>
                <c:pt idx="469">
                  <c:v>309.46519645548932</c:v>
                </c:pt>
                <c:pt idx="470">
                  <c:v>309.46519645548932</c:v>
                </c:pt>
                <c:pt idx="471">
                  <c:v>309.46519645548932</c:v>
                </c:pt>
                <c:pt idx="472">
                  <c:v>309.46519645548932</c:v>
                </c:pt>
                <c:pt idx="473">
                  <c:v>309.46519645548932</c:v>
                </c:pt>
                <c:pt idx="474">
                  <c:v>309.46519645548932</c:v>
                </c:pt>
                <c:pt idx="475">
                  <c:v>309.46519645548932</c:v>
                </c:pt>
                <c:pt idx="476">
                  <c:v>309.46519645548932</c:v>
                </c:pt>
                <c:pt idx="477">
                  <c:v>309.46519645548932</c:v>
                </c:pt>
                <c:pt idx="478">
                  <c:v>309.46519645548932</c:v>
                </c:pt>
                <c:pt idx="479">
                  <c:v>309.46519645548932</c:v>
                </c:pt>
                <c:pt idx="480">
                  <c:v>309.46519645548932</c:v>
                </c:pt>
                <c:pt idx="481">
                  <c:v>309.46519645548932</c:v>
                </c:pt>
                <c:pt idx="482">
                  <c:v>309.46519645548932</c:v>
                </c:pt>
                <c:pt idx="483">
                  <c:v>309.46519645548932</c:v>
                </c:pt>
                <c:pt idx="484">
                  <c:v>309.46519645548932</c:v>
                </c:pt>
                <c:pt idx="485">
                  <c:v>309.46519645548932</c:v>
                </c:pt>
                <c:pt idx="486">
                  <c:v>309.46519645548932</c:v>
                </c:pt>
                <c:pt idx="487">
                  <c:v>309.46519645548932</c:v>
                </c:pt>
                <c:pt idx="488">
                  <c:v>309.46519645548932</c:v>
                </c:pt>
                <c:pt idx="489">
                  <c:v>309.46519645548932</c:v>
                </c:pt>
                <c:pt idx="490">
                  <c:v>309.46519645548932</c:v>
                </c:pt>
                <c:pt idx="491">
                  <c:v>309.46519645548932</c:v>
                </c:pt>
                <c:pt idx="492">
                  <c:v>309.46519645548932</c:v>
                </c:pt>
                <c:pt idx="493">
                  <c:v>309.46519645548932</c:v>
                </c:pt>
                <c:pt idx="494">
                  <c:v>309.46519645548932</c:v>
                </c:pt>
                <c:pt idx="495">
                  <c:v>309.46519645548932</c:v>
                </c:pt>
                <c:pt idx="496">
                  <c:v>309.46519645548932</c:v>
                </c:pt>
                <c:pt idx="497">
                  <c:v>309.46519645548932</c:v>
                </c:pt>
                <c:pt idx="498">
                  <c:v>309.46519645548932</c:v>
                </c:pt>
                <c:pt idx="499">
                  <c:v>309.46519645548932</c:v>
                </c:pt>
                <c:pt idx="500">
                  <c:v>309.46519645548932</c:v>
                </c:pt>
                <c:pt idx="501">
                  <c:v>309.46519645548932</c:v>
                </c:pt>
                <c:pt idx="502">
                  <c:v>309.46519645548932</c:v>
                </c:pt>
                <c:pt idx="503">
                  <c:v>309.46519645548932</c:v>
                </c:pt>
                <c:pt idx="504">
                  <c:v>309.46519645548932</c:v>
                </c:pt>
                <c:pt idx="505">
                  <c:v>309.46519645548932</c:v>
                </c:pt>
                <c:pt idx="506">
                  <c:v>309.46519645548932</c:v>
                </c:pt>
                <c:pt idx="507">
                  <c:v>309.46519645548932</c:v>
                </c:pt>
                <c:pt idx="508">
                  <c:v>309.46519645548932</c:v>
                </c:pt>
                <c:pt idx="509">
                  <c:v>309.46519645548932</c:v>
                </c:pt>
                <c:pt idx="510">
                  <c:v>309.46519645548932</c:v>
                </c:pt>
                <c:pt idx="511">
                  <c:v>309.46519645548932</c:v>
                </c:pt>
                <c:pt idx="512">
                  <c:v>309.46519645548932</c:v>
                </c:pt>
                <c:pt idx="513">
                  <c:v>309.46519645548932</c:v>
                </c:pt>
                <c:pt idx="514">
                  <c:v>309.46519645548932</c:v>
                </c:pt>
                <c:pt idx="515">
                  <c:v>309.46519645548932</c:v>
                </c:pt>
                <c:pt idx="516">
                  <c:v>309.46519645548932</c:v>
                </c:pt>
                <c:pt idx="517">
                  <c:v>309.46519645548932</c:v>
                </c:pt>
                <c:pt idx="518">
                  <c:v>309.46519645548932</c:v>
                </c:pt>
                <c:pt idx="519">
                  <c:v>309.46519645548932</c:v>
                </c:pt>
                <c:pt idx="520">
                  <c:v>309.46519645548932</c:v>
                </c:pt>
                <c:pt idx="521">
                  <c:v>309.46519645548932</c:v>
                </c:pt>
                <c:pt idx="522">
                  <c:v>309.46519645548932</c:v>
                </c:pt>
                <c:pt idx="523">
                  <c:v>309.46519645548932</c:v>
                </c:pt>
                <c:pt idx="524">
                  <c:v>309.46519645548932</c:v>
                </c:pt>
                <c:pt idx="525">
                  <c:v>309.46519645548932</c:v>
                </c:pt>
                <c:pt idx="526">
                  <c:v>309.46519645548932</c:v>
                </c:pt>
                <c:pt idx="527">
                  <c:v>309.46519645548932</c:v>
                </c:pt>
                <c:pt idx="528">
                  <c:v>309.46519645548932</c:v>
                </c:pt>
                <c:pt idx="529">
                  <c:v>309.46519645548932</c:v>
                </c:pt>
                <c:pt idx="530">
                  <c:v>309.46519645548932</c:v>
                </c:pt>
                <c:pt idx="531">
                  <c:v>309.46519645548932</c:v>
                </c:pt>
                <c:pt idx="532">
                  <c:v>309.46519645548932</c:v>
                </c:pt>
                <c:pt idx="533">
                  <c:v>309.46519645548932</c:v>
                </c:pt>
                <c:pt idx="534">
                  <c:v>309.46519645548932</c:v>
                </c:pt>
                <c:pt idx="535">
                  <c:v>309.46519645548932</c:v>
                </c:pt>
                <c:pt idx="536">
                  <c:v>309.46519645548932</c:v>
                </c:pt>
                <c:pt idx="537">
                  <c:v>309.46519645548932</c:v>
                </c:pt>
                <c:pt idx="538">
                  <c:v>309.46519645548932</c:v>
                </c:pt>
                <c:pt idx="539">
                  <c:v>309.46519645548932</c:v>
                </c:pt>
                <c:pt idx="540">
                  <c:v>309.46519645548932</c:v>
                </c:pt>
                <c:pt idx="541">
                  <c:v>309.46519645548932</c:v>
                </c:pt>
                <c:pt idx="542">
                  <c:v>309.46519645548932</c:v>
                </c:pt>
                <c:pt idx="543">
                  <c:v>309.46519645548932</c:v>
                </c:pt>
                <c:pt idx="544">
                  <c:v>309.46519645548932</c:v>
                </c:pt>
                <c:pt idx="545">
                  <c:v>309.46519645548932</c:v>
                </c:pt>
                <c:pt idx="546">
                  <c:v>309.46519645548932</c:v>
                </c:pt>
                <c:pt idx="547">
                  <c:v>309.46519645548932</c:v>
                </c:pt>
                <c:pt idx="548">
                  <c:v>309.46519645548932</c:v>
                </c:pt>
                <c:pt idx="549">
                  <c:v>309.46519645548932</c:v>
                </c:pt>
                <c:pt idx="550">
                  <c:v>309.46519645548932</c:v>
                </c:pt>
                <c:pt idx="551">
                  <c:v>309.46519645548932</c:v>
                </c:pt>
                <c:pt idx="552">
                  <c:v>309.46519645548932</c:v>
                </c:pt>
                <c:pt idx="553">
                  <c:v>309.46519645548932</c:v>
                </c:pt>
                <c:pt idx="554">
                  <c:v>309.46519645548932</c:v>
                </c:pt>
                <c:pt idx="555">
                  <c:v>309.46519645548932</c:v>
                </c:pt>
                <c:pt idx="556">
                  <c:v>309.46519645548932</c:v>
                </c:pt>
                <c:pt idx="557">
                  <c:v>309.46519645548932</c:v>
                </c:pt>
                <c:pt idx="558">
                  <c:v>309.46519645548932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92-4ABA-A25D-0A3B993FDED1}"/>
            </c:ext>
          </c:extLst>
        </c:ser>
        <c:ser>
          <c:idx val="5"/>
          <c:order val="1"/>
          <c:tx>
            <c:strRef>
              <c:f>'Maju 0.1'!$L$6</c:f>
              <c:strCache>
                <c:ptCount val="1"/>
                <c:pt idx="0">
                  <c:v>'Y_movAvg'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'Maju 0.1'!$D$7:$D$565</c:f>
              <c:numCache>
                <c:formatCode>0.000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5.2989000000707165E-3</c:v>
                </c:pt>
                <c:pt idx="3">
                  <c:v>9.2048999999860825E-3</c:v>
                </c:pt>
                <c:pt idx="4">
                  <c:v>2.7168100000380946E-2</c:v>
                </c:pt>
                <c:pt idx="5">
                  <c:v>4.3313000000125612E-2</c:v>
                </c:pt>
                <c:pt idx="6">
                  <c:v>5.8556899999985035E-2</c:v>
                </c:pt>
                <c:pt idx="7">
                  <c:v>7.4511200000415556E-2</c:v>
                </c:pt>
                <c:pt idx="8">
                  <c:v>8.9335699999992357E-2</c:v>
                </c:pt>
                <c:pt idx="9">
                  <c:v>0.10529730000007476</c:v>
                </c:pt>
                <c:pt idx="10">
                  <c:v>0.12134990000004109</c:v>
                </c:pt>
                <c:pt idx="11">
                  <c:v>0.13719690000016271</c:v>
                </c:pt>
                <c:pt idx="12">
                  <c:v>0.15306950000012876</c:v>
                </c:pt>
                <c:pt idx="13">
                  <c:v>0.16923990000032063</c:v>
                </c:pt>
                <c:pt idx="14">
                  <c:v>0.18482170000015685</c:v>
                </c:pt>
                <c:pt idx="15">
                  <c:v>0.20079230000010284</c:v>
                </c:pt>
                <c:pt idx="16">
                  <c:v>0.21585990000039601</c:v>
                </c:pt>
                <c:pt idx="17">
                  <c:v>0.23115530000040962</c:v>
                </c:pt>
                <c:pt idx="18">
                  <c:v>0.24731440000005023</c:v>
                </c:pt>
                <c:pt idx="19">
                  <c:v>0.26257580000037706</c:v>
                </c:pt>
                <c:pt idx="20">
                  <c:v>0.2780137000004288</c:v>
                </c:pt>
                <c:pt idx="21">
                  <c:v>0.2941795000001548</c:v>
                </c:pt>
                <c:pt idx="22">
                  <c:v>0.30981510000037815</c:v>
                </c:pt>
                <c:pt idx="23">
                  <c:v>0.32596110000031331</c:v>
                </c:pt>
                <c:pt idx="24">
                  <c:v>0.34174560000019483</c:v>
                </c:pt>
                <c:pt idx="25">
                  <c:v>0.35752370000000155</c:v>
                </c:pt>
                <c:pt idx="26">
                  <c:v>0.37302320000026157</c:v>
                </c:pt>
                <c:pt idx="27">
                  <c:v>0.38870820000011008</c:v>
                </c:pt>
                <c:pt idx="28">
                  <c:v>0.40394320000041262</c:v>
                </c:pt>
                <c:pt idx="29">
                  <c:v>0.4197916000002806</c:v>
                </c:pt>
                <c:pt idx="30">
                  <c:v>0.43575710000004619</c:v>
                </c:pt>
                <c:pt idx="31">
                  <c:v>0.45149400000036621</c:v>
                </c:pt>
                <c:pt idx="32">
                  <c:v>0.46699660000012955</c:v>
                </c:pt>
                <c:pt idx="33">
                  <c:v>0.4830205000002934</c:v>
                </c:pt>
                <c:pt idx="34">
                  <c:v>0.49845470000036585</c:v>
                </c:pt>
                <c:pt idx="35">
                  <c:v>0.51411460000008447</c:v>
                </c:pt>
                <c:pt idx="36">
                  <c:v>0.52958090000038283</c:v>
                </c:pt>
                <c:pt idx="37">
                  <c:v>0.54471950000015568</c:v>
                </c:pt>
                <c:pt idx="38">
                  <c:v>0.55994790000022476</c:v>
                </c:pt>
                <c:pt idx="39">
                  <c:v>0.57620560000032128</c:v>
                </c:pt>
                <c:pt idx="40">
                  <c:v>0.59083770000006552</c:v>
                </c:pt>
                <c:pt idx="41">
                  <c:v>0.60626369999999952</c:v>
                </c:pt>
                <c:pt idx="42">
                  <c:v>0.6214124000002812</c:v>
                </c:pt>
                <c:pt idx="43">
                  <c:v>0.63753459999998086</c:v>
                </c:pt>
                <c:pt idx="44">
                  <c:v>0.65260699999998906</c:v>
                </c:pt>
                <c:pt idx="45">
                  <c:v>0.66794340000024022</c:v>
                </c:pt>
                <c:pt idx="46">
                  <c:v>0.68331380000017816</c:v>
                </c:pt>
                <c:pt idx="47">
                  <c:v>0.69856420000041908</c:v>
                </c:pt>
                <c:pt idx="48">
                  <c:v>0.7138716000004024</c:v>
                </c:pt>
                <c:pt idx="49">
                  <c:v>0.73025120000011157</c:v>
                </c:pt>
                <c:pt idx="50">
                  <c:v>0.74559630000021571</c:v>
                </c:pt>
                <c:pt idx="51">
                  <c:v>0.7610821000002943</c:v>
                </c:pt>
                <c:pt idx="52">
                  <c:v>0.77641560000029131</c:v>
                </c:pt>
                <c:pt idx="53">
                  <c:v>0.79153070000029402</c:v>
                </c:pt>
                <c:pt idx="54">
                  <c:v>0.80748250000033295</c:v>
                </c:pt>
                <c:pt idx="55">
                  <c:v>0.82297660000040196</c:v>
                </c:pt>
                <c:pt idx="56">
                  <c:v>0.83904410000013741</c:v>
                </c:pt>
                <c:pt idx="57">
                  <c:v>0.85417240000015227</c:v>
                </c:pt>
                <c:pt idx="58">
                  <c:v>0.86972920000016529</c:v>
                </c:pt>
                <c:pt idx="59">
                  <c:v>0.88524850000021615</c:v>
                </c:pt>
                <c:pt idx="60">
                  <c:v>0.90091920000031678</c:v>
                </c:pt>
                <c:pt idx="61">
                  <c:v>0.90367850000029648</c:v>
                </c:pt>
                <c:pt idx="62">
                  <c:v>0.91670670000030441</c:v>
                </c:pt>
                <c:pt idx="63">
                  <c:v>0.93219020000015007</c:v>
                </c:pt>
                <c:pt idx="64">
                  <c:v>0.94763220000004367</c:v>
                </c:pt>
                <c:pt idx="65">
                  <c:v>0.96272680000038235</c:v>
                </c:pt>
                <c:pt idx="66">
                  <c:v>0.97808190000023387</c:v>
                </c:pt>
                <c:pt idx="67">
                  <c:v>0.9934240000002319</c:v>
                </c:pt>
                <c:pt idx="68">
                  <c:v>1.0095186000003196</c:v>
                </c:pt>
                <c:pt idx="69">
                  <c:v>1.0249522000003708</c:v>
                </c:pt>
                <c:pt idx="70">
                  <c:v>1.0401796000001013</c:v>
                </c:pt>
                <c:pt idx="71">
                  <c:v>1.055965400000332</c:v>
                </c:pt>
                <c:pt idx="72">
                  <c:v>1.0718302000000222</c:v>
                </c:pt>
                <c:pt idx="73">
                  <c:v>1.0875557000003937</c:v>
                </c:pt>
                <c:pt idx="74">
                  <c:v>1.1028458000000683</c:v>
                </c:pt>
                <c:pt idx="75">
                  <c:v>1.1188025999999809</c:v>
                </c:pt>
                <c:pt idx="76">
                  <c:v>1.1348634000000857</c:v>
                </c:pt>
                <c:pt idx="77">
                  <c:v>1.1506616000001486</c:v>
                </c:pt>
                <c:pt idx="78">
                  <c:v>1.1660625000004075</c:v>
                </c:pt>
                <c:pt idx="79">
                  <c:v>1.1819746000001032</c:v>
                </c:pt>
                <c:pt idx="80">
                  <c:v>1.197920300000078</c:v>
                </c:pt>
                <c:pt idx="81">
                  <c:v>1.2132191000000603</c:v>
                </c:pt>
                <c:pt idx="82">
                  <c:v>1.2292172000002211</c:v>
                </c:pt>
                <c:pt idx="83">
                  <c:v>1.2446591000002627</c:v>
                </c:pt>
                <c:pt idx="84">
                  <c:v>1.2601951999999983</c:v>
                </c:pt>
                <c:pt idx="85">
                  <c:v>1.2756392000001142</c:v>
                </c:pt>
                <c:pt idx="86">
                  <c:v>1.2915996000001542</c:v>
                </c:pt>
                <c:pt idx="87">
                  <c:v>1.3068004000001565</c:v>
                </c:pt>
                <c:pt idx="88">
                  <c:v>1.3228144000004249</c:v>
                </c:pt>
                <c:pt idx="89">
                  <c:v>1.338255300000128</c:v>
                </c:pt>
                <c:pt idx="90">
                  <c:v>1.3536158000001706</c:v>
                </c:pt>
                <c:pt idx="91">
                  <c:v>1.3692170000003898</c:v>
                </c:pt>
                <c:pt idx="92">
                  <c:v>1.3851982000001044</c:v>
                </c:pt>
                <c:pt idx="93">
                  <c:v>1.4013238000002275</c:v>
                </c:pt>
                <c:pt idx="94">
                  <c:v>1.4175716000004286</c:v>
                </c:pt>
                <c:pt idx="95">
                  <c:v>1.433107000000291</c:v>
                </c:pt>
                <c:pt idx="96">
                  <c:v>1.4486382000000049</c:v>
                </c:pt>
                <c:pt idx="97">
                  <c:v>1.464110900000378</c:v>
                </c:pt>
                <c:pt idx="98">
                  <c:v>1.4797096000002057</c:v>
                </c:pt>
                <c:pt idx="99">
                  <c:v>1.4950284000001375</c:v>
                </c:pt>
                <c:pt idx="100">
                  <c:v>1.511221100000057</c:v>
                </c:pt>
                <c:pt idx="101">
                  <c:v>1.5267674000001534</c:v>
                </c:pt>
                <c:pt idx="102">
                  <c:v>1.542782200000147</c:v>
                </c:pt>
                <c:pt idx="103">
                  <c:v>1.5579615000001468</c:v>
                </c:pt>
                <c:pt idx="104">
                  <c:v>1.573585400000411</c:v>
                </c:pt>
                <c:pt idx="105">
                  <c:v>1.589252000000215</c:v>
                </c:pt>
                <c:pt idx="106">
                  <c:v>1.603999400000248</c:v>
                </c:pt>
                <c:pt idx="107">
                  <c:v>1.6198876000003111</c:v>
                </c:pt>
                <c:pt idx="108">
                  <c:v>1.6361267000002044</c:v>
                </c:pt>
                <c:pt idx="109">
                  <c:v>1.6512564000004204</c:v>
                </c:pt>
                <c:pt idx="110">
                  <c:v>1.6663169000003109</c:v>
                </c:pt>
                <c:pt idx="111">
                  <c:v>1.6817897000000812</c:v>
                </c:pt>
                <c:pt idx="112">
                  <c:v>1.6973350000002938</c:v>
                </c:pt>
                <c:pt idx="113">
                  <c:v>1.7125753000000259</c:v>
                </c:pt>
                <c:pt idx="114">
                  <c:v>1.7276518000003307</c:v>
                </c:pt>
                <c:pt idx="115">
                  <c:v>1.7429422000000159</c:v>
                </c:pt>
                <c:pt idx="116">
                  <c:v>1.7582855000000563</c:v>
                </c:pt>
                <c:pt idx="117">
                  <c:v>1.773996200000056</c:v>
                </c:pt>
                <c:pt idx="118">
                  <c:v>1.7897581000001992</c:v>
                </c:pt>
                <c:pt idx="119">
                  <c:v>1.8050165000004199</c:v>
                </c:pt>
                <c:pt idx="120">
                  <c:v>1.8200581000000966</c:v>
                </c:pt>
                <c:pt idx="121">
                  <c:v>1.8358427000002848</c:v>
                </c:pt>
                <c:pt idx="122">
                  <c:v>1.8507931000003737</c:v>
                </c:pt>
                <c:pt idx="123">
                  <c:v>1.8669764000001123</c:v>
                </c:pt>
                <c:pt idx="124">
                  <c:v>1.8826533000001291</c:v>
                </c:pt>
                <c:pt idx="125">
                  <c:v>1.8972933000000012</c:v>
                </c:pt>
                <c:pt idx="126">
                  <c:v>1.9133269000003565</c:v>
                </c:pt>
                <c:pt idx="127">
                  <c:v>1.9296000000003914</c:v>
                </c:pt>
                <c:pt idx="128">
                  <c:v>1.9452049000001352</c:v>
                </c:pt>
                <c:pt idx="129">
                  <c:v>1.9606398000000809</c:v>
                </c:pt>
                <c:pt idx="130">
                  <c:v>1.9759725000003527</c:v>
                </c:pt>
                <c:pt idx="131">
                  <c:v>1.9914278000001104</c:v>
                </c:pt>
                <c:pt idx="132">
                  <c:v>2.0069760000001224</c:v>
                </c:pt>
                <c:pt idx="133">
                  <c:v>2.0227060000001984</c:v>
                </c:pt>
                <c:pt idx="134">
                  <c:v>2.0380438000001959</c:v>
                </c:pt>
                <c:pt idx="135">
                  <c:v>2.0530307000003631</c:v>
                </c:pt>
                <c:pt idx="136">
                  <c:v>2.0684856000002583</c:v>
                </c:pt>
                <c:pt idx="137">
                  <c:v>2.0836755000000267</c:v>
                </c:pt>
                <c:pt idx="138">
                  <c:v>2.0990962000000764</c:v>
                </c:pt>
                <c:pt idx="139">
                  <c:v>2.1141289000001962</c:v>
                </c:pt>
                <c:pt idx="140">
                  <c:v>2.1296484000004057</c:v>
                </c:pt>
                <c:pt idx="141">
                  <c:v>2.1453720000004068</c:v>
                </c:pt>
                <c:pt idx="142">
                  <c:v>2.1608561000002737</c:v>
                </c:pt>
                <c:pt idx="143">
                  <c:v>2.1762023000001136</c:v>
                </c:pt>
                <c:pt idx="144">
                  <c:v>2.191330999999991</c:v>
                </c:pt>
                <c:pt idx="145">
                  <c:v>2.2065747000001465</c:v>
                </c:pt>
                <c:pt idx="146">
                  <c:v>2.2223314000002574</c:v>
                </c:pt>
                <c:pt idx="147">
                  <c:v>2.2377394000000095</c:v>
                </c:pt>
                <c:pt idx="148">
                  <c:v>2.2529523000002882</c:v>
                </c:pt>
                <c:pt idx="149">
                  <c:v>2.2684573999999884</c:v>
                </c:pt>
                <c:pt idx="150">
                  <c:v>2.2840030000002116</c:v>
                </c:pt>
                <c:pt idx="151">
                  <c:v>2.2868802000002688</c:v>
                </c:pt>
                <c:pt idx="152">
                  <c:v>2.2995488000001387</c:v>
                </c:pt>
                <c:pt idx="153">
                  <c:v>2.3149207999999817</c:v>
                </c:pt>
                <c:pt idx="154">
                  <c:v>2.3300423000000592</c:v>
                </c:pt>
                <c:pt idx="155">
                  <c:v>2.3454623000002357</c:v>
                </c:pt>
                <c:pt idx="156">
                  <c:v>2.3615370000002258</c:v>
                </c:pt>
                <c:pt idx="157">
                  <c:v>2.3767136000001301</c:v>
                </c:pt>
                <c:pt idx="158">
                  <c:v>2.3927026000001206</c:v>
                </c:pt>
                <c:pt idx="159">
                  <c:v>2.4083026000002974</c:v>
                </c:pt>
                <c:pt idx="160">
                  <c:v>2.4243546000002425</c:v>
                </c:pt>
                <c:pt idx="161">
                  <c:v>2.4402967000000899</c:v>
                </c:pt>
                <c:pt idx="162">
                  <c:v>2.4554897000002711</c:v>
                </c:pt>
                <c:pt idx="163">
                  <c:v>2.4712208000000828</c:v>
                </c:pt>
                <c:pt idx="164">
                  <c:v>2.4867932000001929</c:v>
                </c:pt>
                <c:pt idx="165">
                  <c:v>2.5027567000001909</c:v>
                </c:pt>
                <c:pt idx="166">
                  <c:v>2.5181257000003825</c:v>
                </c:pt>
                <c:pt idx="167">
                  <c:v>2.5331108000000313</c:v>
                </c:pt>
                <c:pt idx="168">
                  <c:v>2.5489589000003434</c:v>
                </c:pt>
                <c:pt idx="169">
                  <c:v>2.5650508000003356</c:v>
                </c:pt>
                <c:pt idx="170">
                  <c:v>2.5803182000004199</c:v>
                </c:pt>
                <c:pt idx="171">
                  <c:v>2.5957627000002503</c:v>
                </c:pt>
                <c:pt idx="172">
                  <c:v>2.6111039000002165</c:v>
                </c:pt>
                <c:pt idx="173">
                  <c:v>2.6267086000002564</c:v>
                </c:pt>
                <c:pt idx="174">
                  <c:v>2.6419436000001042</c:v>
                </c:pt>
                <c:pt idx="175">
                  <c:v>2.6580228000002535</c:v>
                </c:pt>
                <c:pt idx="176">
                  <c:v>2.6738740000000689</c:v>
                </c:pt>
                <c:pt idx="177">
                  <c:v>2.6894137000003866</c:v>
                </c:pt>
                <c:pt idx="178">
                  <c:v>2.7046626000001197</c:v>
                </c:pt>
                <c:pt idx="179">
                  <c:v>2.7199347000000671</c:v>
                </c:pt>
                <c:pt idx="180">
                  <c:v>2.7358025000003181</c:v>
                </c:pt>
                <c:pt idx="181">
                  <c:v>2.7508734000002733</c:v>
                </c:pt>
                <c:pt idx="182">
                  <c:v>2.7659552000000076</c:v>
                </c:pt>
                <c:pt idx="183">
                  <c:v>2.7808774000000085</c:v>
                </c:pt>
                <c:pt idx="184">
                  <c:v>2.7956675000000359</c:v>
                </c:pt>
                <c:pt idx="185">
                  <c:v>2.811707800000022</c:v>
                </c:pt>
                <c:pt idx="186">
                  <c:v>2.8270329000001766</c:v>
                </c:pt>
                <c:pt idx="187">
                  <c:v>2.8423720000000685</c:v>
                </c:pt>
                <c:pt idx="188">
                  <c:v>2.858502700000372</c:v>
                </c:pt>
                <c:pt idx="189">
                  <c:v>2.8740185000001475</c:v>
                </c:pt>
                <c:pt idx="190">
                  <c:v>2.8900909000003594</c:v>
                </c:pt>
                <c:pt idx="191">
                  <c:v>2.9053735000002234</c:v>
                </c:pt>
                <c:pt idx="192">
                  <c:v>2.921306100000038</c:v>
                </c:pt>
                <c:pt idx="193">
                  <c:v>2.9369955000001937</c:v>
                </c:pt>
                <c:pt idx="194">
                  <c:v>2.9526253000003635</c:v>
                </c:pt>
                <c:pt idx="195">
                  <c:v>2.9675974000001588</c:v>
                </c:pt>
                <c:pt idx="196">
                  <c:v>2.9831733000000895</c:v>
                </c:pt>
                <c:pt idx="197">
                  <c:v>2.9984130000002551</c:v>
                </c:pt>
                <c:pt idx="198">
                  <c:v>3.0135693000001993</c:v>
                </c:pt>
                <c:pt idx="199">
                  <c:v>3.0290494000000763</c:v>
                </c:pt>
                <c:pt idx="200">
                  <c:v>3.0444785000004231</c:v>
                </c:pt>
                <c:pt idx="201">
                  <c:v>3.0598500000000968</c:v>
                </c:pt>
                <c:pt idx="202">
                  <c:v>3.0750644000004286</c:v>
                </c:pt>
                <c:pt idx="203">
                  <c:v>3.0904241000002912</c:v>
                </c:pt>
                <c:pt idx="204">
                  <c:v>3.1064377000002423</c:v>
                </c:pt>
                <c:pt idx="205">
                  <c:v>3.1225518000001102</c:v>
                </c:pt>
                <c:pt idx="206">
                  <c:v>3.138448800000333</c:v>
                </c:pt>
                <c:pt idx="207">
                  <c:v>3.1540184000000409</c:v>
                </c:pt>
                <c:pt idx="208">
                  <c:v>3.1689089999999851</c:v>
                </c:pt>
                <c:pt idx="209">
                  <c:v>3.1849315000004026</c:v>
                </c:pt>
                <c:pt idx="210">
                  <c:v>3.2003816000001279</c:v>
                </c:pt>
                <c:pt idx="211">
                  <c:v>3.2153074000002562</c:v>
                </c:pt>
                <c:pt idx="212">
                  <c:v>3.2629249999999956</c:v>
                </c:pt>
                <c:pt idx="213">
                  <c:v>3.2789824000001317</c:v>
                </c:pt>
                <c:pt idx="214">
                  <c:v>3.2943454000001111</c:v>
                </c:pt>
                <c:pt idx="215">
                  <c:v>3.3418642999999975</c:v>
                </c:pt>
                <c:pt idx="216">
                  <c:v>3.357551400000375</c:v>
                </c:pt>
                <c:pt idx="217">
                  <c:v>3.4502027000003181</c:v>
                </c:pt>
                <c:pt idx="218">
                  <c:v>3.466481400000248</c:v>
                </c:pt>
                <c:pt idx="219">
                  <c:v>3.4815856000000167</c:v>
                </c:pt>
                <c:pt idx="220">
                  <c:v>3.496932100000322</c:v>
                </c:pt>
                <c:pt idx="221">
                  <c:v>3.5277230000001509</c:v>
                </c:pt>
                <c:pt idx="222">
                  <c:v>3.5595329000002494</c:v>
                </c:pt>
                <c:pt idx="223">
                  <c:v>3.590596000000005</c:v>
                </c:pt>
                <c:pt idx="224">
                  <c:v>3.6220025000002352</c:v>
                </c:pt>
                <c:pt idx="225">
                  <c:v>3.6521181000002798</c:v>
                </c:pt>
                <c:pt idx="226">
                  <c:v>3.7453942000001916</c:v>
                </c:pt>
                <c:pt idx="227">
                  <c:v>3.7610059000003275</c:v>
                </c:pt>
                <c:pt idx="228">
                  <c:v>3.7763112000002366</c:v>
                </c:pt>
                <c:pt idx="229">
                  <c:v>3.7926324000000022</c:v>
                </c:pt>
                <c:pt idx="230">
                  <c:v>3.8087636000000202</c:v>
                </c:pt>
                <c:pt idx="231">
                  <c:v>3.8874061999999867</c:v>
                </c:pt>
                <c:pt idx="232">
                  <c:v>3.9030201000000488</c:v>
                </c:pt>
                <c:pt idx="233">
                  <c:v>3.9183447000000342</c:v>
                </c:pt>
                <c:pt idx="234">
                  <c:v>3.9338287000000491</c:v>
                </c:pt>
                <c:pt idx="235">
                  <c:v>3.9800678999999946</c:v>
                </c:pt>
                <c:pt idx="236">
                  <c:v>3.995798900000409</c:v>
                </c:pt>
                <c:pt idx="237">
                  <c:v>4.0423875999999836</c:v>
                </c:pt>
                <c:pt idx="238">
                  <c:v>4.0739817000003313</c:v>
                </c:pt>
                <c:pt idx="239">
                  <c:v>4.1044402000002265</c:v>
                </c:pt>
                <c:pt idx="240">
                  <c:v>4.1355275000000802</c:v>
                </c:pt>
                <c:pt idx="241">
                  <c:v>4.1654601000000184</c:v>
                </c:pt>
                <c:pt idx="242">
                  <c:v>4.1966453000000001</c:v>
                </c:pt>
                <c:pt idx="243">
                  <c:v>4.2278092000001379</c:v>
                </c:pt>
                <c:pt idx="244">
                  <c:v>4.2745982000001277</c:v>
                </c:pt>
                <c:pt idx="245">
                  <c:v>4.3050646000001507</c:v>
                </c:pt>
                <c:pt idx="246">
                  <c:v>4.3357205000002068</c:v>
                </c:pt>
                <c:pt idx="247">
                  <c:v>4.3668618000001516</c:v>
                </c:pt>
                <c:pt idx="248">
                  <c:v>4.3979300000000876</c:v>
                </c:pt>
                <c:pt idx="249">
                  <c:v>4.4284158000000389</c:v>
                </c:pt>
                <c:pt idx="250">
                  <c:v>4.4752190000003793</c:v>
                </c:pt>
                <c:pt idx="251">
                  <c:v>4.5070405000001301</c:v>
                </c:pt>
                <c:pt idx="252">
                  <c:v>4.5080405000001305</c:v>
                </c:pt>
                <c:pt idx="253">
                  <c:v>4.537615900000219</c:v>
                </c:pt>
                <c:pt idx="254">
                  <c:v>4.5528210000002218</c:v>
                </c:pt>
                <c:pt idx="255">
                  <c:v>4.5840331000003971</c:v>
                </c:pt>
                <c:pt idx="256">
                  <c:v>4.6146783000003779</c:v>
                </c:pt>
                <c:pt idx="257">
                  <c:v>4.6612142000003587</c:v>
                </c:pt>
                <c:pt idx="258">
                  <c:v>4.6927078000003348</c:v>
                </c:pt>
                <c:pt idx="259">
                  <c:v>4.7241723000001912</c:v>
                </c:pt>
                <c:pt idx="260">
                  <c:v>4.7552841000001536</c:v>
                </c:pt>
                <c:pt idx="261">
                  <c:v>4.7871487000002162</c:v>
                </c:pt>
                <c:pt idx="262">
                  <c:v>4.8184103000003233</c:v>
                </c:pt>
                <c:pt idx="263">
                  <c:v>4.8648840000000746</c:v>
                </c:pt>
                <c:pt idx="264">
                  <c:v>4.8959517000002961</c:v>
                </c:pt>
                <c:pt idx="265">
                  <c:v>4.9267509000001155</c:v>
                </c:pt>
                <c:pt idx="266">
                  <c:v>4.9738620000002811</c:v>
                </c:pt>
                <c:pt idx="267">
                  <c:v>4.9892149000002064</c:v>
                </c:pt>
                <c:pt idx="268">
                  <c:v>5.0212012000001778</c:v>
                </c:pt>
                <c:pt idx="269">
                  <c:v>5.0516725000002225</c:v>
                </c:pt>
                <c:pt idx="270">
                  <c:v>5.0827851000003648</c:v>
                </c:pt>
                <c:pt idx="271">
                  <c:v>5.1137316000003921</c:v>
                </c:pt>
                <c:pt idx="272">
                  <c:v>5.1452981000002183</c:v>
                </c:pt>
                <c:pt idx="273">
                  <c:v>5.1763471000003847</c:v>
                </c:pt>
                <c:pt idx="274">
                  <c:v>5.206453700000111</c:v>
                </c:pt>
                <c:pt idx="275">
                  <c:v>5.2538562000004276</c:v>
                </c:pt>
                <c:pt idx="276">
                  <c:v>5.2850330000001122</c:v>
                </c:pt>
                <c:pt idx="277">
                  <c:v>5.3151507000002312</c:v>
                </c:pt>
                <c:pt idx="278">
                  <c:v>5.3462414000000535</c:v>
                </c:pt>
                <c:pt idx="279">
                  <c:v>5.3769308000000819</c:v>
                </c:pt>
                <c:pt idx="280">
                  <c:v>5.4089211000000432</c:v>
                </c:pt>
                <c:pt idx="281">
                  <c:v>5.4551541000000725</c:v>
                </c:pt>
                <c:pt idx="282">
                  <c:v>5.4857228000000759</c:v>
                </c:pt>
                <c:pt idx="283">
                  <c:v>5.5166819000000942</c:v>
                </c:pt>
                <c:pt idx="284">
                  <c:v>5.5484199000002263</c:v>
                </c:pt>
                <c:pt idx="285">
                  <c:v>5.5797838000003139</c:v>
                </c:pt>
                <c:pt idx="286">
                  <c:v>5.6095580000001064</c:v>
                </c:pt>
                <c:pt idx="287">
                  <c:v>5.6410262000003968</c:v>
                </c:pt>
                <c:pt idx="288">
                  <c:v>5.6720820000000458</c:v>
                </c:pt>
                <c:pt idx="289">
                  <c:v>5.7036822000000029</c:v>
                </c:pt>
                <c:pt idx="290">
                  <c:v>5.7347582000002149</c:v>
                </c:pt>
                <c:pt idx="291">
                  <c:v>5.7660101999999824</c:v>
                </c:pt>
                <c:pt idx="292">
                  <c:v>5.7983756000003268</c:v>
                </c:pt>
                <c:pt idx="293">
                  <c:v>5.8292917000003399</c:v>
                </c:pt>
                <c:pt idx="294">
                  <c:v>5.8760879999999815</c:v>
                </c:pt>
                <c:pt idx="295">
                  <c:v>5.9069489000003159</c:v>
                </c:pt>
                <c:pt idx="296">
                  <c:v>5.9376335000001745</c:v>
                </c:pt>
                <c:pt idx="297">
                  <c:v>5.9686227000001963</c:v>
                </c:pt>
                <c:pt idx="298">
                  <c:v>5.999062700000195</c:v>
                </c:pt>
                <c:pt idx="299">
                  <c:v>6.0304338000000826</c:v>
                </c:pt>
                <c:pt idx="300">
                  <c:v>6.0618288000000575</c:v>
                </c:pt>
                <c:pt idx="301">
                  <c:v>6.0927022000000761</c:v>
                </c:pt>
                <c:pt idx="302">
                  <c:v>6.1397364000004018</c:v>
                </c:pt>
                <c:pt idx="303">
                  <c:v>6.1711775000003399</c:v>
                </c:pt>
                <c:pt idx="304">
                  <c:v>6.1872160000002623</c:v>
                </c:pt>
                <c:pt idx="305">
                  <c:v>6.2184366000001319</c:v>
                </c:pt>
                <c:pt idx="306">
                  <c:v>6.2489861000003657</c:v>
                </c:pt>
                <c:pt idx="307">
                  <c:v>6.2801828999999998</c:v>
                </c:pt>
                <c:pt idx="308">
                  <c:v>6.3263348000000406</c:v>
                </c:pt>
                <c:pt idx="309">
                  <c:v>6.3577290000002904</c:v>
                </c:pt>
                <c:pt idx="310">
                  <c:v>6.3879193000002488</c:v>
                </c:pt>
                <c:pt idx="311">
                  <c:v>6.4188283000003139</c:v>
                </c:pt>
                <c:pt idx="312">
                  <c:v>6.4498166000003039</c:v>
                </c:pt>
                <c:pt idx="313">
                  <c:v>6.4810206000001926</c:v>
                </c:pt>
                <c:pt idx="314">
                  <c:v>6.5271981000000778</c:v>
                </c:pt>
                <c:pt idx="315">
                  <c:v>6.5573610000001281</c:v>
                </c:pt>
                <c:pt idx="316">
                  <c:v>6.5885600000001432</c:v>
                </c:pt>
                <c:pt idx="317">
                  <c:v>6.6192061000001559</c:v>
                </c:pt>
                <c:pt idx="318">
                  <c:v>6.6495939999999791</c:v>
                </c:pt>
                <c:pt idx="319">
                  <c:v>6.6809850000004189</c:v>
                </c:pt>
                <c:pt idx="320">
                  <c:v>6.7279085000000123</c:v>
                </c:pt>
                <c:pt idx="321">
                  <c:v>6.7590113000001111</c:v>
                </c:pt>
                <c:pt idx="322">
                  <c:v>6.7899225000001024</c:v>
                </c:pt>
                <c:pt idx="323">
                  <c:v>6.8056283000000803</c:v>
                </c:pt>
                <c:pt idx="324">
                  <c:v>6.8376799000002393</c:v>
                </c:pt>
                <c:pt idx="325">
                  <c:v>6.8684104000003572</c:v>
                </c:pt>
                <c:pt idx="326">
                  <c:v>6.9149276000002828</c:v>
                </c:pt>
                <c:pt idx="327">
                  <c:v>6.946722900000168</c:v>
                </c:pt>
                <c:pt idx="328">
                  <c:v>6.9777452000002995</c:v>
                </c:pt>
                <c:pt idx="329">
                  <c:v>7.0080390000002808</c:v>
                </c:pt>
                <c:pt idx="330">
                  <c:v>7.039289700000154</c:v>
                </c:pt>
                <c:pt idx="331">
                  <c:v>7.0705900000002657</c:v>
                </c:pt>
                <c:pt idx="332">
                  <c:v>7.1177352000004248</c:v>
                </c:pt>
                <c:pt idx="333">
                  <c:v>7.149779700000181</c:v>
                </c:pt>
                <c:pt idx="334">
                  <c:v>7.1810393000000659</c:v>
                </c:pt>
                <c:pt idx="335">
                  <c:v>7.2121169000001828</c:v>
                </c:pt>
                <c:pt idx="336">
                  <c:v>7.2427593000002162</c:v>
                </c:pt>
                <c:pt idx="337">
                  <c:v>7.2730527000003349</c:v>
                </c:pt>
                <c:pt idx="338">
                  <c:v>7.3046481000001222</c:v>
                </c:pt>
                <c:pt idx="339">
                  <c:v>7.3364228000000367</c:v>
                </c:pt>
                <c:pt idx="340">
                  <c:v>7.367167000000336</c:v>
                </c:pt>
                <c:pt idx="341">
                  <c:v>7.3981877000001077</c:v>
                </c:pt>
                <c:pt idx="342">
                  <c:v>7.4297265000000152</c:v>
                </c:pt>
                <c:pt idx="343">
                  <c:v>7.4607101999999941</c:v>
                </c:pt>
                <c:pt idx="344">
                  <c:v>7.4922096000000238</c:v>
                </c:pt>
                <c:pt idx="345">
                  <c:v>7.5385995000001458</c:v>
                </c:pt>
                <c:pt idx="346">
                  <c:v>7.570056200000181</c:v>
                </c:pt>
                <c:pt idx="347">
                  <c:v>7.6007871000001614</c:v>
                </c:pt>
                <c:pt idx="348">
                  <c:v>7.6318452000000434</c:v>
                </c:pt>
                <c:pt idx="349">
                  <c:v>7.6628080000000409</c:v>
                </c:pt>
                <c:pt idx="350">
                  <c:v>7.693853300000228</c:v>
                </c:pt>
                <c:pt idx="351">
                  <c:v>7.740906300000006</c:v>
                </c:pt>
                <c:pt idx="352">
                  <c:v>7.7560024000003978</c:v>
                </c:pt>
                <c:pt idx="353">
                  <c:v>7.8027047000000493</c:v>
                </c:pt>
                <c:pt idx="354">
                  <c:v>7.818170800000189</c:v>
                </c:pt>
                <c:pt idx="355">
                  <c:v>7.849333900000147</c:v>
                </c:pt>
                <c:pt idx="356">
                  <c:v>7.8953836000000592</c:v>
                </c:pt>
                <c:pt idx="357">
                  <c:v>7.9105360000003202</c:v>
                </c:pt>
                <c:pt idx="358">
                  <c:v>7.9416419000003771</c:v>
                </c:pt>
                <c:pt idx="359">
                  <c:v>7.988133000000289</c:v>
                </c:pt>
                <c:pt idx="360">
                  <c:v>8.0195339000001695</c:v>
                </c:pt>
                <c:pt idx="361">
                  <c:v>8.0499366000003647</c:v>
                </c:pt>
                <c:pt idx="362">
                  <c:v>8.0813528000003316</c:v>
                </c:pt>
                <c:pt idx="363">
                  <c:v>8.1119710000002669</c:v>
                </c:pt>
                <c:pt idx="364">
                  <c:v>8.1418160000002899</c:v>
                </c:pt>
                <c:pt idx="365">
                  <c:v>8.1884018000000651</c:v>
                </c:pt>
                <c:pt idx="366">
                  <c:v>8.2195125000002918</c:v>
                </c:pt>
                <c:pt idx="367">
                  <c:v>8.2505235000003267</c:v>
                </c:pt>
                <c:pt idx="368">
                  <c:v>8.2813416000003599</c:v>
                </c:pt>
                <c:pt idx="369">
                  <c:v>8.3130092000001241</c:v>
                </c:pt>
                <c:pt idx="370">
                  <c:v>8.3439578000002257</c:v>
                </c:pt>
                <c:pt idx="371">
                  <c:v>8.3752976000000672</c:v>
                </c:pt>
                <c:pt idx="372">
                  <c:v>8.4216149000003497</c:v>
                </c:pt>
                <c:pt idx="373">
                  <c:v>8.435135100000025</c:v>
                </c:pt>
                <c:pt idx="374">
                  <c:v>8.4680778000001737</c:v>
                </c:pt>
                <c:pt idx="375">
                  <c:v>8.4993426000000909</c:v>
                </c:pt>
                <c:pt idx="376">
                  <c:v>8.5301843000002009</c:v>
                </c:pt>
                <c:pt idx="377">
                  <c:v>8.5311843000002003</c:v>
                </c:pt>
                <c:pt idx="378">
                  <c:v>8.5615048000004208</c:v>
                </c:pt>
                <c:pt idx="379">
                  <c:v>8.6084997000002659</c:v>
                </c:pt>
                <c:pt idx="380">
                  <c:v>8.6396508000002541</c:v>
                </c:pt>
                <c:pt idx="381">
                  <c:v>8.6708717999999863</c:v>
                </c:pt>
                <c:pt idx="382">
                  <c:v>8.7026233000001412</c:v>
                </c:pt>
                <c:pt idx="383">
                  <c:v>8.7334623000001557</c:v>
                </c:pt>
                <c:pt idx="384">
                  <c:v>8.7646595000001071</c:v>
                </c:pt>
                <c:pt idx="385">
                  <c:v>8.8111308000002282</c:v>
                </c:pt>
                <c:pt idx="386">
                  <c:v>8.8430741000001944</c:v>
                </c:pt>
                <c:pt idx="387">
                  <c:v>8.8728994000002785</c:v>
                </c:pt>
                <c:pt idx="388">
                  <c:v>8.9049598000001424</c:v>
                </c:pt>
                <c:pt idx="389">
                  <c:v>8.920539700000063</c:v>
                </c:pt>
                <c:pt idx="390">
                  <c:v>8.9517083000000639</c:v>
                </c:pt>
                <c:pt idx="391">
                  <c:v>8.9822482000004129</c:v>
                </c:pt>
                <c:pt idx="392">
                  <c:v>9.0298377000003711</c:v>
                </c:pt>
                <c:pt idx="393">
                  <c:v>9.0611833000002662</c:v>
                </c:pt>
                <c:pt idx="394">
                  <c:v>9.0922832000001108</c:v>
                </c:pt>
                <c:pt idx="395">
                  <c:v>9.12239610000006</c:v>
                </c:pt>
                <c:pt idx="396">
                  <c:v>9.1532780000002276</c:v>
                </c:pt>
                <c:pt idx="397">
                  <c:v>9.1842184000001907</c:v>
                </c:pt>
                <c:pt idx="398">
                  <c:v>9.2300111000004108</c:v>
                </c:pt>
                <c:pt idx="399">
                  <c:v>9.2606885000000148</c:v>
                </c:pt>
                <c:pt idx="400">
                  <c:v>9.291738500000065</c:v>
                </c:pt>
                <c:pt idx="401">
                  <c:v>9.3234608000002481</c:v>
                </c:pt>
                <c:pt idx="402">
                  <c:v>9.3695388000001003</c:v>
                </c:pt>
                <c:pt idx="403">
                  <c:v>9.4001502000000983</c:v>
                </c:pt>
                <c:pt idx="404">
                  <c:v>9.4309679000002689</c:v>
                </c:pt>
                <c:pt idx="405">
                  <c:v>9.4623018000002048</c:v>
                </c:pt>
                <c:pt idx="406">
                  <c:v>9.4935661000004075</c:v>
                </c:pt>
                <c:pt idx="407">
                  <c:v>9.5246996000000763</c:v>
                </c:pt>
                <c:pt idx="408">
                  <c:v>9.5554276000002574</c:v>
                </c:pt>
                <c:pt idx="409">
                  <c:v>9.5555276000002571</c:v>
                </c:pt>
                <c:pt idx="410">
                  <c:v>9.5856540000004316</c:v>
                </c:pt>
                <c:pt idx="411">
                  <c:v>9.6167265000003681</c:v>
                </c:pt>
                <c:pt idx="412">
                  <c:v>9.6474853000004259</c:v>
                </c:pt>
                <c:pt idx="413">
                  <c:v>9.6789674999999988</c:v>
                </c:pt>
                <c:pt idx="414">
                  <c:v>9.7094308000000638</c:v>
                </c:pt>
                <c:pt idx="415">
                  <c:v>9.7403956000002836</c:v>
                </c:pt>
                <c:pt idx="416">
                  <c:v>9.7720160000003489</c:v>
                </c:pt>
                <c:pt idx="417">
                  <c:v>9.8176916000002166</c:v>
                </c:pt>
                <c:pt idx="418">
                  <c:v>9.8488786000002619</c:v>
                </c:pt>
                <c:pt idx="419">
                  <c:v>9.8793074000000161</c:v>
                </c:pt>
                <c:pt idx="420">
                  <c:v>9.9106115000004138</c:v>
                </c:pt>
                <c:pt idx="421">
                  <c:v>9.9409724000001916</c:v>
                </c:pt>
                <c:pt idx="422">
                  <c:v>9.9728406000003815</c:v>
                </c:pt>
                <c:pt idx="423">
                  <c:v>10.004080200000317</c:v>
                </c:pt>
                <c:pt idx="424">
                  <c:v>10.052269700000124</c:v>
                </c:pt>
                <c:pt idx="425">
                  <c:v>10.067612800000006</c:v>
                </c:pt>
                <c:pt idx="426">
                  <c:v>10.098507600000175</c:v>
                </c:pt>
                <c:pt idx="427">
                  <c:v>10.129110700000183</c:v>
                </c:pt>
                <c:pt idx="428">
                  <c:v>10.159869600000093</c:v>
                </c:pt>
                <c:pt idx="429">
                  <c:v>10.191697800000384</c:v>
                </c:pt>
                <c:pt idx="430">
                  <c:v>10.223350500000379</c:v>
                </c:pt>
                <c:pt idx="431">
                  <c:v>10.317478700000265</c:v>
                </c:pt>
                <c:pt idx="432">
                  <c:v>10.333174900000358</c:v>
                </c:pt>
                <c:pt idx="433">
                  <c:v>10.348560300000372</c:v>
                </c:pt>
                <c:pt idx="434">
                  <c:v>10.36367700000028</c:v>
                </c:pt>
                <c:pt idx="435">
                  <c:v>10.410301700000218</c:v>
                </c:pt>
                <c:pt idx="436">
                  <c:v>10.58332960000007</c:v>
                </c:pt>
                <c:pt idx="437">
                  <c:v>10.598769900000207</c:v>
                </c:pt>
                <c:pt idx="438">
                  <c:v>10.614560700000311</c:v>
                </c:pt>
                <c:pt idx="439">
                  <c:v>10.63024680000035</c:v>
                </c:pt>
                <c:pt idx="440">
                  <c:v>10.645605100000012</c:v>
                </c:pt>
                <c:pt idx="441">
                  <c:v>10.661888300000101</c:v>
                </c:pt>
                <c:pt idx="442">
                  <c:v>10.67790260000038</c:v>
                </c:pt>
                <c:pt idx="443">
                  <c:v>10.693193000000065</c:v>
                </c:pt>
                <c:pt idx="444">
                  <c:v>10.709016600000268</c:v>
                </c:pt>
                <c:pt idx="445">
                  <c:v>10.724044000000049</c:v>
                </c:pt>
                <c:pt idx="446">
                  <c:v>10.756220200000371</c:v>
                </c:pt>
                <c:pt idx="447">
                  <c:v>10.787308800000119</c:v>
                </c:pt>
                <c:pt idx="448">
                  <c:v>10.833230000000185</c:v>
                </c:pt>
                <c:pt idx="449">
                  <c:v>10.848908600000414</c:v>
                </c:pt>
                <c:pt idx="450">
                  <c:v>10.895104500000343</c:v>
                </c:pt>
                <c:pt idx="451">
                  <c:v>10.926145600000382</c:v>
                </c:pt>
                <c:pt idx="452">
                  <c:v>10.942143000000215</c:v>
                </c:pt>
                <c:pt idx="453">
                  <c:v>10.973500700000386</c:v>
                </c:pt>
                <c:pt idx="454">
                  <c:v>11.019185500000276</c:v>
                </c:pt>
                <c:pt idx="455">
                  <c:v>11.034989600000245</c:v>
                </c:pt>
                <c:pt idx="456">
                  <c:v>11.082045999999991</c:v>
                </c:pt>
                <c:pt idx="457">
                  <c:v>11.1128262000002</c:v>
                </c:pt>
                <c:pt idx="458">
                  <c:v>11.143854800000099</c:v>
                </c:pt>
                <c:pt idx="459">
                  <c:v>11.175350700000308</c:v>
                </c:pt>
                <c:pt idx="460">
                  <c:v>11.206693400000404</c:v>
                </c:pt>
                <c:pt idx="461">
                  <c:v>11.237335799999983</c:v>
                </c:pt>
                <c:pt idx="462">
                  <c:v>11.284025600000405</c:v>
                </c:pt>
                <c:pt idx="463">
                  <c:v>11.314848700000312</c:v>
                </c:pt>
                <c:pt idx="464">
                  <c:v>11.345894600000065</c:v>
                </c:pt>
                <c:pt idx="465">
                  <c:v>11.377582900000107</c:v>
                </c:pt>
                <c:pt idx="466">
                  <c:v>11.408712500000092</c:v>
                </c:pt>
                <c:pt idx="467">
                  <c:v>11.424737800000003</c:v>
                </c:pt>
                <c:pt idx="468">
                  <c:v>11.47156490000043</c:v>
                </c:pt>
                <c:pt idx="469">
                  <c:v>11.502535600000101</c:v>
                </c:pt>
                <c:pt idx="470">
                  <c:v>11.534924500000216</c:v>
                </c:pt>
                <c:pt idx="471">
                  <c:v>11.565958300000148</c:v>
                </c:pt>
                <c:pt idx="472">
                  <c:v>11.59783920000018</c:v>
                </c:pt>
                <c:pt idx="473">
                  <c:v>11.644704600000296</c:v>
                </c:pt>
                <c:pt idx="474">
                  <c:v>11.675825900000291</c:v>
                </c:pt>
                <c:pt idx="475">
                  <c:v>11.706475600000431</c:v>
                </c:pt>
                <c:pt idx="476">
                  <c:v>11.737749000000349</c:v>
                </c:pt>
                <c:pt idx="477">
                  <c:v>11.76921160000029</c:v>
                </c:pt>
                <c:pt idx="478">
                  <c:v>11.800858600000083</c:v>
                </c:pt>
                <c:pt idx="479">
                  <c:v>11.832110300000295</c:v>
                </c:pt>
                <c:pt idx="480">
                  <c:v>11.847406900000351</c:v>
                </c:pt>
                <c:pt idx="481">
                  <c:v>11.894228900000144</c:v>
                </c:pt>
                <c:pt idx="482">
                  <c:v>11.92492110000012</c:v>
                </c:pt>
                <c:pt idx="483">
                  <c:v>11.955142800000431</c:v>
                </c:pt>
                <c:pt idx="484">
                  <c:v>12.000833200000216</c:v>
                </c:pt>
                <c:pt idx="485">
                  <c:v>12.016915900000186</c:v>
                </c:pt>
                <c:pt idx="486">
                  <c:v>12.063823899999988</c:v>
                </c:pt>
                <c:pt idx="487">
                  <c:v>12.094814100000349</c:v>
                </c:pt>
                <c:pt idx="488">
                  <c:v>12.125114600000416</c:v>
                </c:pt>
                <c:pt idx="489">
                  <c:v>12.15568790000043</c:v>
                </c:pt>
                <c:pt idx="490">
                  <c:v>12.186626400000023</c:v>
                </c:pt>
                <c:pt idx="491">
                  <c:v>12.218306000000211</c:v>
                </c:pt>
                <c:pt idx="492">
                  <c:v>12.249259600000187</c:v>
                </c:pt>
                <c:pt idx="493">
                  <c:v>12.296085400000266</c:v>
                </c:pt>
                <c:pt idx="494">
                  <c:v>12.326275300000361</c:v>
                </c:pt>
                <c:pt idx="495">
                  <c:v>12.357014600000184</c:v>
                </c:pt>
                <c:pt idx="496">
                  <c:v>12.388153500000044</c:v>
                </c:pt>
                <c:pt idx="497">
                  <c:v>12.4197750000003</c:v>
                </c:pt>
                <c:pt idx="498">
                  <c:v>12.451095400000213</c:v>
                </c:pt>
                <c:pt idx="499">
                  <c:v>12.482295500000419</c:v>
                </c:pt>
                <c:pt idx="500">
                  <c:v>12.513406000000032</c:v>
                </c:pt>
                <c:pt idx="501">
                  <c:v>12.545510300000387</c:v>
                </c:pt>
                <c:pt idx="502">
                  <c:v>12.576301700000386</c:v>
                </c:pt>
                <c:pt idx="503">
                  <c:v>12.607888900000034</c:v>
                </c:pt>
                <c:pt idx="504">
                  <c:v>12.638797200000226</c:v>
                </c:pt>
                <c:pt idx="505">
                  <c:v>12.670864300000176</c:v>
                </c:pt>
                <c:pt idx="506">
                  <c:v>12.702406300000348</c:v>
                </c:pt>
                <c:pt idx="507">
                  <c:v>12.748906799999986</c:v>
                </c:pt>
                <c:pt idx="508">
                  <c:v>12.780055300000186</c:v>
                </c:pt>
                <c:pt idx="509">
                  <c:v>12.810586700000385</c:v>
                </c:pt>
                <c:pt idx="510">
                  <c:v>12.840667400000257</c:v>
                </c:pt>
                <c:pt idx="511">
                  <c:v>12.87273660000028</c:v>
                </c:pt>
                <c:pt idx="512">
                  <c:v>12.919059700000162</c:v>
                </c:pt>
                <c:pt idx="513">
                  <c:v>12.950166000000081</c:v>
                </c:pt>
                <c:pt idx="514">
                  <c:v>12.965575600000193</c:v>
                </c:pt>
                <c:pt idx="515">
                  <c:v>12.996916700000384</c:v>
                </c:pt>
                <c:pt idx="516">
                  <c:v>13.027586500000325</c:v>
                </c:pt>
                <c:pt idx="517">
                  <c:v>13.058944500000052</c:v>
                </c:pt>
                <c:pt idx="518">
                  <c:v>13.089599500000077</c:v>
                </c:pt>
                <c:pt idx="519">
                  <c:v>13.136956600000303</c:v>
                </c:pt>
                <c:pt idx="520">
                  <c:v>13.167147800000294</c:v>
                </c:pt>
                <c:pt idx="521">
                  <c:v>13.197788200000105</c:v>
                </c:pt>
                <c:pt idx="522">
                  <c:v>13.243707000000086</c:v>
                </c:pt>
                <c:pt idx="523">
                  <c:v>13.30562800000007</c:v>
                </c:pt>
                <c:pt idx="524">
                  <c:v>13.320852300000297</c:v>
                </c:pt>
                <c:pt idx="525">
                  <c:v>13.336251400000037</c:v>
                </c:pt>
                <c:pt idx="526">
                  <c:v>13.367295000000013</c:v>
                </c:pt>
                <c:pt idx="527">
                  <c:v>13.397435500000029</c:v>
                </c:pt>
                <c:pt idx="528">
                  <c:v>13.429170900000372</c:v>
                </c:pt>
                <c:pt idx="529">
                  <c:v>13.460952700000234</c:v>
                </c:pt>
                <c:pt idx="530">
                  <c:v>13.492381000000023</c:v>
                </c:pt>
                <c:pt idx="531">
                  <c:v>13.523081499999989</c:v>
                </c:pt>
                <c:pt idx="532">
                  <c:v>13.555078700000195</c:v>
                </c:pt>
                <c:pt idx="533">
                  <c:v>13.587006100000053</c:v>
                </c:pt>
                <c:pt idx="534">
                  <c:v>13.619073000000299</c:v>
                </c:pt>
                <c:pt idx="535">
                  <c:v>13.650212200000169</c:v>
                </c:pt>
                <c:pt idx="536">
                  <c:v>13.681003300000157</c:v>
                </c:pt>
                <c:pt idx="537">
                  <c:v>13.712306100000205</c:v>
                </c:pt>
                <c:pt idx="538">
                  <c:v>13.758961900000031</c:v>
                </c:pt>
                <c:pt idx="539">
                  <c:v>13.789472500000102</c:v>
                </c:pt>
                <c:pt idx="540">
                  <c:v>13.822084700000232</c:v>
                </c:pt>
                <c:pt idx="541">
                  <c:v>13.852689600000303</c:v>
                </c:pt>
                <c:pt idx="542">
                  <c:v>13.883946300000389</c:v>
                </c:pt>
                <c:pt idx="543">
                  <c:v>13.914673300000231</c:v>
                </c:pt>
                <c:pt idx="544">
                  <c:v>13.945167700000184</c:v>
                </c:pt>
                <c:pt idx="545">
                  <c:v>13.992031400000087</c:v>
                </c:pt>
                <c:pt idx="546">
                  <c:v>14.023872700000084</c:v>
                </c:pt>
                <c:pt idx="547">
                  <c:v>14.054001299999982</c:v>
                </c:pt>
                <c:pt idx="548">
                  <c:v>14.069429500000297</c:v>
                </c:pt>
                <c:pt idx="549">
                  <c:v>14.100932499999999</c:v>
                </c:pt>
                <c:pt idx="550">
                  <c:v>14.14680670000007</c:v>
                </c:pt>
                <c:pt idx="551">
                  <c:v>14.17827780000016</c:v>
                </c:pt>
                <c:pt idx="552">
                  <c:v>14.209291300000132</c:v>
                </c:pt>
                <c:pt idx="553">
                  <c:v>14.240556100000049</c:v>
                </c:pt>
                <c:pt idx="554">
                  <c:v>14.271950000000288</c:v>
                </c:pt>
                <c:pt idx="555">
                  <c:v>14.303397800000312</c:v>
                </c:pt>
                <c:pt idx="556">
                  <c:v>14.333667700000206</c:v>
                </c:pt>
                <c:pt idx="557">
                  <c:v>14.380823100000271</c:v>
                </c:pt>
                <c:pt idx="558">
                  <c:v>14.411975400000301</c:v>
                </c:pt>
              </c:numCache>
            </c:numRef>
          </c:xVal>
          <c:yVal>
            <c:numRef>
              <c:f>'Maju 0.1'!$L$7:$L$565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23.298999999999999</c:v>
                </c:pt>
                <c:pt idx="172">
                  <c:v>23.561</c:v>
                </c:pt>
                <c:pt idx="173">
                  <c:v>23.823</c:v>
                </c:pt>
                <c:pt idx="174">
                  <c:v>23.823</c:v>
                </c:pt>
                <c:pt idx="175">
                  <c:v>23.692</c:v>
                </c:pt>
                <c:pt idx="176">
                  <c:v>23.298999999999999</c:v>
                </c:pt>
                <c:pt idx="177">
                  <c:v>22.774999999999999</c:v>
                </c:pt>
                <c:pt idx="178">
                  <c:v>22.251000000000001</c:v>
                </c:pt>
                <c:pt idx="179">
                  <c:v>21.465</c:v>
                </c:pt>
                <c:pt idx="180">
                  <c:v>20.678999999999998</c:v>
                </c:pt>
                <c:pt idx="181">
                  <c:v>19.762</c:v>
                </c:pt>
                <c:pt idx="182">
                  <c:v>18.975999999999999</c:v>
                </c:pt>
                <c:pt idx="183">
                  <c:v>17.928000000000001</c:v>
                </c:pt>
                <c:pt idx="184">
                  <c:v>16.748999999999999</c:v>
                </c:pt>
                <c:pt idx="185">
                  <c:v>15.701000000000001</c:v>
                </c:pt>
                <c:pt idx="186">
                  <c:v>14.391</c:v>
                </c:pt>
                <c:pt idx="187">
                  <c:v>13.212</c:v>
                </c:pt>
                <c:pt idx="188">
                  <c:v>12.164</c:v>
                </c:pt>
                <c:pt idx="189">
                  <c:v>11.247</c:v>
                </c:pt>
                <c:pt idx="190">
                  <c:v>27.954999999999998</c:v>
                </c:pt>
                <c:pt idx="191">
                  <c:v>27.3</c:v>
                </c:pt>
                <c:pt idx="192">
                  <c:v>31.477</c:v>
                </c:pt>
                <c:pt idx="193">
                  <c:v>31.215</c:v>
                </c:pt>
                <c:pt idx="194">
                  <c:v>31.608000000000001</c:v>
                </c:pt>
                <c:pt idx="195">
                  <c:v>22.003640000000001</c:v>
                </c:pt>
                <c:pt idx="196">
                  <c:v>22.362200000000001</c:v>
                </c:pt>
                <c:pt idx="197">
                  <c:v>22.5484399999999</c:v>
                </c:pt>
                <c:pt idx="198">
                  <c:v>22.045399999999901</c:v>
                </c:pt>
                <c:pt idx="199">
                  <c:v>21.558079999999901</c:v>
                </c:pt>
                <c:pt idx="200">
                  <c:v>21.0969599999999</c:v>
                </c:pt>
                <c:pt idx="201">
                  <c:v>20.6777599999999</c:v>
                </c:pt>
                <c:pt idx="202">
                  <c:v>20.300479999999901</c:v>
                </c:pt>
                <c:pt idx="203">
                  <c:v>19.954639999999898</c:v>
                </c:pt>
                <c:pt idx="204">
                  <c:v>19.640239999999999</c:v>
                </c:pt>
                <c:pt idx="205">
                  <c:v>19.346800000000002</c:v>
                </c:pt>
                <c:pt idx="206">
                  <c:v>19.084800000000001</c:v>
                </c:pt>
                <c:pt idx="207">
                  <c:v>18.833279999999998</c:v>
                </c:pt>
                <c:pt idx="208">
                  <c:v>18.602719999999898</c:v>
                </c:pt>
                <c:pt idx="209">
                  <c:v>18.382639999999999</c:v>
                </c:pt>
                <c:pt idx="210">
                  <c:v>19.03464</c:v>
                </c:pt>
                <c:pt idx="211">
                  <c:v>19.6814</c:v>
                </c:pt>
                <c:pt idx="212">
                  <c:v>20.312439999999999</c:v>
                </c:pt>
                <c:pt idx="213">
                  <c:v>20.922519999999999</c:v>
                </c:pt>
                <c:pt idx="214">
                  <c:v>21.958159999999999</c:v>
                </c:pt>
                <c:pt idx="215">
                  <c:v>22.709119999999999</c:v>
                </c:pt>
                <c:pt idx="216">
                  <c:v>23.439119999999999</c:v>
                </c:pt>
                <c:pt idx="217">
                  <c:v>23.965359999999901</c:v>
                </c:pt>
                <c:pt idx="218">
                  <c:v>24.4706399999999</c:v>
                </c:pt>
                <c:pt idx="219">
                  <c:v>24.928759999999901</c:v>
                </c:pt>
                <c:pt idx="220">
                  <c:v>25.350199999999901</c:v>
                </c:pt>
                <c:pt idx="221">
                  <c:v>25.729719999999901</c:v>
                </c:pt>
                <c:pt idx="222">
                  <c:v>26.244879999999998</c:v>
                </c:pt>
                <c:pt idx="223">
                  <c:v>27.41788</c:v>
                </c:pt>
                <c:pt idx="224">
                  <c:v>28.548959999999902</c:v>
                </c:pt>
                <c:pt idx="225">
                  <c:v>29.6276399999999</c:v>
                </c:pt>
                <c:pt idx="226">
                  <c:v>30.648679999999999</c:v>
                </c:pt>
                <c:pt idx="227">
                  <c:v>31.617319999999999</c:v>
                </c:pt>
                <c:pt idx="228">
                  <c:v>32.549279999999897</c:v>
                </c:pt>
                <c:pt idx="229">
                  <c:v>33.449800000000003</c:v>
                </c:pt>
                <c:pt idx="230">
                  <c:v>34.329360000000001</c:v>
                </c:pt>
                <c:pt idx="231">
                  <c:v>35.182719999999897</c:v>
                </c:pt>
                <c:pt idx="232">
                  <c:v>36.030839999999998</c:v>
                </c:pt>
                <c:pt idx="233">
                  <c:v>36.878959999999999</c:v>
                </c:pt>
                <c:pt idx="234">
                  <c:v>37.737560000000002</c:v>
                </c:pt>
                <c:pt idx="235">
                  <c:v>37.739800000000002</c:v>
                </c:pt>
                <c:pt idx="236">
                  <c:v>37.768239999999999</c:v>
                </c:pt>
                <c:pt idx="237">
                  <c:v>38.533119999999997</c:v>
                </c:pt>
                <c:pt idx="238">
                  <c:v>39.512239999999998</c:v>
                </c:pt>
                <c:pt idx="239">
                  <c:v>40.076279999999997</c:v>
                </c:pt>
                <c:pt idx="240">
                  <c:v>40.240960000000001</c:v>
                </c:pt>
                <c:pt idx="241">
                  <c:v>40.442320000000002</c:v>
                </c:pt>
                <c:pt idx="242">
                  <c:v>40.67512</c:v>
                </c:pt>
                <c:pt idx="243">
                  <c:v>40.949840000000002</c:v>
                </c:pt>
                <c:pt idx="244">
                  <c:v>41.276960000000003</c:v>
                </c:pt>
                <c:pt idx="245">
                  <c:v>41.661719999999903</c:v>
                </c:pt>
                <c:pt idx="246">
                  <c:v>42.0884</c:v>
                </c:pt>
                <c:pt idx="247">
                  <c:v>42.562240000000003</c:v>
                </c:pt>
                <c:pt idx="248">
                  <c:v>43.067520000000002</c:v>
                </c:pt>
                <c:pt idx="249">
                  <c:v>43.609479999999998</c:v>
                </c:pt>
                <c:pt idx="250">
                  <c:v>43.767799999999902</c:v>
                </c:pt>
                <c:pt idx="252">
                  <c:v>43.547719999999998</c:v>
                </c:pt>
                <c:pt idx="253">
                  <c:v>43.364319999999999</c:v>
                </c:pt>
                <c:pt idx="254">
                  <c:v>43.62744</c:v>
                </c:pt>
                <c:pt idx="255">
                  <c:v>44.33184</c:v>
                </c:pt>
                <c:pt idx="256">
                  <c:v>45.046720000000001</c:v>
                </c:pt>
                <c:pt idx="257">
                  <c:v>45.761600000000001</c:v>
                </c:pt>
                <c:pt idx="258">
                  <c:v>46.476479999999903</c:v>
                </c:pt>
                <c:pt idx="259">
                  <c:v>47.180879999999902</c:v>
                </c:pt>
                <c:pt idx="260">
                  <c:v>47.885280000000002</c:v>
                </c:pt>
                <c:pt idx="261">
                  <c:v>48.600159999999903</c:v>
                </c:pt>
                <c:pt idx="262">
                  <c:v>49.3412399999999</c:v>
                </c:pt>
                <c:pt idx="263">
                  <c:v>49.408760000000001</c:v>
                </c:pt>
                <c:pt idx="264">
                  <c:v>49.3353999999999</c:v>
                </c:pt>
                <c:pt idx="265">
                  <c:v>49.303959999999897</c:v>
                </c:pt>
                <c:pt idx="266">
                  <c:v>49.303959999999996</c:v>
                </c:pt>
                <c:pt idx="267">
                  <c:v>49.324919999999899</c:v>
                </c:pt>
                <c:pt idx="268">
                  <c:v>49.366839999999897</c:v>
                </c:pt>
                <c:pt idx="269">
                  <c:v>49.419240000000002</c:v>
                </c:pt>
                <c:pt idx="270">
                  <c:v>49.476880000000001</c:v>
                </c:pt>
                <c:pt idx="271">
                  <c:v>49.539759999999902</c:v>
                </c:pt>
                <c:pt idx="272">
                  <c:v>49.607880000000002</c:v>
                </c:pt>
                <c:pt idx="273">
                  <c:v>49.27664</c:v>
                </c:pt>
                <c:pt idx="274">
                  <c:v>48.551279999999899</c:v>
                </c:pt>
                <c:pt idx="275">
                  <c:v>47.836399999999998</c:v>
                </c:pt>
                <c:pt idx="276">
                  <c:v>47.552320000000002</c:v>
                </c:pt>
                <c:pt idx="277">
                  <c:v>47.678080000000001</c:v>
                </c:pt>
                <c:pt idx="278">
                  <c:v>47.7986</c:v>
                </c:pt>
                <c:pt idx="279">
                  <c:v>47.483080000000001</c:v>
                </c:pt>
                <c:pt idx="280">
                  <c:v>46.752479999999998</c:v>
                </c:pt>
                <c:pt idx="281">
                  <c:v>46.000919999999901</c:v>
                </c:pt>
                <c:pt idx="282">
                  <c:v>45.907200000000003</c:v>
                </c:pt>
                <c:pt idx="283">
                  <c:v>45.964839999999903</c:v>
                </c:pt>
                <c:pt idx="284">
                  <c:v>46.017240000000001</c:v>
                </c:pt>
                <c:pt idx="285">
                  <c:v>46.048679999999997</c:v>
                </c:pt>
                <c:pt idx="286">
                  <c:v>46.048679999999997</c:v>
                </c:pt>
                <c:pt idx="287">
                  <c:v>46.00676</c:v>
                </c:pt>
                <c:pt idx="288">
                  <c:v>45.755839999999999</c:v>
                </c:pt>
                <c:pt idx="289">
                  <c:v>45.609119999999898</c:v>
                </c:pt>
                <c:pt idx="290">
                  <c:v>45.394280000000002</c:v>
                </c:pt>
                <c:pt idx="291">
                  <c:v>45.11656</c:v>
                </c:pt>
                <c:pt idx="292">
                  <c:v>45.590400000000002</c:v>
                </c:pt>
                <c:pt idx="293">
                  <c:v>45.990879999999997</c:v>
                </c:pt>
                <c:pt idx="294">
                  <c:v>46.307519999999997</c:v>
                </c:pt>
                <c:pt idx="295">
                  <c:v>46.540320000000001</c:v>
                </c:pt>
                <c:pt idx="296">
                  <c:v>46.684039999999897</c:v>
                </c:pt>
                <c:pt idx="297">
                  <c:v>46.738680000000002</c:v>
                </c:pt>
                <c:pt idx="298">
                  <c:v>47.907559999999997</c:v>
                </c:pt>
                <c:pt idx="299">
                  <c:v>49.391959999999997</c:v>
                </c:pt>
                <c:pt idx="300">
                  <c:v>50.792520000000003</c:v>
                </c:pt>
                <c:pt idx="301">
                  <c:v>52.10924</c:v>
                </c:pt>
                <c:pt idx="302">
                  <c:v>53.357839999999896</c:v>
                </c:pt>
                <c:pt idx="303">
                  <c:v>54.527839999999998</c:v>
                </c:pt>
                <c:pt idx="304">
                  <c:v>55.640199999999901</c:v>
                </c:pt>
                <c:pt idx="305">
                  <c:v>57.477919999999997</c:v>
                </c:pt>
                <c:pt idx="306">
                  <c:v>59.278959999999998</c:v>
                </c:pt>
                <c:pt idx="307">
                  <c:v>60.369759999999999</c:v>
                </c:pt>
                <c:pt idx="308">
                  <c:v>61.262039999999999</c:v>
                </c:pt>
                <c:pt idx="309">
                  <c:v>62.516999999999904</c:v>
                </c:pt>
                <c:pt idx="310">
                  <c:v>64.145119999999906</c:v>
                </c:pt>
                <c:pt idx="311">
                  <c:v>65.736559999999898</c:v>
                </c:pt>
                <c:pt idx="312">
                  <c:v>67.291319999999899</c:v>
                </c:pt>
                <c:pt idx="313">
                  <c:v>68.960759999999993</c:v>
                </c:pt>
                <c:pt idx="314">
                  <c:v>70.410719999999998</c:v>
                </c:pt>
                <c:pt idx="315">
                  <c:v>72.61224</c:v>
                </c:pt>
                <c:pt idx="316">
                  <c:v>74.740399999999994</c:v>
                </c:pt>
                <c:pt idx="317">
                  <c:v>75.980760000000004</c:v>
                </c:pt>
                <c:pt idx="318">
                  <c:v>77.967439999999897</c:v>
                </c:pt>
                <c:pt idx="319">
                  <c:v>79.901719999999997</c:v>
                </c:pt>
                <c:pt idx="320">
                  <c:v>81.783599999999893</c:v>
                </c:pt>
                <c:pt idx="321">
                  <c:v>83.618319999999898</c:v>
                </c:pt>
                <c:pt idx="322">
                  <c:v>86.21508</c:v>
                </c:pt>
                <c:pt idx="323">
                  <c:v>87.992159999999899</c:v>
                </c:pt>
                <c:pt idx="324">
                  <c:v>89.743039999999993</c:v>
                </c:pt>
                <c:pt idx="325">
                  <c:v>91.472959999999901</c:v>
                </c:pt>
                <c:pt idx="326">
                  <c:v>93.985879999999995</c:v>
                </c:pt>
                <c:pt idx="327">
                  <c:v>96.4725999999999</c:v>
                </c:pt>
                <c:pt idx="328">
                  <c:v>98.943599999999904</c:v>
                </c:pt>
                <c:pt idx="329">
                  <c:v>101.3884</c:v>
                </c:pt>
                <c:pt idx="330">
                  <c:v>103.01352</c:v>
                </c:pt>
                <c:pt idx="331">
                  <c:v>105.42164</c:v>
                </c:pt>
                <c:pt idx="332">
                  <c:v>107.81404000000001</c:v>
                </c:pt>
                <c:pt idx="333">
                  <c:v>110.175</c:v>
                </c:pt>
                <c:pt idx="334">
                  <c:v>112.648119999999</c:v>
                </c:pt>
                <c:pt idx="335">
                  <c:v>114.967159999999</c:v>
                </c:pt>
                <c:pt idx="336">
                  <c:v>117.146645714285</c:v>
                </c:pt>
                <c:pt idx="337">
                  <c:v>119.418525714285</c:v>
                </c:pt>
                <c:pt idx="338">
                  <c:v>121.674685714285</c:v>
                </c:pt>
                <c:pt idx="339">
                  <c:v>124.734805714285</c:v>
                </c:pt>
                <c:pt idx="340">
                  <c:v>126.93856571428501</c:v>
                </c:pt>
                <c:pt idx="341">
                  <c:v>129.21044571428499</c:v>
                </c:pt>
                <c:pt idx="342">
                  <c:v>131.49804571428501</c:v>
                </c:pt>
                <c:pt idx="343">
                  <c:v>133.80660571428501</c:v>
                </c:pt>
                <c:pt idx="344">
                  <c:v>135.700085714285</c:v>
                </c:pt>
                <c:pt idx="345">
                  <c:v>137.94576571428499</c:v>
                </c:pt>
                <c:pt idx="346">
                  <c:v>141.005885714285</c:v>
                </c:pt>
                <c:pt idx="347">
                  <c:v>143.25680571428501</c:v>
                </c:pt>
                <c:pt idx="348">
                  <c:v>145.492005714285</c:v>
                </c:pt>
                <c:pt idx="349">
                  <c:v>148.34312571428501</c:v>
                </c:pt>
                <c:pt idx="350">
                  <c:v>151.335125714285</c:v>
                </c:pt>
                <c:pt idx="351">
                  <c:v>153.669285714285</c:v>
                </c:pt>
                <c:pt idx="352">
                  <c:v>155.82064571428501</c:v>
                </c:pt>
                <c:pt idx="353">
                  <c:v>157.79444571428499</c:v>
                </c:pt>
                <c:pt idx="354">
                  <c:v>160.702605714285</c:v>
                </c:pt>
                <c:pt idx="355">
                  <c:v>163.59504571428499</c:v>
                </c:pt>
                <c:pt idx="356">
                  <c:v>166.061925714285</c:v>
                </c:pt>
                <c:pt idx="357">
                  <c:v>168.93340571428499</c:v>
                </c:pt>
                <c:pt idx="358">
                  <c:v>171.81536571428501</c:v>
                </c:pt>
                <c:pt idx="359">
                  <c:v>174.15960571428499</c:v>
                </c:pt>
                <c:pt idx="360">
                  <c:v>176.237605714285</c:v>
                </c:pt>
                <c:pt idx="361">
                  <c:v>178.44467999999901</c:v>
                </c:pt>
                <c:pt idx="362">
                  <c:v>181.34759999999901</c:v>
                </c:pt>
                <c:pt idx="363">
                  <c:v>184.271479999999</c:v>
                </c:pt>
                <c:pt idx="364">
                  <c:v>186.407119999999</c:v>
                </c:pt>
                <c:pt idx="365">
                  <c:v>189.550479999999</c:v>
                </c:pt>
                <c:pt idx="366">
                  <c:v>192.75631999999899</c:v>
                </c:pt>
                <c:pt idx="367">
                  <c:v>195.70115999999999</c:v>
                </c:pt>
                <c:pt idx="368">
                  <c:v>197.95015428571401</c:v>
                </c:pt>
                <c:pt idx="369">
                  <c:v>200.50087428571399</c:v>
                </c:pt>
                <c:pt idx="370">
                  <c:v>203.498114285714</c:v>
                </c:pt>
                <c:pt idx="371">
                  <c:v>205.70187428571401</c:v>
                </c:pt>
                <c:pt idx="372">
                  <c:v>207.91087428571399</c:v>
                </c:pt>
                <c:pt idx="373">
                  <c:v>210.647114285714</c:v>
                </c:pt>
                <c:pt idx="374">
                  <c:v>212.92032</c:v>
                </c:pt>
                <c:pt idx="375">
                  <c:v>215.31736000000001</c:v>
                </c:pt>
                <c:pt idx="377">
                  <c:v>217.39595999999901</c:v>
                </c:pt>
                <c:pt idx="378">
                  <c:v>219.64687999999899</c:v>
                </c:pt>
                <c:pt idx="379">
                  <c:v>222.863599999999</c:v>
                </c:pt>
                <c:pt idx="380">
                  <c:v>225.14071999999899</c:v>
                </c:pt>
                <c:pt idx="381">
                  <c:v>227.43355999999901</c:v>
                </c:pt>
                <c:pt idx="382">
                  <c:v>229.98487999999901</c:v>
                </c:pt>
                <c:pt idx="383">
                  <c:v>232.28295999999901</c:v>
                </c:pt>
                <c:pt idx="384">
                  <c:v>234.57579999999899</c:v>
                </c:pt>
                <c:pt idx="385">
                  <c:v>236.86339999999899</c:v>
                </c:pt>
                <c:pt idx="386">
                  <c:v>239.25387428571401</c:v>
                </c:pt>
                <c:pt idx="387">
                  <c:v>242.32447428571399</c:v>
                </c:pt>
                <c:pt idx="388">
                  <c:v>244.59111428571401</c:v>
                </c:pt>
                <c:pt idx="389">
                  <c:v>246.85251428571399</c:v>
                </c:pt>
                <c:pt idx="390">
                  <c:v>249.09819428571399</c:v>
                </c:pt>
                <c:pt idx="391">
                  <c:v>251.05163428571399</c:v>
                </c:pt>
                <c:pt idx="392">
                  <c:v>253.219114285714</c:v>
                </c:pt>
                <c:pt idx="393">
                  <c:v>255.48575428571399</c:v>
                </c:pt>
                <c:pt idx="394">
                  <c:v>257.62331999999998</c:v>
                </c:pt>
                <c:pt idx="395">
                  <c:v>260.69391999999903</c:v>
                </c:pt>
                <c:pt idx="396">
                  <c:v>262.95007999999899</c:v>
                </c:pt>
                <c:pt idx="397">
                  <c:v>265.15384</c:v>
                </c:pt>
                <c:pt idx="398">
                  <c:v>268.13011999999998</c:v>
                </c:pt>
                <c:pt idx="399">
                  <c:v>270.54247999999899</c:v>
                </c:pt>
                <c:pt idx="400">
                  <c:v>272.76527428571399</c:v>
                </c:pt>
                <c:pt idx="401">
                  <c:v>275.08079428571398</c:v>
                </c:pt>
                <c:pt idx="402">
                  <c:v>277.931314285714</c:v>
                </c:pt>
                <c:pt idx="403">
                  <c:v>280.76611428571402</c:v>
                </c:pt>
                <c:pt idx="404">
                  <c:v>283.20679428571401</c:v>
                </c:pt>
                <c:pt idx="405">
                  <c:v>286.067794285714</c:v>
                </c:pt>
                <c:pt idx="406">
                  <c:v>289.07358857142799</c:v>
                </c:pt>
                <c:pt idx="407">
                  <c:v>291.47394285714199</c:v>
                </c:pt>
                <c:pt idx="409">
                  <c:v>293.759617142857</c:v>
                </c:pt>
                <c:pt idx="410">
                  <c:v>296.092451428571</c:v>
                </c:pt>
                <c:pt idx="411">
                  <c:v>298.47244571428502</c:v>
                </c:pt>
                <c:pt idx="412">
                  <c:v>301.48209142857098</c:v>
                </c:pt>
                <c:pt idx="413">
                  <c:v>303.87973142857101</c:v>
                </c:pt>
                <c:pt idx="414">
                  <c:v>306.30357142857099</c:v>
                </c:pt>
                <c:pt idx="415">
                  <c:v>308.80077142857101</c:v>
                </c:pt>
                <c:pt idx="416">
                  <c:v>311.32941142857101</c:v>
                </c:pt>
                <c:pt idx="417">
                  <c:v>313.27357142857102</c:v>
                </c:pt>
                <c:pt idx="418">
                  <c:v>314.92025142857102</c:v>
                </c:pt>
                <c:pt idx="419">
                  <c:v>316.80213142857099</c:v>
                </c:pt>
                <c:pt idx="420">
                  <c:v>319.15149142857098</c:v>
                </c:pt>
                <c:pt idx="421">
                  <c:v>320.99205142857102</c:v>
                </c:pt>
                <c:pt idx="422">
                  <c:v>322.93741142857101</c:v>
                </c:pt>
                <c:pt idx="423">
                  <c:v>324.97185142857097</c:v>
                </c:pt>
                <c:pt idx="424">
                  <c:v>326.32285142857103</c:v>
                </c:pt>
                <c:pt idx="425">
                  <c:v>327.94573142857098</c:v>
                </c:pt>
                <c:pt idx="426">
                  <c:v>329.66817142857099</c:v>
                </c:pt>
                <c:pt idx="427">
                  <c:v>331.096051428571</c:v>
                </c:pt>
                <c:pt idx="428">
                  <c:v>332.22937142857103</c:v>
                </c:pt>
                <c:pt idx="429">
                  <c:v>333.46225142857099</c:v>
                </c:pt>
                <c:pt idx="430">
                  <c:v>334.37437142857101</c:v>
                </c:pt>
                <c:pt idx="431">
                  <c:v>335.417491428571</c:v>
                </c:pt>
                <c:pt idx="432">
                  <c:v>336.40489714285701</c:v>
                </c:pt>
                <c:pt idx="433">
                  <c:v>337.44470285714198</c:v>
                </c:pt>
                <c:pt idx="434">
                  <c:v>338.98342857142802</c:v>
                </c:pt>
                <c:pt idx="435">
                  <c:v>340.600754285714</c:v>
                </c:pt>
                <c:pt idx="436">
                  <c:v>342.19188000000003</c:v>
                </c:pt>
                <c:pt idx="437">
                  <c:v>343.13955999999899</c:v>
                </c:pt>
                <c:pt idx="438">
                  <c:v>344.11344000000003</c:v>
                </c:pt>
                <c:pt idx="439">
                  <c:v>345.16068000000001</c:v>
                </c:pt>
                <c:pt idx="440">
                  <c:v>346.234119999999</c:v>
                </c:pt>
                <c:pt idx="441">
                  <c:v>346.234119999999</c:v>
                </c:pt>
                <c:pt idx="442">
                  <c:v>346.234119999999</c:v>
                </c:pt>
                <c:pt idx="443">
                  <c:v>346.234119999999</c:v>
                </c:pt>
                <c:pt idx="444">
                  <c:v>346.234119999999</c:v>
                </c:pt>
                <c:pt idx="445">
                  <c:v>346.234119999999</c:v>
                </c:pt>
                <c:pt idx="446">
                  <c:v>346.234119999999</c:v>
                </c:pt>
                <c:pt idx="447">
                  <c:v>346.234119999999</c:v>
                </c:pt>
                <c:pt idx="448">
                  <c:v>346.234119999999</c:v>
                </c:pt>
                <c:pt idx="449">
                  <c:v>346.234119999999</c:v>
                </c:pt>
                <c:pt idx="450">
                  <c:v>346.234119999999</c:v>
                </c:pt>
                <c:pt idx="451">
                  <c:v>346.234119999999</c:v>
                </c:pt>
                <c:pt idx="452">
                  <c:v>346.234119999999</c:v>
                </c:pt>
                <c:pt idx="453">
                  <c:v>346.234119999999</c:v>
                </c:pt>
                <c:pt idx="454">
                  <c:v>346.234119999999</c:v>
                </c:pt>
                <c:pt idx="455">
                  <c:v>346.234119999999</c:v>
                </c:pt>
                <c:pt idx="456">
                  <c:v>346.234119999999</c:v>
                </c:pt>
                <c:pt idx="457">
                  <c:v>346.234119999999</c:v>
                </c:pt>
                <c:pt idx="458">
                  <c:v>346.234119999999</c:v>
                </c:pt>
                <c:pt idx="459">
                  <c:v>346.234119999999</c:v>
                </c:pt>
                <c:pt idx="460">
                  <c:v>346.234119999999</c:v>
                </c:pt>
                <c:pt idx="461">
                  <c:v>346.234119999999</c:v>
                </c:pt>
                <c:pt idx="462">
                  <c:v>346.234119999999</c:v>
                </c:pt>
                <c:pt idx="463">
                  <c:v>346.234119999999</c:v>
                </c:pt>
                <c:pt idx="464">
                  <c:v>346.234119999999</c:v>
                </c:pt>
                <c:pt idx="465">
                  <c:v>346.234119999999</c:v>
                </c:pt>
                <c:pt idx="466">
                  <c:v>346.234119999999</c:v>
                </c:pt>
                <c:pt idx="467">
                  <c:v>346.234119999999</c:v>
                </c:pt>
                <c:pt idx="468">
                  <c:v>346.234119999999</c:v>
                </c:pt>
                <c:pt idx="469">
                  <c:v>346.234119999999</c:v>
                </c:pt>
                <c:pt idx="470">
                  <c:v>346.234119999999</c:v>
                </c:pt>
                <c:pt idx="471">
                  <c:v>346.234119999999</c:v>
                </c:pt>
                <c:pt idx="472">
                  <c:v>346.234119999999</c:v>
                </c:pt>
                <c:pt idx="473">
                  <c:v>346.234119999999</c:v>
                </c:pt>
                <c:pt idx="474">
                  <c:v>346.234119999999</c:v>
                </c:pt>
                <c:pt idx="475">
                  <c:v>346.234119999999</c:v>
                </c:pt>
                <c:pt idx="476">
                  <c:v>346.234119999999</c:v>
                </c:pt>
                <c:pt idx="477">
                  <c:v>346.234119999999</c:v>
                </c:pt>
                <c:pt idx="478">
                  <c:v>346.234119999999</c:v>
                </c:pt>
                <c:pt idx="479">
                  <c:v>346.234119999999</c:v>
                </c:pt>
                <c:pt idx="480">
                  <c:v>346.234119999999</c:v>
                </c:pt>
                <c:pt idx="481">
                  <c:v>346.234119999999</c:v>
                </c:pt>
                <c:pt idx="482">
                  <c:v>346.234119999999</c:v>
                </c:pt>
                <c:pt idx="483">
                  <c:v>346.234119999999</c:v>
                </c:pt>
                <c:pt idx="484">
                  <c:v>346.234119999999</c:v>
                </c:pt>
                <c:pt idx="485">
                  <c:v>346.234119999999</c:v>
                </c:pt>
                <c:pt idx="486">
                  <c:v>346.234119999999</c:v>
                </c:pt>
                <c:pt idx="487">
                  <c:v>346.234119999999</c:v>
                </c:pt>
                <c:pt idx="488">
                  <c:v>346.234119999999</c:v>
                </c:pt>
                <c:pt idx="489">
                  <c:v>346.234119999999</c:v>
                </c:pt>
                <c:pt idx="490">
                  <c:v>346.234119999999</c:v>
                </c:pt>
                <c:pt idx="491">
                  <c:v>346.234119999999</c:v>
                </c:pt>
                <c:pt idx="492">
                  <c:v>346.234119999999</c:v>
                </c:pt>
                <c:pt idx="493">
                  <c:v>346.234119999999</c:v>
                </c:pt>
                <c:pt idx="494">
                  <c:v>346.234119999999</c:v>
                </c:pt>
                <c:pt idx="495">
                  <c:v>346.234119999999</c:v>
                </c:pt>
                <c:pt idx="496">
                  <c:v>346.234119999999</c:v>
                </c:pt>
                <c:pt idx="497">
                  <c:v>346.234119999999</c:v>
                </c:pt>
                <c:pt idx="498">
                  <c:v>346.234119999999</c:v>
                </c:pt>
                <c:pt idx="499">
                  <c:v>346.234119999999</c:v>
                </c:pt>
                <c:pt idx="500">
                  <c:v>346.234119999999</c:v>
                </c:pt>
                <c:pt idx="501">
                  <c:v>346.234119999999</c:v>
                </c:pt>
                <c:pt idx="502">
                  <c:v>346.234119999999</c:v>
                </c:pt>
                <c:pt idx="503">
                  <c:v>346.234119999999</c:v>
                </c:pt>
                <c:pt idx="504">
                  <c:v>346.234119999999</c:v>
                </c:pt>
                <c:pt idx="505">
                  <c:v>346.234119999999</c:v>
                </c:pt>
                <c:pt idx="506">
                  <c:v>346.234119999999</c:v>
                </c:pt>
                <c:pt idx="507">
                  <c:v>346.234119999999</c:v>
                </c:pt>
                <c:pt idx="508">
                  <c:v>346.234119999999</c:v>
                </c:pt>
                <c:pt idx="509">
                  <c:v>346.234119999999</c:v>
                </c:pt>
                <c:pt idx="510">
                  <c:v>346.234119999999</c:v>
                </c:pt>
                <c:pt idx="511">
                  <c:v>346.234119999999</c:v>
                </c:pt>
                <c:pt idx="512">
                  <c:v>346.234119999999</c:v>
                </c:pt>
                <c:pt idx="513">
                  <c:v>346.234119999999</c:v>
                </c:pt>
                <c:pt idx="514">
                  <c:v>346.234119999999</c:v>
                </c:pt>
                <c:pt idx="515">
                  <c:v>346.234119999999</c:v>
                </c:pt>
                <c:pt idx="516">
                  <c:v>346.234119999999</c:v>
                </c:pt>
                <c:pt idx="517">
                  <c:v>346.234119999999</c:v>
                </c:pt>
                <c:pt idx="518">
                  <c:v>346.234119999999</c:v>
                </c:pt>
                <c:pt idx="519">
                  <c:v>346.234119999999</c:v>
                </c:pt>
                <c:pt idx="520">
                  <c:v>346.234119999999</c:v>
                </c:pt>
                <c:pt idx="521">
                  <c:v>346.234119999999</c:v>
                </c:pt>
                <c:pt idx="522">
                  <c:v>346.234119999999</c:v>
                </c:pt>
                <c:pt idx="523">
                  <c:v>346.234119999999</c:v>
                </c:pt>
                <c:pt idx="524">
                  <c:v>346.234119999999</c:v>
                </c:pt>
                <c:pt idx="525">
                  <c:v>346.234119999999</c:v>
                </c:pt>
                <c:pt idx="526">
                  <c:v>346.234119999999</c:v>
                </c:pt>
                <c:pt idx="527">
                  <c:v>346.234119999999</c:v>
                </c:pt>
                <c:pt idx="528">
                  <c:v>346.234119999999</c:v>
                </c:pt>
                <c:pt idx="529">
                  <c:v>346.234119999999</c:v>
                </c:pt>
                <c:pt idx="530">
                  <c:v>346.234119999999</c:v>
                </c:pt>
                <c:pt idx="531">
                  <c:v>346.234119999999</c:v>
                </c:pt>
                <c:pt idx="532">
                  <c:v>346.234119999999</c:v>
                </c:pt>
                <c:pt idx="533">
                  <c:v>346.234119999999</c:v>
                </c:pt>
                <c:pt idx="534">
                  <c:v>346.234119999999</c:v>
                </c:pt>
                <c:pt idx="535">
                  <c:v>346.234119999999</c:v>
                </c:pt>
                <c:pt idx="536">
                  <c:v>346.234119999999</c:v>
                </c:pt>
                <c:pt idx="537">
                  <c:v>346.234119999999</c:v>
                </c:pt>
                <c:pt idx="538">
                  <c:v>346.234119999999</c:v>
                </c:pt>
                <c:pt idx="539">
                  <c:v>346.234119999999</c:v>
                </c:pt>
                <c:pt idx="540">
                  <c:v>346.234119999999</c:v>
                </c:pt>
                <c:pt idx="541">
                  <c:v>346.234119999999</c:v>
                </c:pt>
                <c:pt idx="542">
                  <c:v>346.234119999999</c:v>
                </c:pt>
                <c:pt idx="543">
                  <c:v>346.234119999999</c:v>
                </c:pt>
                <c:pt idx="544">
                  <c:v>346.234119999999</c:v>
                </c:pt>
                <c:pt idx="545">
                  <c:v>346.234119999999</c:v>
                </c:pt>
                <c:pt idx="546">
                  <c:v>346.234119999999</c:v>
                </c:pt>
                <c:pt idx="547">
                  <c:v>346.234119999999</c:v>
                </c:pt>
                <c:pt idx="548">
                  <c:v>346.234119999999</c:v>
                </c:pt>
                <c:pt idx="549">
                  <c:v>346.234119999999</c:v>
                </c:pt>
                <c:pt idx="550">
                  <c:v>346.234119999999</c:v>
                </c:pt>
                <c:pt idx="551">
                  <c:v>346.234119999999</c:v>
                </c:pt>
                <c:pt idx="552">
                  <c:v>346.234119999999</c:v>
                </c:pt>
                <c:pt idx="553">
                  <c:v>346.234119999999</c:v>
                </c:pt>
                <c:pt idx="554">
                  <c:v>346.234119999999</c:v>
                </c:pt>
                <c:pt idx="555">
                  <c:v>346.234119999999</c:v>
                </c:pt>
                <c:pt idx="556">
                  <c:v>346.234119999999</c:v>
                </c:pt>
                <c:pt idx="557">
                  <c:v>346.234119999999</c:v>
                </c:pt>
                <c:pt idx="558">
                  <c:v>346.234119999999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92-4ABA-A25D-0A3B993FDED1}"/>
            </c:ext>
          </c:extLst>
        </c:ser>
        <c:ser>
          <c:idx val="6"/>
          <c:order val="2"/>
          <c:tx>
            <c:strRef>
              <c:f>'Maju 0.1'!$M$6</c:f>
              <c:strCache>
                <c:ptCount val="1"/>
                <c:pt idx="0">
                  <c:v>'estimator'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'Maju 0.1'!$D$7:$D$565</c:f>
              <c:numCache>
                <c:formatCode>0.000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5.2989000000707165E-3</c:v>
                </c:pt>
                <c:pt idx="3">
                  <c:v>9.2048999999860825E-3</c:v>
                </c:pt>
                <c:pt idx="4">
                  <c:v>2.7168100000380946E-2</c:v>
                </c:pt>
                <c:pt idx="5">
                  <c:v>4.3313000000125612E-2</c:v>
                </c:pt>
                <c:pt idx="6">
                  <c:v>5.8556899999985035E-2</c:v>
                </c:pt>
                <c:pt idx="7">
                  <c:v>7.4511200000415556E-2</c:v>
                </c:pt>
                <c:pt idx="8">
                  <c:v>8.9335699999992357E-2</c:v>
                </c:pt>
                <c:pt idx="9">
                  <c:v>0.10529730000007476</c:v>
                </c:pt>
                <c:pt idx="10">
                  <c:v>0.12134990000004109</c:v>
                </c:pt>
                <c:pt idx="11">
                  <c:v>0.13719690000016271</c:v>
                </c:pt>
                <c:pt idx="12">
                  <c:v>0.15306950000012876</c:v>
                </c:pt>
                <c:pt idx="13">
                  <c:v>0.16923990000032063</c:v>
                </c:pt>
                <c:pt idx="14">
                  <c:v>0.18482170000015685</c:v>
                </c:pt>
                <c:pt idx="15">
                  <c:v>0.20079230000010284</c:v>
                </c:pt>
                <c:pt idx="16">
                  <c:v>0.21585990000039601</c:v>
                </c:pt>
                <c:pt idx="17">
                  <c:v>0.23115530000040962</c:v>
                </c:pt>
                <c:pt idx="18">
                  <c:v>0.24731440000005023</c:v>
                </c:pt>
                <c:pt idx="19">
                  <c:v>0.26257580000037706</c:v>
                </c:pt>
                <c:pt idx="20">
                  <c:v>0.2780137000004288</c:v>
                </c:pt>
                <c:pt idx="21">
                  <c:v>0.2941795000001548</c:v>
                </c:pt>
                <c:pt idx="22">
                  <c:v>0.30981510000037815</c:v>
                </c:pt>
                <c:pt idx="23">
                  <c:v>0.32596110000031331</c:v>
                </c:pt>
                <c:pt idx="24">
                  <c:v>0.34174560000019483</c:v>
                </c:pt>
                <c:pt idx="25">
                  <c:v>0.35752370000000155</c:v>
                </c:pt>
                <c:pt idx="26">
                  <c:v>0.37302320000026157</c:v>
                </c:pt>
                <c:pt idx="27">
                  <c:v>0.38870820000011008</c:v>
                </c:pt>
                <c:pt idx="28">
                  <c:v>0.40394320000041262</c:v>
                </c:pt>
                <c:pt idx="29">
                  <c:v>0.4197916000002806</c:v>
                </c:pt>
                <c:pt idx="30">
                  <c:v>0.43575710000004619</c:v>
                </c:pt>
                <c:pt idx="31">
                  <c:v>0.45149400000036621</c:v>
                </c:pt>
                <c:pt idx="32">
                  <c:v>0.46699660000012955</c:v>
                </c:pt>
                <c:pt idx="33">
                  <c:v>0.4830205000002934</c:v>
                </c:pt>
                <c:pt idx="34">
                  <c:v>0.49845470000036585</c:v>
                </c:pt>
                <c:pt idx="35">
                  <c:v>0.51411460000008447</c:v>
                </c:pt>
                <c:pt idx="36">
                  <c:v>0.52958090000038283</c:v>
                </c:pt>
                <c:pt idx="37">
                  <c:v>0.54471950000015568</c:v>
                </c:pt>
                <c:pt idx="38">
                  <c:v>0.55994790000022476</c:v>
                </c:pt>
                <c:pt idx="39">
                  <c:v>0.57620560000032128</c:v>
                </c:pt>
                <c:pt idx="40">
                  <c:v>0.59083770000006552</c:v>
                </c:pt>
                <c:pt idx="41">
                  <c:v>0.60626369999999952</c:v>
                </c:pt>
                <c:pt idx="42">
                  <c:v>0.6214124000002812</c:v>
                </c:pt>
                <c:pt idx="43">
                  <c:v>0.63753459999998086</c:v>
                </c:pt>
                <c:pt idx="44">
                  <c:v>0.65260699999998906</c:v>
                </c:pt>
                <c:pt idx="45">
                  <c:v>0.66794340000024022</c:v>
                </c:pt>
                <c:pt idx="46">
                  <c:v>0.68331380000017816</c:v>
                </c:pt>
                <c:pt idx="47">
                  <c:v>0.69856420000041908</c:v>
                </c:pt>
                <c:pt idx="48">
                  <c:v>0.7138716000004024</c:v>
                </c:pt>
                <c:pt idx="49">
                  <c:v>0.73025120000011157</c:v>
                </c:pt>
                <c:pt idx="50">
                  <c:v>0.74559630000021571</c:v>
                </c:pt>
                <c:pt idx="51">
                  <c:v>0.7610821000002943</c:v>
                </c:pt>
                <c:pt idx="52">
                  <c:v>0.77641560000029131</c:v>
                </c:pt>
                <c:pt idx="53">
                  <c:v>0.79153070000029402</c:v>
                </c:pt>
                <c:pt idx="54">
                  <c:v>0.80748250000033295</c:v>
                </c:pt>
                <c:pt idx="55">
                  <c:v>0.82297660000040196</c:v>
                </c:pt>
                <c:pt idx="56">
                  <c:v>0.83904410000013741</c:v>
                </c:pt>
                <c:pt idx="57">
                  <c:v>0.85417240000015227</c:v>
                </c:pt>
                <c:pt idx="58">
                  <c:v>0.86972920000016529</c:v>
                </c:pt>
                <c:pt idx="59">
                  <c:v>0.88524850000021615</c:v>
                </c:pt>
                <c:pt idx="60">
                  <c:v>0.90091920000031678</c:v>
                </c:pt>
                <c:pt idx="61">
                  <c:v>0.90367850000029648</c:v>
                </c:pt>
                <c:pt idx="62">
                  <c:v>0.91670670000030441</c:v>
                </c:pt>
                <c:pt idx="63">
                  <c:v>0.93219020000015007</c:v>
                </c:pt>
                <c:pt idx="64">
                  <c:v>0.94763220000004367</c:v>
                </c:pt>
                <c:pt idx="65">
                  <c:v>0.96272680000038235</c:v>
                </c:pt>
                <c:pt idx="66">
                  <c:v>0.97808190000023387</c:v>
                </c:pt>
                <c:pt idx="67">
                  <c:v>0.9934240000002319</c:v>
                </c:pt>
                <c:pt idx="68">
                  <c:v>1.0095186000003196</c:v>
                </c:pt>
                <c:pt idx="69">
                  <c:v>1.0249522000003708</c:v>
                </c:pt>
                <c:pt idx="70">
                  <c:v>1.0401796000001013</c:v>
                </c:pt>
                <c:pt idx="71">
                  <c:v>1.055965400000332</c:v>
                </c:pt>
                <c:pt idx="72">
                  <c:v>1.0718302000000222</c:v>
                </c:pt>
                <c:pt idx="73">
                  <c:v>1.0875557000003937</c:v>
                </c:pt>
                <c:pt idx="74">
                  <c:v>1.1028458000000683</c:v>
                </c:pt>
                <c:pt idx="75">
                  <c:v>1.1188025999999809</c:v>
                </c:pt>
                <c:pt idx="76">
                  <c:v>1.1348634000000857</c:v>
                </c:pt>
                <c:pt idx="77">
                  <c:v>1.1506616000001486</c:v>
                </c:pt>
                <c:pt idx="78">
                  <c:v>1.1660625000004075</c:v>
                </c:pt>
                <c:pt idx="79">
                  <c:v>1.1819746000001032</c:v>
                </c:pt>
                <c:pt idx="80">
                  <c:v>1.197920300000078</c:v>
                </c:pt>
                <c:pt idx="81">
                  <c:v>1.2132191000000603</c:v>
                </c:pt>
                <c:pt idx="82">
                  <c:v>1.2292172000002211</c:v>
                </c:pt>
                <c:pt idx="83">
                  <c:v>1.2446591000002627</c:v>
                </c:pt>
                <c:pt idx="84">
                  <c:v>1.2601951999999983</c:v>
                </c:pt>
                <c:pt idx="85">
                  <c:v>1.2756392000001142</c:v>
                </c:pt>
                <c:pt idx="86">
                  <c:v>1.2915996000001542</c:v>
                </c:pt>
                <c:pt idx="87">
                  <c:v>1.3068004000001565</c:v>
                </c:pt>
                <c:pt idx="88">
                  <c:v>1.3228144000004249</c:v>
                </c:pt>
                <c:pt idx="89">
                  <c:v>1.338255300000128</c:v>
                </c:pt>
                <c:pt idx="90">
                  <c:v>1.3536158000001706</c:v>
                </c:pt>
                <c:pt idx="91">
                  <c:v>1.3692170000003898</c:v>
                </c:pt>
                <c:pt idx="92">
                  <c:v>1.3851982000001044</c:v>
                </c:pt>
                <c:pt idx="93">
                  <c:v>1.4013238000002275</c:v>
                </c:pt>
                <c:pt idx="94">
                  <c:v>1.4175716000004286</c:v>
                </c:pt>
                <c:pt idx="95">
                  <c:v>1.433107000000291</c:v>
                </c:pt>
                <c:pt idx="96">
                  <c:v>1.4486382000000049</c:v>
                </c:pt>
                <c:pt idx="97">
                  <c:v>1.464110900000378</c:v>
                </c:pt>
                <c:pt idx="98">
                  <c:v>1.4797096000002057</c:v>
                </c:pt>
                <c:pt idx="99">
                  <c:v>1.4950284000001375</c:v>
                </c:pt>
                <c:pt idx="100">
                  <c:v>1.511221100000057</c:v>
                </c:pt>
                <c:pt idx="101">
                  <c:v>1.5267674000001534</c:v>
                </c:pt>
                <c:pt idx="102">
                  <c:v>1.542782200000147</c:v>
                </c:pt>
                <c:pt idx="103">
                  <c:v>1.5579615000001468</c:v>
                </c:pt>
                <c:pt idx="104">
                  <c:v>1.573585400000411</c:v>
                </c:pt>
                <c:pt idx="105">
                  <c:v>1.589252000000215</c:v>
                </c:pt>
                <c:pt idx="106">
                  <c:v>1.603999400000248</c:v>
                </c:pt>
                <c:pt idx="107">
                  <c:v>1.6198876000003111</c:v>
                </c:pt>
                <c:pt idx="108">
                  <c:v>1.6361267000002044</c:v>
                </c:pt>
                <c:pt idx="109">
                  <c:v>1.6512564000004204</c:v>
                </c:pt>
                <c:pt idx="110">
                  <c:v>1.6663169000003109</c:v>
                </c:pt>
                <c:pt idx="111">
                  <c:v>1.6817897000000812</c:v>
                </c:pt>
                <c:pt idx="112">
                  <c:v>1.6973350000002938</c:v>
                </c:pt>
                <c:pt idx="113">
                  <c:v>1.7125753000000259</c:v>
                </c:pt>
                <c:pt idx="114">
                  <c:v>1.7276518000003307</c:v>
                </c:pt>
                <c:pt idx="115">
                  <c:v>1.7429422000000159</c:v>
                </c:pt>
                <c:pt idx="116">
                  <c:v>1.7582855000000563</c:v>
                </c:pt>
                <c:pt idx="117">
                  <c:v>1.773996200000056</c:v>
                </c:pt>
                <c:pt idx="118">
                  <c:v>1.7897581000001992</c:v>
                </c:pt>
                <c:pt idx="119">
                  <c:v>1.8050165000004199</c:v>
                </c:pt>
                <c:pt idx="120">
                  <c:v>1.8200581000000966</c:v>
                </c:pt>
                <c:pt idx="121">
                  <c:v>1.8358427000002848</c:v>
                </c:pt>
                <c:pt idx="122">
                  <c:v>1.8507931000003737</c:v>
                </c:pt>
                <c:pt idx="123">
                  <c:v>1.8669764000001123</c:v>
                </c:pt>
                <c:pt idx="124">
                  <c:v>1.8826533000001291</c:v>
                </c:pt>
                <c:pt idx="125">
                  <c:v>1.8972933000000012</c:v>
                </c:pt>
                <c:pt idx="126">
                  <c:v>1.9133269000003565</c:v>
                </c:pt>
                <c:pt idx="127">
                  <c:v>1.9296000000003914</c:v>
                </c:pt>
                <c:pt idx="128">
                  <c:v>1.9452049000001352</c:v>
                </c:pt>
                <c:pt idx="129">
                  <c:v>1.9606398000000809</c:v>
                </c:pt>
                <c:pt idx="130">
                  <c:v>1.9759725000003527</c:v>
                </c:pt>
                <c:pt idx="131">
                  <c:v>1.9914278000001104</c:v>
                </c:pt>
                <c:pt idx="132">
                  <c:v>2.0069760000001224</c:v>
                </c:pt>
                <c:pt idx="133">
                  <c:v>2.0227060000001984</c:v>
                </c:pt>
                <c:pt idx="134">
                  <c:v>2.0380438000001959</c:v>
                </c:pt>
                <c:pt idx="135">
                  <c:v>2.0530307000003631</c:v>
                </c:pt>
                <c:pt idx="136">
                  <c:v>2.0684856000002583</c:v>
                </c:pt>
                <c:pt idx="137">
                  <c:v>2.0836755000000267</c:v>
                </c:pt>
                <c:pt idx="138">
                  <c:v>2.0990962000000764</c:v>
                </c:pt>
                <c:pt idx="139">
                  <c:v>2.1141289000001962</c:v>
                </c:pt>
                <c:pt idx="140">
                  <c:v>2.1296484000004057</c:v>
                </c:pt>
                <c:pt idx="141">
                  <c:v>2.1453720000004068</c:v>
                </c:pt>
                <c:pt idx="142">
                  <c:v>2.1608561000002737</c:v>
                </c:pt>
                <c:pt idx="143">
                  <c:v>2.1762023000001136</c:v>
                </c:pt>
                <c:pt idx="144">
                  <c:v>2.191330999999991</c:v>
                </c:pt>
                <c:pt idx="145">
                  <c:v>2.2065747000001465</c:v>
                </c:pt>
                <c:pt idx="146">
                  <c:v>2.2223314000002574</c:v>
                </c:pt>
                <c:pt idx="147">
                  <c:v>2.2377394000000095</c:v>
                </c:pt>
                <c:pt idx="148">
                  <c:v>2.2529523000002882</c:v>
                </c:pt>
                <c:pt idx="149">
                  <c:v>2.2684573999999884</c:v>
                </c:pt>
                <c:pt idx="150">
                  <c:v>2.2840030000002116</c:v>
                </c:pt>
                <c:pt idx="151">
                  <c:v>2.2868802000002688</c:v>
                </c:pt>
                <c:pt idx="152">
                  <c:v>2.2995488000001387</c:v>
                </c:pt>
                <c:pt idx="153">
                  <c:v>2.3149207999999817</c:v>
                </c:pt>
                <c:pt idx="154">
                  <c:v>2.3300423000000592</c:v>
                </c:pt>
                <c:pt idx="155">
                  <c:v>2.3454623000002357</c:v>
                </c:pt>
                <c:pt idx="156">
                  <c:v>2.3615370000002258</c:v>
                </c:pt>
                <c:pt idx="157">
                  <c:v>2.3767136000001301</c:v>
                </c:pt>
                <c:pt idx="158">
                  <c:v>2.3927026000001206</c:v>
                </c:pt>
                <c:pt idx="159">
                  <c:v>2.4083026000002974</c:v>
                </c:pt>
                <c:pt idx="160">
                  <c:v>2.4243546000002425</c:v>
                </c:pt>
                <c:pt idx="161">
                  <c:v>2.4402967000000899</c:v>
                </c:pt>
                <c:pt idx="162">
                  <c:v>2.4554897000002711</c:v>
                </c:pt>
                <c:pt idx="163">
                  <c:v>2.4712208000000828</c:v>
                </c:pt>
                <c:pt idx="164">
                  <c:v>2.4867932000001929</c:v>
                </c:pt>
                <c:pt idx="165">
                  <c:v>2.5027567000001909</c:v>
                </c:pt>
                <c:pt idx="166">
                  <c:v>2.5181257000003825</c:v>
                </c:pt>
                <c:pt idx="167">
                  <c:v>2.5331108000000313</c:v>
                </c:pt>
                <c:pt idx="168">
                  <c:v>2.5489589000003434</c:v>
                </c:pt>
                <c:pt idx="169">
                  <c:v>2.5650508000003356</c:v>
                </c:pt>
                <c:pt idx="170">
                  <c:v>2.5803182000004199</c:v>
                </c:pt>
                <c:pt idx="171">
                  <c:v>2.5957627000002503</c:v>
                </c:pt>
                <c:pt idx="172">
                  <c:v>2.6111039000002165</c:v>
                </c:pt>
                <c:pt idx="173">
                  <c:v>2.6267086000002564</c:v>
                </c:pt>
                <c:pt idx="174">
                  <c:v>2.6419436000001042</c:v>
                </c:pt>
                <c:pt idx="175">
                  <c:v>2.6580228000002535</c:v>
                </c:pt>
                <c:pt idx="176">
                  <c:v>2.6738740000000689</c:v>
                </c:pt>
                <c:pt idx="177">
                  <c:v>2.6894137000003866</c:v>
                </c:pt>
                <c:pt idx="178">
                  <c:v>2.7046626000001197</c:v>
                </c:pt>
                <c:pt idx="179">
                  <c:v>2.7199347000000671</c:v>
                </c:pt>
                <c:pt idx="180">
                  <c:v>2.7358025000003181</c:v>
                </c:pt>
                <c:pt idx="181">
                  <c:v>2.7508734000002733</c:v>
                </c:pt>
                <c:pt idx="182">
                  <c:v>2.7659552000000076</c:v>
                </c:pt>
                <c:pt idx="183">
                  <c:v>2.7808774000000085</c:v>
                </c:pt>
                <c:pt idx="184">
                  <c:v>2.7956675000000359</c:v>
                </c:pt>
                <c:pt idx="185">
                  <c:v>2.811707800000022</c:v>
                </c:pt>
                <c:pt idx="186">
                  <c:v>2.8270329000001766</c:v>
                </c:pt>
                <c:pt idx="187">
                  <c:v>2.8423720000000685</c:v>
                </c:pt>
                <c:pt idx="188">
                  <c:v>2.858502700000372</c:v>
                </c:pt>
                <c:pt idx="189">
                  <c:v>2.8740185000001475</c:v>
                </c:pt>
                <c:pt idx="190">
                  <c:v>2.8900909000003594</c:v>
                </c:pt>
                <c:pt idx="191">
                  <c:v>2.9053735000002234</c:v>
                </c:pt>
                <c:pt idx="192">
                  <c:v>2.921306100000038</c:v>
                </c:pt>
                <c:pt idx="193">
                  <c:v>2.9369955000001937</c:v>
                </c:pt>
                <c:pt idx="194">
                  <c:v>2.9526253000003635</c:v>
                </c:pt>
                <c:pt idx="195">
                  <c:v>2.9675974000001588</c:v>
                </c:pt>
                <c:pt idx="196">
                  <c:v>2.9831733000000895</c:v>
                </c:pt>
                <c:pt idx="197">
                  <c:v>2.9984130000002551</c:v>
                </c:pt>
                <c:pt idx="198">
                  <c:v>3.0135693000001993</c:v>
                </c:pt>
                <c:pt idx="199">
                  <c:v>3.0290494000000763</c:v>
                </c:pt>
                <c:pt idx="200">
                  <c:v>3.0444785000004231</c:v>
                </c:pt>
                <c:pt idx="201">
                  <c:v>3.0598500000000968</c:v>
                </c:pt>
                <c:pt idx="202">
                  <c:v>3.0750644000004286</c:v>
                </c:pt>
                <c:pt idx="203">
                  <c:v>3.0904241000002912</c:v>
                </c:pt>
                <c:pt idx="204">
                  <c:v>3.1064377000002423</c:v>
                </c:pt>
                <c:pt idx="205">
                  <c:v>3.1225518000001102</c:v>
                </c:pt>
                <c:pt idx="206">
                  <c:v>3.138448800000333</c:v>
                </c:pt>
                <c:pt idx="207">
                  <c:v>3.1540184000000409</c:v>
                </c:pt>
                <c:pt idx="208">
                  <c:v>3.1689089999999851</c:v>
                </c:pt>
                <c:pt idx="209">
                  <c:v>3.1849315000004026</c:v>
                </c:pt>
                <c:pt idx="210">
                  <c:v>3.2003816000001279</c:v>
                </c:pt>
                <c:pt idx="211">
                  <c:v>3.2153074000002562</c:v>
                </c:pt>
                <c:pt idx="212">
                  <c:v>3.2629249999999956</c:v>
                </c:pt>
                <c:pt idx="213">
                  <c:v>3.2789824000001317</c:v>
                </c:pt>
                <c:pt idx="214">
                  <c:v>3.2943454000001111</c:v>
                </c:pt>
                <c:pt idx="215">
                  <c:v>3.3418642999999975</c:v>
                </c:pt>
                <c:pt idx="216">
                  <c:v>3.357551400000375</c:v>
                </c:pt>
                <c:pt idx="217">
                  <c:v>3.4502027000003181</c:v>
                </c:pt>
                <c:pt idx="218">
                  <c:v>3.466481400000248</c:v>
                </c:pt>
                <c:pt idx="219">
                  <c:v>3.4815856000000167</c:v>
                </c:pt>
                <c:pt idx="220">
                  <c:v>3.496932100000322</c:v>
                </c:pt>
                <c:pt idx="221">
                  <c:v>3.5277230000001509</c:v>
                </c:pt>
                <c:pt idx="222">
                  <c:v>3.5595329000002494</c:v>
                </c:pt>
                <c:pt idx="223">
                  <c:v>3.590596000000005</c:v>
                </c:pt>
                <c:pt idx="224">
                  <c:v>3.6220025000002352</c:v>
                </c:pt>
                <c:pt idx="225">
                  <c:v>3.6521181000002798</c:v>
                </c:pt>
                <c:pt idx="226">
                  <c:v>3.7453942000001916</c:v>
                </c:pt>
                <c:pt idx="227">
                  <c:v>3.7610059000003275</c:v>
                </c:pt>
                <c:pt idx="228">
                  <c:v>3.7763112000002366</c:v>
                </c:pt>
                <c:pt idx="229">
                  <c:v>3.7926324000000022</c:v>
                </c:pt>
                <c:pt idx="230">
                  <c:v>3.8087636000000202</c:v>
                </c:pt>
                <c:pt idx="231">
                  <c:v>3.8874061999999867</c:v>
                </c:pt>
                <c:pt idx="232">
                  <c:v>3.9030201000000488</c:v>
                </c:pt>
                <c:pt idx="233">
                  <c:v>3.9183447000000342</c:v>
                </c:pt>
                <c:pt idx="234">
                  <c:v>3.9338287000000491</c:v>
                </c:pt>
                <c:pt idx="235">
                  <c:v>3.9800678999999946</c:v>
                </c:pt>
                <c:pt idx="236">
                  <c:v>3.995798900000409</c:v>
                </c:pt>
                <c:pt idx="237">
                  <c:v>4.0423875999999836</c:v>
                </c:pt>
                <c:pt idx="238">
                  <c:v>4.0739817000003313</c:v>
                </c:pt>
                <c:pt idx="239">
                  <c:v>4.1044402000002265</c:v>
                </c:pt>
                <c:pt idx="240">
                  <c:v>4.1355275000000802</c:v>
                </c:pt>
                <c:pt idx="241">
                  <c:v>4.1654601000000184</c:v>
                </c:pt>
                <c:pt idx="242">
                  <c:v>4.1966453000000001</c:v>
                </c:pt>
                <c:pt idx="243">
                  <c:v>4.2278092000001379</c:v>
                </c:pt>
                <c:pt idx="244">
                  <c:v>4.2745982000001277</c:v>
                </c:pt>
                <c:pt idx="245">
                  <c:v>4.3050646000001507</c:v>
                </c:pt>
                <c:pt idx="246">
                  <c:v>4.3357205000002068</c:v>
                </c:pt>
                <c:pt idx="247">
                  <c:v>4.3668618000001516</c:v>
                </c:pt>
                <c:pt idx="248">
                  <c:v>4.3979300000000876</c:v>
                </c:pt>
                <c:pt idx="249">
                  <c:v>4.4284158000000389</c:v>
                </c:pt>
                <c:pt idx="250">
                  <c:v>4.4752190000003793</c:v>
                </c:pt>
                <c:pt idx="251">
                  <c:v>4.5070405000001301</c:v>
                </c:pt>
                <c:pt idx="252">
                  <c:v>4.5080405000001305</c:v>
                </c:pt>
                <c:pt idx="253">
                  <c:v>4.537615900000219</c:v>
                </c:pt>
                <c:pt idx="254">
                  <c:v>4.5528210000002218</c:v>
                </c:pt>
                <c:pt idx="255">
                  <c:v>4.5840331000003971</c:v>
                </c:pt>
                <c:pt idx="256">
                  <c:v>4.6146783000003779</c:v>
                </c:pt>
                <c:pt idx="257">
                  <c:v>4.6612142000003587</c:v>
                </c:pt>
                <c:pt idx="258">
                  <c:v>4.6927078000003348</c:v>
                </c:pt>
                <c:pt idx="259">
                  <c:v>4.7241723000001912</c:v>
                </c:pt>
                <c:pt idx="260">
                  <c:v>4.7552841000001536</c:v>
                </c:pt>
                <c:pt idx="261">
                  <c:v>4.7871487000002162</c:v>
                </c:pt>
                <c:pt idx="262">
                  <c:v>4.8184103000003233</c:v>
                </c:pt>
                <c:pt idx="263">
                  <c:v>4.8648840000000746</c:v>
                </c:pt>
                <c:pt idx="264">
                  <c:v>4.8959517000002961</c:v>
                </c:pt>
                <c:pt idx="265">
                  <c:v>4.9267509000001155</c:v>
                </c:pt>
                <c:pt idx="266">
                  <c:v>4.9738620000002811</c:v>
                </c:pt>
                <c:pt idx="267">
                  <c:v>4.9892149000002064</c:v>
                </c:pt>
                <c:pt idx="268">
                  <c:v>5.0212012000001778</c:v>
                </c:pt>
                <c:pt idx="269">
                  <c:v>5.0516725000002225</c:v>
                </c:pt>
                <c:pt idx="270">
                  <c:v>5.0827851000003648</c:v>
                </c:pt>
                <c:pt idx="271">
                  <c:v>5.1137316000003921</c:v>
                </c:pt>
                <c:pt idx="272">
                  <c:v>5.1452981000002183</c:v>
                </c:pt>
                <c:pt idx="273">
                  <c:v>5.1763471000003847</c:v>
                </c:pt>
                <c:pt idx="274">
                  <c:v>5.206453700000111</c:v>
                </c:pt>
                <c:pt idx="275">
                  <c:v>5.2538562000004276</c:v>
                </c:pt>
                <c:pt idx="276">
                  <c:v>5.2850330000001122</c:v>
                </c:pt>
                <c:pt idx="277">
                  <c:v>5.3151507000002312</c:v>
                </c:pt>
                <c:pt idx="278">
                  <c:v>5.3462414000000535</c:v>
                </c:pt>
                <c:pt idx="279">
                  <c:v>5.3769308000000819</c:v>
                </c:pt>
                <c:pt idx="280">
                  <c:v>5.4089211000000432</c:v>
                </c:pt>
                <c:pt idx="281">
                  <c:v>5.4551541000000725</c:v>
                </c:pt>
                <c:pt idx="282">
                  <c:v>5.4857228000000759</c:v>
                </c:pt>
                <c:pt idx="283">
                  <c:v>5.5166819000000942</c:v>
                </c:pt>
                <c:pt idx="284">
                  <c:v>5.5484199000002263</c:v>
                </c:pt>
                <c:pt idx="285">
                  <c:v>5.5797838000003139</c:v>
                </c:pt>
                <c:pt idx="286">
                  <c:v>5.6095580000001064</c:v>
                </c:pt>
                <c:pt idx="287">
                  <c:v>5.6410262000003968</c:v>
                </c:pt>
                <c:pt idx="288">
                  <c:v>5.6720820000000458</c:v>
                </c:pt>
                <c:pt idx="289">
                  <c:v>5.7036822000000029</c:v>
                </c:pt>
                <c:pt idx="290">
                  <c:v>5.7347582000002149</c:v>
                </c:pt>
                <c:pt idx="291">
                  <c:v>5.7660101999999824</c:v>
                </c:pt>
                <c:pt idx="292">
                  <c:v>5.7983756000003268</c:v>
                </c:pt>
                <c:pt idx="293">
                  <c:v>5.8292917000003399</c:v>
                </c:pt>
                <c:pt idx="294">
                  <c:v>5.8760879999999815</c:v>
                </c:pt>
                <c:pt idx="295">
                  <c:v>5.9069489000003159</c:v>
                </c:pt>
                <c:pt idx="296">
                  <c:v>5.9376335000001745</c:v>
                </c:pt>
                <c:pt idx="297">
                  <c:v>5.9686227000001963</c:v>
                </c:pt>
                <c:pt idx="298">
                  <c:v>5.999062700000195</c:v>
                </c:pt>
                <c:pt idx="299">
                  <c:v>6.0304338000000826</c:v>
                </c:pt>
                <c:pt idx="300">
                  <c:v>6.0618288000000575</c:v>
                </c:pt>
                <c:pt idx="301">
                  <c:v>6.0927022000000761</c:v>
                </c:pt>
                <c:pt idx="302">
                  <c:v>6.1397364000004018</c:v>
                </c:pt>
                <c:pt idx="303">
                  <c:v>6.1711775000003399</c:v>
                </c:pt>
                <c:pt idx="304">
                  <c:v>6.1872160000002623</c:v>
                </c:pt>
                <c:pt idx="305">
                  <c:v>6.2184366000001319</c:v>
                </c:pt>
                <c:pt idx="306">
                  <c:v>6.2489861000003657</c:v>
                </c:pt>
                <c:pt idx="307">
                  <c:v>6.2801828999999998</c:v>
                </c:pt>
                <c:pt idx="308">
                  <c:v>6.3263348000000406</c:v>
                </c:pt>
                <c:pt idx="309">
                  <c:v>6.3577290000002904</c:v>
                </c:pt>
                <c:pt idx="310">
                  <c:v>6.3879193000002488</c:v>
                </c:pt>
                <c:pt idx="311">
                  <c:v>6.4188283000003139</c:v>
                </c:pt>
                <c:pt idx="312">
                  <c:v>6.4498166000003039</c:v>
                </c:pt>
                <c:pt idx="313">
                  <c:v>6.4810206000001926</c:v>
                </c:pt>
                <c:pt idx="314">
                  <c:v>6.5271981000000778</c:v>
                </c:pt>
                <c:pt idx="315">
                  <c:v>6.5573610000001281</c:v>
                </c:pt>
                <c:pt idx="316">
                  <c:v>6.5885600000001432</c:v>
                </c:pt>
                <c:pt idx="317">
                  <c:v>6.6192061000001559</c:v>
                </c:pt>
                <c:pt idx="318">
                  <c:v>6.6495939999999791</c:v>
                </c:pt>
                <c:pt idx="319">
                  <c:v>6.6809850000004189</c:v>
                </c:pt>
                <c:pt idx="320">
                  <c:v>6.7279085000000123</c:v>
                </c:pt>
                <c:pt idx="321">
                  <c:v>6.7590113000001111</c:v>
                </c:pt>
                <c:pt idx="322">
                  <c:v>6.7899225000001024</c:v>
                </c:pt>
                <c:pt idx="323">
                  <c:v>6.8056283000000803</c:v>
                </c:pt>
                <c:pt idx="324">
                  <c:v>6.8376799000002393</c:v>
                </c:pt>
                <c:pt idx="325">
                  <c:v>6.8684104000003572</c:v>
                </c:pt>
                <c:pt idx="326">
                  <c:v>6.9149276000002828</c:v>
                </c:pt>
                <c:pt idx="327">
                  <c:v>6.946722900000168</c:v>
                </c:pt>
                <c:pt idx="328">
                  <c:v>6.9777452000002995</c:v>
                </c:pt>
                <c:pt idx="329">
                  <c:v>7.0080390000002808</c:v>
                </c:pt>
                <c:pt idx="330">
                  <c:v>7.039289700000154</c:v>
                </c:pt>
                <c:pt idx="331">
                  <c:v>7.0705900000002657</c:v>
                </c:pt>
                <c:pt idx="332">
                  <c:v>7.1177352000004248</c:v>
                </c:pt>
                <c:pt idx="333">
                  <c:v>7.149779700000181</c:v>
                </c:pt>
                <c:pt idx="334">
                  <c:v>7.1810393000000659</c:v>
                </c:pt>
                <c:pt idx="335">
                  <c:v>7.2121169000001828</c:v>
                </c:pt>
                <c:pt idx="336">
                  <c:v>7.2427593000002162</c:v>
                </c:pt>
                <c:pt idx="337">
                  <c:v>7.2730527000003349</c:v>
                </c:pt>
                <c:pt idx="338">
                  <c:v>7.3046481000001222</c:v>
                </c:pt>
                <c:pt idx="339">
                  <c:v>7.3364228000000367</c:v>
                </c:pt>
                <c:pt idx="340">
                  <c:v>7.367167000000336</c:v>
                </c:pt>
                <c:pt idx="341">
                  <c:v>7.3981877000001077</c:v>
                </c:pt>
                <c:pt idx="342">
                  <c:v>7.4297265000000152</c:v>
                </c:pt>
                <c:pt idx="343">
                  <c:v>7.4607101999999941</c:v>
                </c:pt>
                <c:pt idx="344">
                  <c:v>7.4922096000000238</c:v>
                </c:pt>
                <c:pt idx="345">
                  <c:v>7.5385995000001458</c:v>
                </c:pt>
                <c:pt idx="346">
                  <c:v>7.570056200000181</c:v>
                </c:pt>
                <c:pt idx="347">
                  <c:v>7.6007871000001614</c:v>
                </c:pt>
                <c:pt idx="348">
                  <c:v>7.6318452000000434</c:v>
                </c:pt>
                <c:pt idx="349">
                  <c:v>7.6628080000000409</c:v>
                </c:pt>
                <c:pt idx="350">
                  <c:v>7.693853300000228</c:v>
                </c:pt>
                <c:pt idx="351">
                  <c:v>7.740906300000006</c:v>
                </c:pt>
                <c:pt idx="352">
                  <c:v>7.7560024000003978</c:v>
                </c:pt>
                <c:pt idx="353">
                  <c:v>7.8027047000000493</c:v>
                </c:pt>
                <c:pt idx="354">
                  <c:v>7.818170800000189</c:v>
                </c:pt>
                <c:pt idx="355">
                  <c:v>7.849333900000147</c:v>
                </c:pt>
                <c:pt idx="356">
                  <c:v>7.8953836000000592</c:v>
                </c:pt>
                <c:pt idx="357">
                  <c:v>7.9105360000003202</c:v>
                </c:pt>
                <c:pt idx="358">
                  <c:v>7.9416419000003771</c:v>
                </c:pt>
                <c:pt idx="359">
                  <c:v>7.988133000000289</c:v>
                </c:pt>
                <c:pt idx="360">
                  <c:v>8.0195339000001695</c:v>
                </c:pt>
                <c:pt idx="361">
                  <c:v>8.0499366000003647</c:v>
                </c:pt>
                <c:pt idx="362">
                  <c:v>8.0813528000003316</c:v>
                </c:pt>
                <c:pt idx="363">
                  <c:v>8.1119710000002669</c:v>
                </c:pt>
                <c:pt idx="364">
                  <c:v>8.1418160000002899</c:v>
                </c:pt>
                <c:pt idx="365">
                  <c:v>8.1884018000000651</c:v>
                </c:pt>
                <c:pt idx="366">
                  <c:v>8.2195125000002918</c:v>
                </c:pt>
                <c:pt idx="367">
                  <c:v>8.2505235000003267</c:v>
                </c:pt>
                <c:pt idx="368">
                  <c:v>8.2813416000003599</c:v>
                </c:pt>
                <c:pt idx="369">
                  <c:v>8.3130092000001241</c:v>
                </c:pt>
                <c:pt idx="370">
                  <c:v>8.3439578000002257</c:v>
                </c:pt>
                <c:pt idx="371">
                  <c:v>8.3752976000000672</c:v>
                </c:pt>
                <c:pt idx="372">
                  <c:v>8.4216149000003497</c:v>
                </c:pt>
                <c:pt idx="373">
                  <c:v>8.435135100000025</c:v>
                </c:pt>
                <c:pt idx="374">
                  <c:v>8.4680778000001737</c:v>
                </c:pt>
                <c:pt idx="375">
                  <c:v>8.4993426000000909</c:v>
                </c:pt>
                <c:pt idx="376">
                  <c:v>8.5301843000002009</c:v>
                </c:pt>
                <c:pt idx="377">
                  <c:v>8.5311843000002003</c:v>
                </c:pt>
                <c:pt idx="378">
                  <c:v>8.5615048000004208</c:v>
                </c:pt>
                <c:pt idx="379">
                  <c:v>8.6084997000002659</c:v>
                </c:pt>
                <c:pt idx="380">
                  <c:v>8.6396508000002541</c:v>
                </c:pt>
                <c:pt idx="381">
                  <c:v>8.6708717999999863</c:v>
                </c:pt>
                <c:pt idx="382">
                  <c:v>8.7026233000001412</c:v>
                </c:pt>
                <c:pt idx="383">
                  <c:v>8.7334623000001557</c:v>
                </c:pt>
                <c:pt idx="384">
                  <c:v>8.7646595000001071</c:v>
                </c:pt>
                <c:pt idx="385">
                  <c:v>8.8111308000002282</c:v>
                </c:pt>
                <c:pt idx="386">
                  <c:v>8.8430741000001944</c:v>
                </c:pt>
                <c:pt idx="387">
                  <c:v>8.8728994000002785</c:v>
                </c:pt>
                <c:pt idx="388">
                  <c:v>8.9049598000001424</c:v>
                </c:pt>
                <c:pt idx="389">
                  <c:v>8.920539700000063</c:v>
                </c:pt>
                <c:pt idx="390">
                  <c:v>8.9517083000000639</c:v>
                </c:pt>
                <c:pt idx="391">
                  <c:v>8.9822482000004129</c:v>
                </c:pt>
                <c:pt idx="392">
                  <c:v>9.0298377000003711</c:v>
                </c:pt>
                <c:pt idx="393">
                  <c:v>9.0611833000002662</c:v>
                </c:pt>
                <c:pt idx="394">
                  <c:v>9.0922832000001108</c:v>
                </c:pt>
                <c:pt idx="395">
                  <c:v>9.12239610000006</c:v>
                </c:pt>
                <c:pt idx="396">
                  <c:v>9.1532780000002276</c:v>
                </c:pt>
                <c:pt idx="397">
                  <c:v>9.1842184000001907</c:v>
                </c:pt>
                <c:pt idx="398">
                  <c:v>9.2300111000004108</c:v>
                </c:pt>
                <c:pt idx="399">
                  <c:v>9.2606885000000148</c:v>
                </c:pt>
                <c:pt idx="400">
                  <c:v>9.291738500000065</c:v>
                </c:pt>
                <c:pt idx="401">
                  <c:v>9.3234608000002481</c:v>
                </c:pt>
                <c:pt idx="402">
                  <c:v>9.3695388000001003</c:v>
                </c:pt>
                <c:pt idx="403">
                  <c:v>9.4001502000000983</c:v>
                </c:pt>
                <c:pt idx="404">
                  <c:v>9.4309679000002689</c:v>
                </c:pt>
                <c:pt idx="405">
                  <c:v>9.4623018000002048</c:v>
                </c:pt>
                <c:pt idx="406">
                  <c:v>9.4935661000004075</c:v>
                </c:pt>
                <c:pt idx="407">
                  <c:v>9.5246996000000763</c:v>
                </c:pt>
                <c:pt idx="408">
                  <c:v>9.5554276000002574</c:v>
                </c:pt>
                <c:pt idx="409">
                  <c:v>9.5555276000002571</c:v>
                </c:pt>
                <c:pt idx="410">
                  <c:v>9.5856540000004316</c:v>
                </c:pt>
                <c:pt idx="411">
                  <c:v>9.6167265000003681</c:v>
                </c:pt>
                <c:pt idx="412">
                  <c:v>9.6474853000004259</c:v>
                </c:pt>
                <c:pt idx="413">
                  <c:v>9.6789674999999988</c:v>
                </c:pt>
                <c:pt idx="414">
                  <c:v>9.7094308000000638</c:v>
                </c:pt>
                <c:pt idx="415">
                  <c:v>9.7403956000002836</c:v>
                </c:pt>
                <c:pt idx="416">
                  <c:v>9.7720160000003489</c:v>
                </c:pt>
                <c:pt idx="417">
                  <c:v>9.8176916000002166</c:v>
                </c:pt>
                <c:pt idx="418">
                  <c:v>9.8488786000002619</c:v>
                </c:pt>
                <c:pt idx="419">
                  <c:v>9.8793074000000161</c:v>
                </c:pt>
                <c:pt idx="420">
                  <c:v>9.9106115000004138</c:v>
                </c:pt>
                <c:pt idx="421">
                  <c:v>9.9409724000001916</c:v>
                </c:pt>
                <c:pt idx="422">
                  <c:v>9.9728406000003815</c:v>
                </c:pt>
                <c:pt idx="423">
                  <c:v>10.004080200000317</c:v>
                </c:pt>
                <c:pt idx="424">
                  <c:v>10.052269700000124</c:v>
                </c:pt>
                <c:pt idx="425">
                  <c:v>10.067612800000006</c:v>
                </c:pt>
                <c:pt idx="426">
                  <c:v>10.098507600000175</c:v>
                </c:pt>
                <c:pt idx="427">
                  <c:v>10.129110700000183</c:v>
                </c:pt>
                <c:pt idx="428">
                  <c:v>10.159869600000093</c:v>
                </c:pt>
                <c:pt idx="429">
                  <c:v>10.191697800000384</c:v>
                </c:pt>
                <c:pt idx="430">
                  <c:v>10.223350500000379</c:v>
                </c:pt>
                <c:pt idx="431">
                  <c:v>10.317478700000265</c:v>
                </c:pt>
                <c:pt idx="432">
                  <c:v>10.333174900000358</c:v>
                </c:pt>
                <c:pt idx="433">
                  <c:v>10.348560300000372</c:v>
                </c:pt>
                <c:pt idx="434">
                  <c:v>10.36367700000028</c:v>
                </c:pt>
                <c:pt idx="435">
                  <c:v>10.410301700000218</c:v>
                </c:pt>
                <c:pt idx="436">
                  <c:v>10.58332960000007</c:v>
                </c:pt>
                <c:pt idx="437">
                  <c:v>10.598769900000207</c:v>
                </c:pt>
                <c:pt idx="438">
                  <c:v>10.614560700000311</c:v>
                </c:pt>
                <c:pt idx="439">
                  <c:v>10.63024680000035</c:v>
                </c:pt>
                <c:pt idx="440">
                  <c:v>10.645605100000012</c:v>
                </c:pt>
                <c:pt idx="441">
                  <c:v>10.661888300000101</c:v>
                </c:pt>
                <c:pt idx="442">
                  <c:v>10.67790260000038</c:v>
                </c:pt>
                <c:pt idx="443">
                  <c:v>10.693193000000065</c:v>
                </c:pt>
                <c:pt idx="444">
                  <c:v>10.709016600000268</c:v>
                </c:pt>
                <c:pt idx="445">
                  <c:v>10.724044000000049</c:v>
                </c:pt>
                <c:pt idx="446">
                  <c:v>10.756220200000371</c:v>
                </c:pt>
                <c:pt idx="447">
                  <c:v>10.787308800000119</c:v>
                </c:pt>
                <c:pt idx="448">
                  <c:v>10.833230000000185</c:v>
                </c:pt>
                <c:pt idx="449">
                  <c:v>10.848908600000414</c:v>
                </c:pt>
                <c:pt idx="450">
                  <c:v>10.895104500000343</c:v>
                </c:pt>
                <c:pt idx="451">
                  <c:v>10.926145600000382</c:v>
                </c:pt>
                <c:pt idx="452">
                  <c:v>10.942143000000215</c:v>
                </c:pt>
                <c:pt idx="453">
                  <c:v>10.973500700000386</c:v>
                </c:pt>
                <c:pt idx="454">
                  <c:v>11.019185500000276</c:v>
                </c:pt>
                <c:pt idx="455">
                  <c:v>11.034989600000245</c:v>
                </c:pt>
                <c:pt idx="456">
                  <c:v>11.082045999999991</c:v>
                </c:pt>
                <c:pt idx="457">
                  <c:v>11.1128262000002</c:v>
                </c:pt>
                <c:pt idx="458">
                  <c:v>11.143854800000099</c:v>
                </c:pt>
                <c:pt idx="459">
                  <c:v>11.175350700000308</c:v>
                </c:pt>
                <c:pt idx="460">
                  <c:v>11.206693400000404</c:v>
                </c:pt>
                <c:pt idx="461">
                  <c:v>11.237335799999983</c:v>
                </c:pt>
                <c:pt idx="462">
                  <c:v>11.284025600000405</c:v>
                </c:pt>
                <c:pt idx="463">
                  <c:v>11.314848700000312</c:v>
                </c:pt>
                <c:pt idx="464">
                  <c:v>11.345894600000065</c:v>
                </c:pt>
                <c:pt idx="465">
                  <c:v>11.377582900000107</c:v>
                </c:pt>
                <c:pt idx="466">
                  <c:v>11.408712500000092</c:v>
                </c:pt>
                <c:pt idx="467">
                  <c:v>11.424737800000003</c:v>
                </c:pt>
                <c:pt idx="468">
                  <c:v>11.47156490000043</c:v>
                </c:pt>
                <c:pt idx="469">
                  <c:v>11.502535600000101</c:v>
                </c:pt>
                <c:pt idx="470">
                  <c:v>11.534924500000216</c:v>
                </c:pt>
                <c:pt idx="471">
                  <c:v>11.565958300000148</c:v>
                </c:pt>
                <c:pt idx="472">
                  <c:v>11.59783920000018</c:v>
                </c:pt>
                <c:pt idx="473">
                  <c:v>11.644704600000296</c:v>
                </c:pt>
                <c:pt idx="474">
                  <c:v>11.675825900000291</c:v>
                </c:pt>
                <c:pt idx="475">
                  <c:v>11.706475600000431</c:v>
                </c:pt>
                <c:pt idx="476">
                  <c:v>11.737749000000349</c:v>
                </c:pt>
                <c:pt idx="477">
                  <c:v>11.76921160000029</c:v>
                </c:pt>
                <c:pt idx="478">
                  <c:v>11.800858600000083</c:v>
                </c:pt>
                <c:pt idx="479">
                  <c:v>11.832110300000295</c:v>
                </c:pt>
                <c:pt idx="480">
                  <c:v>11.847406900000351</c:v>
                </c:pt>
                <c:pt idx="481">
                  <c:v>11.894228900000144</c:v>
                </c:pt>
                <c:pt idx="482">
                  <c:v>11.92492110000012</c:v>
                </c:pt>
                <c:pt idx="483">
                  <c:v>11.955142800000431</c:v>
                </c:pt>
                <c:pt idx="484">
                  <c:v>12.000833200000216</c:v>
                </c:pt>
                <c:pt idx="485">
                  <c:v>12.016915900000186</c:v>
                </c:pt>
                <c:pt idx="486">
                  <c:v>12.063823899999988</c:v>
                </c:pt>
                <c:pt idx="487">
                  <c:v>12.094814100000349</c:v>
                </c:pt>
                <c:pt idx="488">
                  <c:v>12.125114600000416</c:v>
                </c:pt>
                <c:pt idx="489">
                  <c:v>12.15568790000043</c:v>
                </c:pt>
                <c:pt idx="490">
                  <c:v>12.186626400000023</c:v>
                </c:pt>
                <c:pt idx="491">
                  <c:v>12.218306000000211</c:v>
                </c:pt>
                <c:pt idx="492">
                  <c:v>12.249259600000187</c:v>
                </c:pt>
                <c:pt idx="493">
                  <c:v>12.296085400000266</c:v>
                </c:pt>
                <c:pt idx="494">
                  <c:v>12.326275300000361</c:v>
                </c:pt>
                <c:pt idx="495">
                  <c:v>12.357014600000184</c:v>
                </c:pt>
                <c:pt idx="496">
                  <c:v>12.388153500000044</c:v>
                </c:pt>
                <c:pt idx="497">
                  <c:v>12.4197750000003</c:v>
                </c:pt>
                <c:pt idx="498">
                  <c:v>12.451095400000213</c:v>
                </c:pt>
                <c:pt idx="499">
                  <c:v>12.482295500000419</c:v>
                </c:pt>
                <c:pt idx="500">
                  <c:v>12.513406000000032</c:v>
                </c:pt>
                <c:pt idx="501">
                  <c:v>12.545510300000387</c:v>
                </c:pt>
                <c:pt idx="502">
                  <c:v>12.576301700000386</c:v>
                </c:pt>
                <c:pt idx="503">
                  <c:v>12.607888900000034</c:v>
                </c:pt>
                <c:pt idx="504">
                  <c:v>12.638797200000226</c:v>
                </c:pt>
                <c:pt idx="505">
                  <c:v>12.670864300000176</c:v>
                </c:pt>
                <c:pt idx="506">
                  <c:v>12.702406300000348</c:v>
                </c:pt>
                <c:pt idx="507">
                  <c:v>12.748906799999986</c:v>
                </c:pt>
                <c:pt idx="508">
                  <c:v>12.780055300000186</c:v>
                </c:pt>
                <c:pt idx="509">
                  <c:v>12.810586700000385</c:v>
                </c:pt>
                <c:pt idx="510">
                  <c:v>12.840667400000257</c:v>
                </c:pt>
                <c:pt idx="511">
                  <c:v>12.87273660000028</c:v>
                </c:pt>
                <c:pt idx="512">
                  <c:v>12.919059700000162</c:v>
                </c:pt>
                <c:pt idx="513">
                  <c:v>12.950166000000081</c:v>
                </c:pt>
                <c:pt idx="514">
                  <c:v>12.965575600000193</c:v>
                </c:pt>
                <c:pt idx="515">
                  <c:v>12.996916700000384</c:v>
                </c:pt>
                <c:pt idx="516">
                  <c:v>13.027586500000325</c:v>
                </c:pt>
                <c:pt idx="517">
                  <c:v>13.058944500000052</c:v>
                </c:pt>
                <c:pt idx="518">
                  <c:v>13.089599500000077</c:v>
                </c:pt>
                <c:pt idx="519">
                  <c:v>13.136956600000303</c:v>
                </c:pt>
                <c:pt idx="520">
                  <c:v>13.167147800000294</c:v>
                </c:pt>
                <c:pt idx="521">
                  <c:v>13.197788200000105</c:v>
                </c:pt>
                <c:pt idx="522">
                  <c:v>13.243707000000086</c:v>
                </c:pt>
                <c:pt idx="523">
                  <c:v>13.30562800000007</c:v>
                </c:pt>
                <c:pt idx="524">
                  <c:v>13.320852300000297</c:v>
                </c:pt>
                <c:pt idx="525">
                  <c:v>13.336251400000037</c:v>
                </c:pt>
                <c:pt idx="526">
                  <c:v>13.367295000000013</c:v>
                </c:pt>
                <c:pt idx="527">
                  <c:v>13.397435500000029</c:v>
                </c:pt>
                <c:pt idx="528">
                  <c:v>13.429170900000372</c:v>
                </c:pt>
                <c:pt idx="529">
                  <c:v>13.460952700000234</c:v>
                </c:pt>
                <c:pt idx="530">
                  <c:v>13.492381000000023</c:v>
                </c:pt>
                <c:pt idx="531">
                  <c:v>13.523081499999989</c:v>
                </c:pt>
                <c:pt idx="532">
                  <c:v>13.555078700000195</c:v>
                </c:pt>
                <c:pt idx="533">
                  <c:v>13.587006100000053</c:v>
                </c:pt>
                <c:pt idx="534">
                  <c:v>13.619073000000299</c:v>
                </c:pt>
                <c:pt idx="535">
                  <c:v>13.650212200000169</c:v>
                </c:pt>
                <c:pt idx="536">
                  <c:v>13.681003300000157</c:v>
                </c:pt>
                <c:pt idx="537">
                  <c:v>13.712306100000205</c:v>
                </c:pt>
                <c:pt idx="538">
                  <c:v>13.758961900000031</c:v>
                </c:pt>
                <c:pt idx="539">
                  <c:v>13.789472500000102</c:v>
                </c:pt>
                <c:pt idx="540">
                  <c:v>13.822084700000232</c:v>
                </c:pt>
                <c:pt idx="541">
                  <c:v>13.852689600000303</c:v>
                </c:pt>
                <c:pt idx="542">
                  <c:v>13.883946300000389</c:v>
                </c:pt>
                <c:pt idx="543">
                  <c:v>13.914673300000231</c:v>
                </c:pt>
                <c:pt idx="544">
                  <c:v>13.945167700000184</c:v>
                </c:pt>
                <c:pt idx="545">
                  <c:v>13.992031400000087</c:v>
                </c:pt>
                <c:pt idx="546">
                  <c:v>14.023872700000084</c:v>
                </c:pt>
                <c:pt idx="547">
                  <c:v>14.054001299999982</c:v>
                </c:pt>
                <c:pt idx="548">
                  <c:v>14.069429500000297</c:v>
                </c:pt>
                <c:pt idx="549">
                  <c:v>14.100932499999999</c:v>
                </c:pt>
                <c:pt idx="550">
                  <c:v>14.14680670000007</c:v>
                </c:pt>
                <c:pt idx="551">
                  <c:v>14.17827780000016</c:v>
                </c:pt>
                <c:pt idx="552">
                  <c:v>14.209291300000132</c:v>
                </c:pt>
                <c:pt idx="553">
                  <c:v>14.240556100000049</c:v>
                </c:pt>
                <c:pt idx="554">
                  <c:v>14.271950000000288</c:v>
                </c:pt>
                <c:pt idx="555">
                  <c:v>14.303397800000312</c:v>
                </c:pt>
                <c:pt idx="556">
                  <c:v>14.333667700000206</c:v>
                </c:pt>
                <c:pt idx="557">
                  <c:v>14.380823100000271</c:v>
                </c:pt>
                <c:pt idx="558">
                  <c:v>14.411975400000301</c:v>
                </c:pt>
              </c:numCache>
            </c:numRef>
          </c:xVal>
          <c:yVal>
            <c:numRef>
              <c:f>'Maju 0.1'!$M$7:$M$565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2">
                  <c:v>43.547719999999998</c:v>
                </c:pt>
                <c:pt idx="253">
                  <c:v>43.399510226369301</c:v>
                </c:pt>
                <c:pt idx="254">
                  <c:v>43.706012798231001</c:v>
                </c:pt>
                <c:pt idx="255">
                  <c:v>44.552231100176797</c:v>
                </c:pt>
                <c:pt idx="256">
                  <c:v>45.473978832654602</c:v>
                </c:pt>
                <c:pt idx="257">
                  <c:v>46.627449389442297</c:v>
                </c:pt>
                <c:pt idx="258">
                  <c:v>47.721848635003298</c:v>
                </c:pt>
                <c:pt idx="259">
                  <c:v>48.870145131601703</c:v>
                </c:pt>
                <c:pt idx="260">
                  <c:v>50.075490988117103</c:v>
                </c:pt>
                <c:pt idx="261">
                  <c:v>51.365767098946499</c:v>
                </c:pt>
                <c:pt idx="262">
                  <c:v>52.731115787156099</c:v>
                </c:pt>
                <c:pt idx="263">
                  <c:v>53.832905373869501</c:v>
                </c:pt>
                <c:pt idx="264">
                  <c:v>54.519748935239697</c:v>
                </c:pt>
                <c:pt idx="265">
                  <c:v>55.294791599857398</c:v>
                </c:pt>
                <c:pt idx="266">
                  <c:v>56.627269841491099</c:v>
                </c:pt>
                <c:pt idx="267">
                  <c:v>57.107658238318002</c:v>
                </c:pt>
                <c:pt idx="268">
                  <c:v>58.145529776792998</c:v>
                </c:pt>
                <c:pt idx="269">
                  <c:v>59.194437876320599</c:v>
                </c:pt>
                <c:pt idx="270">
                  <c:v>60.316416111509497</c:v>
                </c:pt>
                <c:pt idx="271">
                  <c:v>61.483765095936</c:v>
                </c:pt>
                <c:pt idx="272">
                  <c:v>62.724383898813201</c:v>
                </c:pt>
                <c:pt idx="273">
                  <c:v>63.590520970445901</c:v>
                </c:pt>
                <c:pt idx="274">
                  <c:v>64.066931306427506</c:v>
                </c:pt>
                <c:pt idx="275">
                  <c:v>65.3231785566947</c:v>
                </c:pt>
                <c:pt idx="276">
                  <c:v>66.386645030740397</c:v>
                </c:pt>
                <c:pt idx="277">
                  <c:v>67.851590553699495</c:v>
                </c:pt>
                <c:pt idx="278">
                  <c:v>69.392184959774994</c:v>
                </c:pt>
                <c:pt idx="279">
                  <c:v>70.514980581166398</c:v>
                </c:pt>
                <c:pt idx="280">
                  <c:v>71.321378291341304</c:v>
                </c:pt>
                <c:pt idx="281">
                  <c:v>72.857175504815203</c:v>
                </c:pt>
                <c:pt idx="282">
                  <c:v>74.317475189273296</c:v>
                </c:pt>
                <c:pt idx="283">
                  <c:v>75.981805939872402</c:v>
                </c:pt>
                <c:pt idx="284">
                  <c:v>77.714759861313496</c:v>
                </c:pt>
                <c:pt idx="285">
                  <c:v>79.439373828025197</c:v>
                </c:pt>
                <c:pt idx="286">
                  <c:v>81.0758195577084</c:v>
                </c:pt>
                <c:pt idx="287">
                  <c:v>82.793492218735906</c:v>
                </c:pt>
                <c:pt idx="288">
                  <c:v>84.308631222085495</c:v>
                </c:pt>
                <c:pt idx="289">
                  <c:v>85.988283654193495</c:v>
                </c:pt>
                <c:pt idx="290">
                  <c:v>87.594103130555695</c:v>
                </c:pt>
                <c:pt idx="291">
                  <c:v>89.118973844071405</c:v>
                </c:pt>
                <c:pt idx="292">
                  <c:v>91.412334258681597</c:v>
                </c:pt>
                <c:pt idx="293">
                  <c:v>93.507051502899898</c:v>
                </c:pt>
                <c:pt idx="294">
                  <c:v>96.309125767298497</c:v>
                </c:pt>
                <c:pt idx="295">
                  <c:v>98.130403603869695</c:v>
                </c:pt>
                <c:pt idx="296">
                  <c:v>99.814800828035004</c:v>
                </c:pt>
                <c:pt idx="297">
                  <c:v>101.38718320026901</c:v>
                </c:pt>
                <c:pt idx="298">
                  <c:v>104.01042034673399</c:v>
                </c:pt>
                <c:pt idx="299">
                  <c:v>106.956758738262</c:v>
                </c:pt>
                <c:pt idx="300">
                  <c:v>109.783795699232</c:v>
                </c:pt>
                <c:pt idx="301">
                  <c:v>112.468497970389</c:v>
                </c:pt>
                <c:pt idx="302">
                  <c:v>115.736752622279</c:v>
                </c:pt>
                <c:pt idx="303">
                  <c:v>118.214728528389</c:v>
                </c:pt>
                <c:pt idx="304">
                  <c:v>119.98163411319899</c:v>
                </c:pt>
                <c:pt idx="305">
                  <c:v>123.069461205282</c:v>
                </c:pt>
                <c:pt idx="306">
                  <c:v>126.063634595008</c:v>
                </c:pt>
                <c:pt idx="307">
                  <c:v>128.342879323902</c:v>
                </c:pt>
                <c:pt idx="308">
                  <c:v>130.939367204343</c:v>
                </c:pt>
                <c:pt idx="309">
                  <c:v>133.31785745665499</c:v>
                </c:pt>
                <c:pt idx="310">
                  <c:v>135.99991245228301</c:v>
                </c:pt>
                <c:pt idx="311">
                  <c:v>138.644111016805</c:v>
                </c:pt>
                <c:pt idx="312">
                  <c:v>141.22830562175699</c:v>
                </c:pt>
                <c:pt idx="313">
                  <c:v>143.90866585031199</c:v>
                </c:pt>
                <c:pt idx="314">
                  <c:v>146.808717179307</c:v>
                </c:pt>
                <c:pt idx="315">
                  <c:v>149.92867696203001</c:v>
                </c:pt>
                <c:pt idx="316">
                  <c:v>152.98360261395999</c:v>
                </c:pt>
                <c:pt idx="317">
                  <c:v>155.11187545363401</c:v>
                </c:pt>
                <c:pt idx="318">
                  <c:v>157.95757684445499</c:v>
                </c:pt>
                <c:pt idx="319">
                  <c:v>160.757396631619</c:v>
                </c:pt>
                <c:pt idx="320">
                  <c:v>163.89290221491601</c:v>
                </c:pt>
                <c:pt idx="321">
                  <c:v>166.53280433468601</c:v>
                </c:pt>
                <c:pt idx="322">
                  <c:v>169.910017850907</c:v>
                </c:pt>
                <c:pt idx="323">
                  <c:v>172.07624759328101</c:v>
                </c:pt>
                <c:pt idx="324">
                  <c:v>174.60614951166801</c:v>
                </c:pt>
                <c:pt idx="325">
                  <c:v>177.064303161211</c:v>
                </c:pt>
                <c:pt idx="326">
                  <c:v>180.64577884098401</c:v>
                </c:pt>
                <c:pt idx="327">
                  <c:v>183.84014235439</c:v>
                </c:pt>
                <c:pt idx="328">
                  <c:v>186.98430643705001</c:v>
                </c:pt>
                <c:pt idx="329">
                  <c:v>190.070403287478</c:v>
                </c:pt>
                <c:pt idx="330">
                  <c:v>192.34085754942001</c:v>
                </c:pt>
                <c:pt idx="331">
                  <c:v>195.379232292822</c:v>
                </c:pt>
                <c:pt idx="332">
                  <c:v>198.69139973501601</c:v>
                </c:pt>
                <c:pt idx="333">
                  <c:v>201.657851013347</c:v>
                </c:pt>
                <c:pt idx="334">
                  <c:v>204.706739527726</c:v>
                </c:pt>
                <c:pt idx="335">
                  <c:v>207.58398218539401</c:v>
                </c:pt>
                <c:pt idx="336">
                  <c:v>210.300320513549</c:v>
                </c:pt>
                <c:pt idx="337">
                  <c:v>213.090052467687</c:v>
                </c:pt>
                <c:pt idx="338">
                  <c:v>215.873006711427</c:v>
                </c:pt>
                <c:pt idx="339">
                  <c:v>219.449540562648</c:v>
                </c:pt>
                <c:pt idx="340">
                  <c:v>222.14052279524299</c:v>
                </c:pt>
                <c:pt idx="341">
                  <c:v>224.891910968085</c:v>
                </c:pt>
                <c:pt idx="342">
                  <c:v>227.65488022410099</c:v>
                </c:pt>
                <c:pt idx="343">
                  <c:v>230.41881230606</c:v>
                </c:pt>
                <c:pt idx="344">
                  <c:v>232.76372217464399</c:v>
                </c:pt>
                <c:pt idx="345">
                  <c:v>235.653691336609</c:v>
                </c:pt>
                <c:pt idx="346">
                  <c:v>239.13718131901501</c:v>
                </c:pt>
                <c:pt idx="347">
                  <c:v>241.79145676174201</c:v>
                </c:pt>
                <c:pt idx="348">
                  <c:v>244.42427276958901</c:v>
                </c:pt>
                <c:pt idx="349">
                  <c:v>247.66199522483299</c:v>
                </c:pt>
                <c:pt idx="350">
                  <c:v>251.03205286314</c:v>
                </c:pt>
                <c:pt idx="351">
                  <c:v>253.92145613837499</c:v>
                </c:pt>
                <c:pt idx="352">
                  <c:v>256.24653636221899</c:v>
                </c:pt>
                <c:pt idx="353">
                  <c:v>258.74456571772299</c:v>
                </c:pt>
                <c:pt idx="354">
                  <c:v>261.82202325789501</c:v>
                </c:pt>
                <c:pt idx="355">
                  <c:v>265.04923656696599</c:v>
                </c:pt>
                <c:pt idx="356">
                  <c:v>267.99565645921803</c:v>
                </c:pt>
                <c:pt idx="357">
                  <c:v>271.021070971808</c:v>
                </c:pt>
                <c:pt idx="358">
                  <c:v>274.21320306952401</c:v>
                </c:pt>
                <c:pt idx="359">
                  <c:v>277.00675790935702</c:v>
                </c:pt>
                <c:pt idx="360">
                  <c:v>279.37883720135</c:v>
                </c:pt>
                <c:pt idx="361">
                  <c:v>281.86363158822297</c:v>
                </c:pt>
                <c:pt idx="362">
                  <c:v>285.04646287466602</c:v>
                </c:pt>
                <c:pt idx="363">
                  <c:v>288.236402477345</c:v>
                </c:pt>
                <c:pt idx="364">
                  <c:v>290.62513461799898</c:v>
                </c:pt>
                <c:pt idx="365">
                  <c:v>294.15157235824</c:v>
                </c:pt>
                <c:pt idx="366">
                  <c:v>297.60533630615902</c:v>
                </c:pt>
                <c:pt idx="367">
                  <c:v>300.79119027235402</c:v>
                </c:pt>
                <c:pt idx="368">
                  <c:v>303.27379983001299</c:v>
                </c:pt>
                <c:pt idx="369">
                  <c:v>306.05860030911299</c:v>
                </c:pt>
                <c:pt idx="370">
                  <c:v>309.27890031855202</c:v>
                </c:pt>
                <c:pt idx="371">
                  <c:v>311.702935632954</c:v>
                </c:pt>
                <c:pt idx="372">
                  <c:v>314.22745276016099</c:v>
                </c:pt>
                <c:pt idx="373">
                  <c:v>317.053592339663</c:v>
                </c:pt>
                <c:pt idx="374">
                  <c:v>319.541781595327</c:v>
                </c:pt>
                <c:pt idx="375">
                  <c:v>322.13763828690099</c:v>
                </c:pt>
                <c:pt idx="377">
                  <c:v>322.13763828690099</c:v>
                </c:pt>
                <c:pt idx="378">
                  <c:v>322.13763828690099</c:v>
                </c:pt>
                <c:pt idx="379">
                  <c:v>322.13763828690099</c:v>
                </c:pt>
                <c:pt idx="380">
                  <c:v>322.13763828690099</c:v>
                </c:pt>
                <c:pt idx="381">
                  <c:v>322.13763828690099</c:v>
                </c:pt>
                <c:pt idx="382">
                  <c:v>322.13763828690099</c:v>
                </c:pt>
                <c:pt idx="383">
                  <c:v>322.13763828690099</c:v>
                </c:pt>
                <c:pt idx="384">
                  <c:v>322.13763828690099</c:v>
                </c:pt>
                <c:pt idx="385">
                  <c:v>322.13763828690099</c:v>
                </c:pt>
                <c:pt idx="386">
                  <c:v>322.13763828690099</c:v>
                </c:pt>
                <c:pt idx="387">
                  <c:v>322.13763828690099</c:v>
                </c:pt>
                <c:pt idx="388">
                  <c:v>322.13763828690099</c:v>
                </c:pt>
                <c:pt idx="389">
                  <c:v>322.13763828690099</c:v>
                </c:pt>
                <c:pt idx="390">
                  <c:v>322.13763828690099</c:v>
                </c:pt>
                <c:pt idx="391">
                  <c:v>322.13763828690099</c:v>
                </c:pt>
                <c:pt idx="392">
                  <c:v>322.13763828690099</c:v>
                </c:pt>
                <c:pt idx="393">
                  <c:v>322.13763828690099</c:v>
                </c:pt>
                <c:pt idx="394">
                  <c:v>322.13763828690099</c:v>
                </c:pt>
                <c:pt idx="395">
                  <c:v>322.13763828690099</c:v>
                </c:pt>
                <c:pt idx="396">
                  <c:v>322.13763828690099</c:v>
                </c:pt>
                <c:pt idx="397">
                  <c:v>322.13763828690099</c:v>
                </c:pt>
                <c:pt idx="398">
                  <c:v>322.13763828690099</c:v>
                </c:pt>
                <c:pt idx="399">
                  <c:v>322.13763828690099</c:v>
                </c:pt>
                <c:pt idx="400">
                  <c:v>322.13763828690099</c:v>
                </c:pt>
                <c:pt idx="401">
                  <c:v>322.13763828690099</c:v>
                </c:pt>
                <c:pt idx="402">
                  <c:v>322.13763828690099</c:v>
                </c:pt>
                <c:pt idx="403">
                  <c:v>322.13763828690099</c:v>
                </c:pt>
                <c:pt idx="404">
                  <c:v>322.13763828690099</c:v>
                </c:pt>
                <c:pt idx="405">
                  <c:v>322.13763828690099</c:v>
                </c:pt>
                <c:pt idx="406">
                  <c:v>322.13763828690099</c:v>
                </c:pt>
                <c:pt idx="407">
                  <c:v>322.13763828690099</c:v>
                </c:pt>
                <c:pt idx="409">
                  <c:v>322.13763828690099</c:v>
                </c:pt>
                <c:pt idx="410">
                  <c:v>322.13763828690099</c:v>
                </c:pt>
                <c:pt idx="411">
                  <c:v>322.13763828690099</c:v>
                </c:pt>
                <c:pt idx="412">
                  <c:v>322.13763828690099</c:v>
                </c:pt>
                <c:pt idx="413">
                  <c:v>322.13763828690099</c:v>
                </c:pt>
                <c:pt idx="414">
                  <c:v>322.13763828690099</c:v>
                </c:pt>
                <c:pt idx="415">
                  <c:v>322.13763828690099</c:v>
                </c:pt>
                <c:pt idx="416">
                  <c:v>322.13763828690099</c:v>
                </c:pt>
                <c:pt idx="417">
                  <c:v>322.13763828690099</c:v>
                </c:pt>
                <c:pt idx="418">
                  <c:v>322.13763828690099</c:v>
                </c:pt>
                <c:pt idx="419">
                  <c:v>322.13763828690099</c:v>
                </c:pt>
                <c:pt idx="420">
                  <c:v>322.13763828690099</c:v>
                </c:pt>
                <c:pt idx="421">
                  <c:v>322.13763828690099</c:v>
                </c:pt>
                <c:pt idx="422">
                  <c:v>322.13763828690099</c:v>
                </c:pt>
                <c:pt idx="423">
                  <c:v>322.13763828690099</c:v>
                </c:pt>
                <c:pt idx="424">
                  <c:v>322.13763828690099</c:v>
                </c:pt>
                <c:pt idx="425">
                  <c:v>322.13763828690099</c:v>
                </c:pt>
                <c:pt idx="426">
                  <c:v>322.13763828690099</c:v>
                </c:pt>
                <c:pt idx="427">
                  <c:v>322.13763828690099</c:v>
                </c:pt>
                <c:pt idx="428">
                  <c:v>322.13763828690099</c:v>
                </c:pt>
                <c:pt idx="429">
                  <c:v>322.13763828690099</c:v>
                </c:pt>
                <c:pt idx="430">
                  <c:v>322.13763828690099</c:v>
                </c:pt>
                <c:pt idx="431">
                  <c:v>322.13763828690099</c:v>
                </c:pt>
                <c:pt idx="432">
                  <c:v>322.13763828690099</c:v>
                </c:pt>
                <c:pt idx="433">
                  <c:v>322.13763828690099</c:v>
                </c:pt>
                <c:pt idx="434">
                  <c:v>322.13763828690099</c:v>
                </c:pt>
                <c:pt idx="435">
                  <c:v>322.13763828690099</c:v>
                </c:pt>
                <c:pt idx="436">
                  <c:v>322.13763828690099</c:v>
                </c:pt>
                <c:pt idx="437">
                  <c:v>322.13763828690099</c:v>
                </c:pt>
                <c:pt idx="438">
                  <c:v>322.13763828690099</c:v>
                </c:pt>
                <c:pt idx="439">
                  <c:v>322.13763828690099</c:v>
                </c:pt>
                <c:pt idx="440">
                  <c:v>322.13763828690099</c:v>
                </c:pt>
                <c:pt idx="441">
                  <c:v>322.13763828690099</c:v>
                </c:pt>
                <c:pt idx="442">
                  <c:v>322.13763828690099</c:v>
                </c:pt>
                <c:pt idx="443">
                  <c:v>322.13763828690099</c:v>
                </c:pt>
                <c:pt idx="444">
                  <c:v>322.13763828690099</c:v>
                </c:pt>
                <c:pt idx="445">
                  <c:v>322.13763828690099</c:v>
                </c:pt>
                <c:pt idx="446">
                  <c:v>322.13763828690099</c:v>
                </c:pt>
                <c:pt idx="447">
                  <c:v>322.13763828690099</c:v>
                </c:pt>
                <c:pt idx="448">
                  <c:v>322.13763828690099</c:v>
                </c:pt>
                <c:pt idx="449">
                  <c:v>322.13763828690099</c:v>
                </c:pt>
                <c:pt idx="450">
                  <c:v>322.13763828690099</c:v>
                </c:pt>
                <c:pt idx="451">
                  <c:v>322.13763828690099</c:v>
                </c:pt>
                <c:pt idx="452">
                  <c:v>322.13763828690099</c:v>
                </c:pt>
                <c:pt idx="453">
                  <c:v>322.13763828690099</c:v>
                </c:pt>
                <c:pt idx="454">
                  <c:v>322.13763828690099</c:v>
                </c:pt>
                <c:pt idx="455">
                  <c:v>322.13763828690099</c:v>
                </c:pt>
                <c:pt idx="456">
                  <c:v>322.13763828690099</c:v>
                </c:pt>
                <c:pt idx="457">
                  <c:v>322.13763828690099</c:v>
                </c:pt>
                <c:pt idx="458">
                  <c:v>322.13763828690099</c:v>
                </c:pt>
                <c:pt idx="459">
                  <c:v>322.13763828690099</c:v>
                </c:pt>
                <c:pt idx="460">
                  <c:v>322.13763828690099</c:v>
                </c:pt>
                <c:pt idx="461">
                  <c:v>322.13763828690099</c:v>
                </c:pt>
                <c:pt idx="462">
                  <c:v>322.13763828690099</c:v>
                </c:pt>
                <c:pt idx="463">
                  <c:v>322.13763828690099</c:v>
                </c:pt>
                <c:pt idx="464">
                  <c:v>322.13763828690099</c:v>
                </c:pt>
                <c:pt idx="465">
                  <c:v>322.13763828690099</c:v>
                </c:pt>
                <c:pt idx="466">
                  <c:v>322.13763828690099</c:v>
                </c:pt>
                <c:pt idx="467">
                  <c:v>322.13763828690099</c:v>
                </c:pt>
                <c:pt idx="468">
                  <c:v>322.13763828690099</c:v>
                </c:pt>
                <c:pt idx="469">
                  <c:v>322.13763828690099</c:v>
                </c:pt>
                <c:pt idx="470">
                  <c:v>322.13763828690099</c:v>
                </c:pt>
                <c:pt idx="471">
                  <c:v>322.13763828690099</c:v>
                </c:pt>
                <c:pt idx="472">
                  <c:v>322.13763828690099</c:v>
                </c:pt>
                <c:pt idx="473">
                  <c:v>322.13763828690099</c:v>
                </c:pt>
                <c:pt idx="474">
                  <c:v>322.13763828690099</c:v>
                </c:pt>
                <c:pt idx="475">
                  <c:v>322.13763828690099</c:v>
                </c:pt>
                <c:pt idx="476">
                  <c:v>322.13763828690099</c:v>
                </c:pt>
                <c:pt idx="477">
                  <c:v>322.13763828690099</c:v>
                </c:pt>
                <c:pt idx="478">
                  <c:v>322.13763828690099</c:v>
                </c:pt>
                <c:pt idx="479">
                  <c:v>322.13763828690099</c:v>
                </c:pt>
                <c:pt idx="480">
                  <c:v>322.13763828690099</c:v>
                </c:pt>
                <c:pt idx="481">
                  <c:v>322.13763828690099</c:v>
                </c:pt>
                <c:pt idx="482">
                  <c:v>322.13763828690099</c:v>
                </c:pt>
                <c:pt idx="483">
                  <c:v>322.13763828690099</c:v>
                </c:pt>
                <c:pt idx="484">
                  <c:v>322.13763828690099</c:v>
                </c:pt>
                <c:pt idx="485">
                  <c:v>322.13763828690099</c:v>
                </c:pt>
                <c:pt idx="486">
                  <c:v>322.13763828690099</c:v>
                </c:pt>
                <c:pt idx="487">
                  <c:v>322.13763828690099</c:v>
                </c:pt>
                <c:pt idx="488">
                  <c:v>322.13763828690099</c:v>
                </c:pt>
                <c:pt idx="489">
                  <c:v>322.13763828690099</c:v>
                </c:pt>
                <c:pt idx="490">
                  <c:v>322.13763828690099</c:v>
                </c:pt>
                <c:pt idx="491">
                  <c:v>322.13763828690099</c:v>
                </c:pt>
                <c:pt idx="492">
                  <c:v>322.13763828690099</c:v>
                </c:pt>
                <c:pt idx="493">
                  <c:v>322.13763828690099</c:v>
                </c:pt>
                <c:pt idx="494">
                  <c:v>322.13763828690099</c:v>
                </c:pt>
                <c:pt idx="495">
                  <c:v>322.13763828690099</c:v>
                </c:pt>
                <c:pt idx="496">
                  <c:v>322.13763828690099</c:v>
                </c:pt>
                <c:pt idx="497">
                  <c:v>322.13763828690099</c:v>
                </c:pt>
                <c:pt idx="498">
                  <c:v>322.13763828690099</c:v>
                </c:pt>
                <c:pt idx="499">
                  <c:v>322.13763828690099</c:v>
                </c:pt>
                <c:pt idx="500">
                  <c:v>322.13763828690099</c:v>
                </c:pt>
                <c:pt idx="501">
                  <c:v>322.13763828690099</c:v>
                </c:pt>
                <c:pt idx="502">
                  <c:v>322.13763828690099</c:v>
                </c:pt>
                <c:pt idx="503">
                  <c:v>322.13763828690099</c:v>
                </c:pt>
                <c:pt idx="504">
                  <c:v>322.13763828690099</c:v>
                </c:pt>
                <c:pt idx="505">
                  <c:v>322.13763828690099</c:v>
                </c:pt>
                <c:pt idx="506">
                  <c:v>322.13763828690099</c:v>
                </c:pt>
                <c:pt idx="507">
                  <c:v>322.13763828690099</c:v>
                </c:pt>
                <c:pt idx="508">
                  <c:v>322.13763828690099</c:v>
                </c:pt>
                <c:pt idx="509">
                  <c:v>322.13763828690099</c:v>
                </c:pt>
                <c:pt idx="510">
                  <c:v>322.13763828690099</c:v>
                </c:pt>
                <c:pt idx="511">
                  <c:v>322.13763828690099</c:v>
                </c:pt>
                <c:pt idx="512">
                  <c:v>322.13763828690099</c:v>
                </c:pt>
                <c:pt idx="513">
                  <c:v>322.13763828690099</c:v>
                </c:pt>
                <c:pt idx="514">
                  <c:v>322.13763828690099</c:v>
                </c:pt>
                <c:pt idx="515">
                  <c:v>322.13763828690099</c:v>
                </c:pt>
                <c:pt idx="516">
                  <c:v>322.13763828690099</c:v>
                </c:pt>
                <c:pt idx="517">
                  <c:v>322.13763828690099</c:v>
                </c:pt>
                <c:pt idx="518">
                  <c:v>322.13763828690099</c:v>
                </c:pt>
                <c:pt idx="519">
                  <c:v>322.13763828690099</c:v>
                </c:pt>
                <c:pt idx="520">
                  <c:v>322.13763828690099</c:v>
                </c:pt>
                <c:pt idx="521">
                  <c:v>322.13763828690099</c:v>
                </c:pt>
                <c:pt idx="522">
                  <c:v>322.13763828690099</c:v>
                </c:pt>
                <c:pt idx="523">
                  <c:v>322.13763828690099</c:v>
                </c:pt>
                <c:pt idx="524">
                  <c:v>322.13763828690099</c:v>
                </c:pt>
                <c:pt idx="525">
                  <c:v>322.13763828690099</c:v>
                </c:pt>
                <c:pt idx="526">
                  <c:v>322.13763828690099</c:v>
                </c:pt>
                <c:pt idx="527">
                  <c:v>322.13763828690099</c:v>
                </c:pt>
                <c:pt idx="528">
                  <c:v>322.13763828690099</c:v>
                </c:pt>
                <c:pt idx="529">
                  <c:v>322.13763828690099</c:v>
                </c:pt>
                <c:pt idx="530">
                  <c:v>322.13763828690099</c:v>
                </c:pt>
                <c:pt idx="531">
                  <c:v>322.13763828690099</c:v>
                </c:pt>
                <c:pt idx="532">
                  <c:v>322.13763828690099</c:v>
                </c:pt>
                <c:pt idx="533">
                  <c:v>322.13763828690099</c:v>
                </c:pt>
                <c:pt idx="534">
                  <c:v>322.13763828690099</c:v>
                </c:pt>
                <c:pt idx="535">
                  <c:v>322.13763828690099</c:v>
                </c:pt>
                <c:pt idx="536">
                  <c:v>322.13763828690099</c:v>
                </c:pt>
                <c:pt idx="537">
                  <c:v>322.13763828690099</c:v>
                </c:pt>
                <c:pt idx="538">
                  <c:v>322.13763828690099</c:v>
                </c:pt>
                <c:pt idx="539">
                  <c:v>322.13763828690099</c:v>
                </c:pt>
                <c:pt idx="540">
                  <c:v>322.13763828690099</c:v>
                </c:pt>
                <c:pt idx="541">
                  <c:v>322.13763828690099</c:v>
                </c:pt>
                <c:pt idx="542">
                  <c:v>322.13763828690099</c:v>
                </c:pt>
                <c:pt idx="543">
                  <c:v>322.13763828690099</c:v>
                </c:pt>
                <c:pt idx="544">
                  <c:v>322.13763828690099</c:v>
                </c:pt>
                <c:pt idx="545">
                  <c:v>322.13763828690099</c:v>
                </c:pt>
                <c:pt idx="546">
                  <c:v>322.13763828690099</c:v>
                </c:pt>
                <c:pt idx="547">
                  <c:v>322.13763828690099</c:v>
                </c:pt>
                <c:pt idx="548">
                  <c:v>322.13763828690099</c:v>
                </c:pt>
                <c:pt idx="549">
                  <c:v>322.13763828690099</c:v>
                </c:pt>
                <c:pt idx="550">
                  <c:v>322.13763828690099</c:v>
                </c:pt>
                <c:pt idx="551">
                  <c:v>322.13763828690099</c:v>
                </c:pt>
                <c:pt idx="552">
                  <c:v>322.13763828690099</c:v>
                </c:pt>
                <c:pt idx="553">
                  <c:v>322.13763828690099</c:v>
                </c:pt>
                <c:pt idx="554">
                  <c:v>322.13763828690099</c:v>
                </c:pt>
                <c:pt idx="555">
                  <c:v>322.13763828690099</c:v>
                </c:pt>
                <c:pt idx="556">
                  <c:v>322.13763828690099</c:v>
                </c:pt>
                <c:pt idx="557">
                  <c:v>322.13763828690099</c:v>
                </c:pt>
                <c:pt idx="558">
                  <c:v>322.13763828690099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92-4ABA-A25D-0A3B993FD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104904"/>
        <c:axId val="461669760"/>
      </c:scatterChart>
      <c:scatterChart>
        <c:scatterStyle val="smoothMarker"/>
        <c:varyColors val="0"/>
        <c:ser>
          <c:idx val="7"/>
          <c:order val="3"/>
          <c:tx>
            <c:strRef>
              <c:f>'Maju 0.1'!$A$6</c:f>
              <c:strCache>
                <c:ptCount val="1"/>
                <c:pt idx="0">
                  <c:v>Input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'Maju 0.1'!$D$7:$D$565</c:f>
              <c:numCache>
                <c:formatCode>0.000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5.2989000000707165E-3</c:v>
                </c:pt>
                <c:pt idx="3">
                  <c:v>9.2048999999860825E-3</c:v>
                </c:pt>
                <c:pt idx="4">
                  <c:v>2.7168100000380946E-2</c:v>
                </c:pt>
                <c:pt idx="5">
                  <c:v>4.3313000000125612E-2</c:v>
                </c:pt>
                <c:pt idx="6">
                  <c:v>5.8556899999985035E-2</c:v>
                </c:pt>
                <c:pt idx="7">
                  <c:v>7.4511200000415556E-2</c:v>
                </c:pt>
                <c:pt idx="8">
                  <c:v>8.9335699999992357E-2</c:v>
                </c:pt>
                <c:pt idx="9">
                  <c:v>0.10529730000007476</c:v>
                </c:pt>
                <c:pt idx="10">
                  <c:v>0.12134990000004109</c:v>
                </c:pt>
                <c:pt idx="11">
                  <c:v>0.13719690000016271</c:v>
                </c:pt>
                <c:pt idx="12">
                  <c:v>0.15306950000012876</c:v>
                </c:pt>
                <c:pt idx="13">
                  <c:v>0.16923990000032063</c:v>
                </c:pt>
                <c:pt idx="14">
                  <c:v>0.18482170000015685</c:v>
                </c:pt>
                <c:pt idx="15">
                  <c:v>0.20079230000010284</c:v>
                </c:pt>
                <c:pt idx="16">
                  <c:v>0.21585990000039601</c:v>
                </c:pt>
                <c:pt idx="17">
                  <c:v>0.23115530000040962</c:v>
                </c:pt>
                <c:pt idx="18">
                  <c:v>0.24731440000005023</c:v>
                </c:pt>
                <c:pt idx="19">
                  <c:v>0.26257580000037706</c:v>
                </c:pt>
                <c:pt idx="20">
                  <c:v>0.2780137000004288</c:v>
                </c:pt>
                <c:pt idx="21">
                  <c:v>0.2941795000001548</c:v>
                </c:pt>
                <c:pt idx="22">
                  <c:v>0.30981510000037815</c:v>
                </c:pt>
                <c:pt idx="23">
                  <c:v>0.32596110000031331</c:v>
                </c:pt>
                <c:pt idx="24">
                  <c:v>0.34174560000019483</c:v>
                </c:pt>
                <c:pt idx="25">
                  <c:v>0.35752370000000155</c:v>
                </c:pt>
                <c:pt idx="26">
                  <c:v>0.37302320000026157</c:v>
                </c:pt>
                <c:pt idx="27">
                  <c:v>0.38870820000011008</c:v>
                </c:pt>
                <c:pt idx="28">
                  <c:v>0.40394320000041262</c:v>
                </c:pt>
                <c:pt idx="29">
                  <c:v>0.4197916000002806</c:v>
                </c:pt>
                <c:pt idx="30">
                  <c:v>0.43575710000004619</c:v>
                </c:pt>
                <c:pt idx="31">
                  <c:v>0.45149400000036621</c:v>
                </c:pt>
                <c:pt idx="32">
                  <c:v>0.46699660000012955</c:v>
                </c:pt>
                <c:pt idx="33">
                  <c:v>0.4830205000002934</c:v>
                </c:pt>
                <c:pt idx="34">
                  <c:v>0.49845470000036585</c:v>
                </c:pt>
                <c:pt idx="35">
                  <c:v>0.51411460000008447</c:v>
                </c:pt>
                <c:pt idx="36">
                  <c:v>0.52958090000038283</c:v>
                </c:pt>
                <c:pt idx="37">
                  <c:v>0.54471950000015568</c:v>
                </c:pt>
                <c:pt idx="38">
                  <c:v>0.55994790000022476</c:v>
                </c:pt>
                <c:pt idx="39">
                  <c:v>0.57620560000032128</c:v>
                </c:pt>
                <c:pt idx="40">
                  <c:v>0.59083770000006552</c:v>
                </c:pt>
                <c:pt idx="41">
                  <c:v>0.60626369999999952</c:v>
                </c:pt>
                <c:pt idx="42">
                  <c:v>0.6214124000002812</c:v>
                </c:pt>
                <c:pt idx="43">
                  <c:v>0.63753459999998086</c:v>
                </c:pt>
                <c:pt idx="44">
                  <c:v>0.65260699999998906</c:v>
                </c:pt>
                <c:pt idx="45">
                  <c:v>0.66794340000024022</c:v>
                </c:pt>
                <c:pt idx="46">
                  <c:v>0.68331380000017816</c:v>
                </c:pt>
                <c:pt idx="47">
                  <c:v>0.69856420000041908</c:v>
                </c:pt>
                <c:pt idx="48">
                  <c:v>0.7138716000004024</c:v>
                </c:pt>
                <c:pt idx="49">
                  <c:v>0.73025120000011157</c:v>
                </c:pt>
                <c:pt idx="50">
                  <c:v>0.74559630000021571</c:v>
                </c:pt>
                <c:pt idx="51">
                  <c:v>0.7610821000002943</c:v>
                </c:pt>
                <c:pt idx="52">
                  <c:v>0.77641560000029131</c:v>
                </c:pt>
                <c:pt idx="53">
                  <c:v>0.79153070000029402</c:v>
                </c:pt>
                <c:pt idx="54">
                  <c:v>0.80748250000033295</c:v>
                </c:pt>
                <c:pt idx="55">
                  <c:v>0.82297660000040196</c:v>
                </c:pt>
                <c:pt idx="56">
                  <c:v>0.83904410000013741</c:v>
                </c:pt>
                <c:pt idx="57">
                  <c:v>0.85417240000015227</c:v>
                </c:pt>
                <c:pt idx="58">
                  <c:v>0.86972920000016529</c:v>
                </c:pt>
                <c:pt idx="59">
                  <c:v>0.88524850000021615</c:v>
                </c:pt>
                <c:pt idx="60">
                  <c:v>0.90091920000031678</c:v>
                </c:pt>
                <c:pt idx="61">
                  <c:v>0.90367850000029648</c:v>
                </c:pt>
                <c:pt idx="62">
                  <c:v>0.91670670000030441</c:v>
                </c:pt>
                <c:pt idx="63">
                  <c:v>0.93219020000015007</c:v>
                </c:pt>
                <c:pt idx="64">
                  <c:v>0.94763220000004367</c:v>
                </c:pt>
                <c:pt idx="65">
                  <c:v>0.96272680000038235</c:v>
                </c:pt>
                <c:pt idx="66">
                  <c:v>0.97808190000023387</c:v>
                </c:pt>
                <c:pt idx="67">
                  <c:v>0.9934240000002319</c:v>
                </c:pt>
                <c:pt idx="68">
                  <c:v>1.0095186000003196</c:v>
                </c:pt>
                <c:pt idx="69">
                  <c:v>1.0249522000003708</c:v>
                </c:pt>
                <c:pt idx="70">
                  <c:v>1.0401796000001013</c:v>
                </c:pt>
                <c:pt idx="71">
                  <c:v>1.055965400000332</c:v>
                </c:pt>
                <c:pt idx="72">
                  <c:v>1.0718302000000222</c:v>
                </c:pt>
                <c:pt idx="73">
                  <c:v>1.0875557000003937</c:v>
                </c:pt>
                <c:pt idx="74">
                  <c:v>1.1028458000000683</c:v>
                </c:pt>
                <c:pt idx="75">
                  <c:v>1.1188025999999809</c:v>
                </c:pt>
                <c:pt idx="76">
                  <c:v>1.1348634000000857</c:v>
                </c:pt>
                <c:pt idx="77">
                  <c:v>1.1506616000001486</c:v>
                </c:pt>
                <c:pt idx="78">
                  <c:v>1.1660625000004075</c:v>
                </c:pt>
                <c:pt idx="79">
                  <c:v>1.1819746000001032</c:v>
                </c:pt>
                <c:pt idx="80">
                  <c:v>1.197920300000078</c:v>
                </c:pt>
                <c:pt idx="81">
                  <c:v>1.2132191000000603</c:v>
                </c:pt>
                <c:pt idx="82">
                  <c:v>1.2292172000002211</c:v>
                </c:pt>
                <c:pt idx="83">
                  <c:v>1.2446591000002627</c:v>
                </c:pt>
                <c:pt idx="84">
                  <c:v>1.2601951999999983</c:v>
                </c:pt>
                <c:pt idx="85">
                  <c:v>1.2756392000001142</c:v>
                </c:pt>
                <c:pt idx="86">
                  <c:v>1.2915996000001542</c:v>
                </c:pt>
                <c:pt idx="87">
                  <c:v>1.3068004000001565</c:v>
                </c:pt>
                <c:pt idx="88">
                  <c:v>1.3228144000004249</c:v>
                </c:pt>
                <c:pt idx="89">
                  <c:v>1.338255300000128</c:v>
                </c:pt>
                <c:pt idx="90">
                  <c:v>1.3536158000001706</c:v>
                </c:pt>
                <c:pt idx="91">
                  <c:v>1.3692170000003898</c:v>
                </c:pt>
                <c:pt idx="92">
                  <c:v>1.3851982000001044</c:v>
                </c:pt>
                <c:pt idx="93">
                  <c:v>1.4013238000002275</c:v>
                </c:pt>
                <c:pt idx="94">
                  <c:v>1.4175716000004286</c:v>
                </c:pt>
                <c:pt idx="95">
                  <c:v>1.433107000000291</c:v>
                </c:pt>
                <c:pt idx="96">
                  <c:v>1.4486382000000049</c:v>
                </c:pt>
                <c:pt idx="97">
                  <c:v>1.464110900000378</c:v>
                </c:pt>
                <c:pt idx="98">
                  <c:v>1.4797096000002057</c:v>
                </c:pt>
                <c:pt idx="99">
                  <c:v>1.4950284000001375</c:v>
                </c:pt>
                <c:pt idx="100">
                  <c:v>1.511221100000057</c:v>
                </c:pt>
                <c:pt idx="101">
                  <c:v>1.5267674000001534</c:v>
                </c:pt>
                <c:pt idx="102">
                  <c:v>1.542782200000147</c:v>
                </c:pt>
                <c:pt idx="103">
                  <c:v>1.5579615000001468</c:v>
                </c:pt>
                <c:pt idx="104">
                  <c:v>1.573585400000411</c:v>
                </c:pt>
                <c:pt idx="105">
                  <c:v>1.589252000000215</c:v>
                </c:pt>
                <c:pt idx="106">
                  <c:v>1.603999400000248</c:v>
                </c:pt>
                <c:pt idx="107">
                  <c:v>1.6198876000003111</c:v>
                </c:pt>
                <c:pt idx="108">
                  <c:v>1.6361267000002044</c:v>
                </c:pt>
                <c:pt idx="109">
                  <c:v>1.6512564000004204</c:v>
                </c:pt>
                <c:pt idx="110">
                  <c:v>1.6663169000003109</c:v>
                </c:pt>
                <c:pt idx="111">
                  <c:v>1.6817897000000812</c:v>
                </c:pt>
                <c:pt idx="112">
                  <c:v>1.6973350000002938</c:v>
                </c:pt>
                <c:pt idx="113">
                  <c:v>1.7125753000000259</c:v>
                </c:pt>
                <c:pt idx="114">
                  <c:v>1.7276518000003307</c:v>
                </c:pt>
                <c:pt idx="115">
                  <c:v>1.7429422000000159</c:v>
                </c:pt>
                <c:pt idx="116">
                  <c:v>1.7582855000000563</c:v>
                </c:pt>
                <c:pt idx="117">
                  <c:v>1.773996200000056</c:v>
                </c:pt>
                <c:pt idx="118">
                  <c:v>1.7897581000001992</c:v>
                </c:pt>
                <c:pt idx="119">
                  <c:v>1.8050165000004199</c:v>
                </c:pt>
                <c:pt idx="120">
                  <c:v>1.8200581000000966</c:v>
                </c:pt>
                <c:pt idx="121">
                  <c:v>1.8358427000002848</c:v>
                </c:pt>
                <c:pt idx="122">
                  <c:v>1.8507931000003737</c:v>
                </c:pt>
                <c:pt idx="123">
                  <c:v>1.8669764000001123</c:v>
                </c:pt>
                <c:pt idx="124">
                  <c:v>1.8826533000001291</c:v>
                </c:pt>
                <c:pt idx="125">
                  <c:v>1.8972933000000012</c:v>
                </c:pt>
                <c:pt idx="126">
                  <c:v>1.9133269000003565</c:v>
                </c:pt>
                <c:pt idx="127">
                  <c:v>1.9296000000003914</c:v>
                </c:pt>
                <c:pt idx="128">
                  <c:v>1.9452049000001352</c:v>
                </c:pt>
                <c:pt idx="129">
                  <c:v>1.9606398000000809</c:v>
                </c:pt>
                <c:pt idx="130">
                  <c:v>1.9759725000003527</c:v>
                </c:pt>
                <c:pt idx="131">
                  <c:v>1.9914278000001104</c:v>
                </c:pt>
                <c:pt idx="132">
                  <c:v>2.0069760000001224</c:v>
                </c:pt>
                <c:pt idx="133">
                  <c:v>2.0227060000001984</c:v>
                </c:pt>
                <c:pt idx="134">
                  <c:v>2.0380438000001959</c:v>
                </c:pt>
                <c:pt idx="135">
                  <c:v>2.0530307000003631</c:v>
                </c:pt>
                <c:pt idx="136">
                  <c:v>2.0684856000002583</c:v>
                </c:pt>
                <c:pt idx="137">
                  <c:v>2.0836755000000267</c:v>
                </c:pt>
                <c:pt idx="138">
                  <c:v>2.0990962000000764</c:v>
                </c:pt>
                <c:pt idx="139">
                  <c:v>2.1141289000001962</c:v>
                </c:pt>
                <c:pt idx="140">
                  <c:v>2.1296484000004057</c:v>
                </c:pt>
                <c:pt idx="141">
                  <c:v>2.1453720000004068</c:v>
                </c:pt>
                <c:pt idx="142">
                  <c:v>2.1608561000002737</c:v>
                </c:pt>
                <c:pt idx="143">
                  <c:v>2.1762023000001136</c:v>
                </c:pt>
                <c:pt idx="144">
                  <c:v>2.191330999999991</c:v>
                </c:pt>
                <c:pt idx="145">
                  <c:v>2.2065747000001465</c:v>
                </c:pt>
                <c:pt idx="146">
                  <c:v>2.2223314000002574</c:v>
                </c:pt>
                <c:pt idx="147">
                  <c:v>2.2377394000000095</c:v>
                </c:pt>
                <c:pt idx="148">
                  <c:v>2.2529523000002882</c:v>
                </c:pt>
                <c:pt idx="149">
                  <c:v>2.2684573999999884</c:v>
                </c:pt>
                <c:pt idx="150">
                  <c:v>2.2840030000002116</c:v>
                </c:pt>
                <c:pt idx="151">
                  <c:v>2.2868802000002688</c:v>
                </c:pt>
                <c:pt idx="152">
                  <c:v>2.2995488000001387</c:v>
                </c:pt>
                <c:pt idx="153">
                  <c:v>2.3149207999999817</c:v>
                </c:pt>
                <c:pt idx="154">
                  <c:v>2.3300423000000592</c:v>
                </c:pt>
                <c:pt idx="155">
                  <c:v>2.3454623000002357</c:v>
                </c:pt>
                <c:pt idx="156">
                  <c:v>2.3615370000002258</c:v>
                </c:pt>
                <c:pt idx="157">
                  <c:v>2.3767136000001301</c:v>
                </c:pt>
                <c:pt idx="158">
                  <c:v>2.3927026000001206</c:v>
                </c:pt>
                <c:pt idx="159">
                  <c:v>2.4083026000002974</c:v>
                </c:pt>
                <c:pt idx="160">
                  <c:v>2.4243546000002425</c:v>
                </c:pt>
                <c:pt idx="161">
                  <c:v>2.4402967000000899</c:v>
                </c:pt>
                <c:pt idx="162">
                  <c:v>2.4554897000002711</c:v>
                </c:pt>
                <c:pt idx="163">
                  <c:v>2.4712208000000828</c:v>
                </c:pt>
                <c:pt idx="164">
                  <c:v>2.4867932000001929</c:v>
                </c:pt>
                <c:pt idx="165">
                  <c:v>2.5027567000001909</c:v>
                </c:pt>
                <c:pt idx="166">
                  <c:v>2.5181257000003825</c:v>
                </c:pt>
                <c:pt idx="167">
                  <c:v>2.5331108000000313</c:v>
                </c:pt>
                <c:pt idx="168">
                  <c:v>2.5489589000003434</c:v>
                </c:pt>
                <c:pt idx="169">
                  <c:v>2.5650508000003356</c:v>
                </c:pt>
                <c:pt idx="170">
                  <c:v>2.5803182000004199</c:v>
                </c:pt>
                <c:pt idx="171">
                  <c:v>2.5957627000002503</c:v>
                </c:pt>
                <c:pt idx="172">
                  <c:v>2.6111039000002165</c:v>
                </c:pt>
                <c:pt idx="173">
                  <c:v>2.6267086000002564</c:v>
                </c:pt>
                <c:pt idx="174">
                  <c:v>2.6419436000001042</c:v>
                </c:pt>
                <c:pt idx="175">
                  <c:v>2.6580228000002535</c:v>
                </c:pt>
                <c:pt idx="176">
                  <c:v>2.6738740000000689</c:v>
                </c:pt>
                <c:pt idx="177">
                  <c:v>2.6894137000003866</c:v>
                </c:pt>
                <c:pt idx="178">
                  <c:v>2.7046626000001197</c:v>
                </c:pt>
                <c:pt idx="179">
                  <c:v>2.7199347000000671</c:v>
                </c:pt>
                <c:pt idx="180">
                  <c:v>2.7358025000003181</c:v>
                </c:pt>
                <c:pt idx="181">
                  <c:v>2.7508734000002733</c:v>
                </c:pt>
                <c:pt idx="182">
                  <c:v>2.7659552000000076</c:v>
                </c:pt>
                <c:pt idx="183">
                  <c:v>2.7808774000000085</c:v>
                </c:pt>
                <c:pt idx="184">
                  <c:v>2.7956675000000359</c:v>
                </c:pt>
                <c:pt idx="185">
                  <c:v>2.811707800000022</c:v>
                </c:pt>
                <c:pt idx="186">
                  <c:v>2.8270329000001766</c:v>
                </c:pt>
                <c:pt idx="187">
                  <c:v>2.8423720000000685</c:v>
                </c:pt>
                <c:pt idx="188">
                  <c:v>2.858502700000372</c:v>
                </c:pt>
                <c:pt idx="189">
                  <c:v>2.8740185000001475</c:v>
                </c:pt>
                <c:pt idx="190">
                  <c:v>2.8900909000003594</c:v>
                </c:pt>
                <c:pt idx="191">
                  <c:v>2.9053735000002234</c:v>
                </c:pt>
                <c:pt idx="192">
                  <c:v>2.921306100000038</c:v>
                </c:pt>
                <c:pt idx="193">
                  <c:v>2.9369955000001937</c:v>
                </c:pt>
                <c:pt idx="194">
                  <c:v>2.9526253000003635</c:v>
                </c:pt>
                <c:pt idx="195">
                  <c:v>2.9675974000001588</c:v>
                </c:pt>
                <c:pt idx="196">
                  <c:v>2.9831733000000895</c:v>
                </c:pt>
                <c:pt idx="197">
                  <c:v>2.9984130000002551</c:v>
                </c:pt>
                <c:pt idx="198">
                  <c:v>3.0135693000001993</c:v>
                </c:pt>
                <c:pt idx="199">
                  <c:v>3.0290494000000763</c:v>
                </c:pt>
                <c:pt idx="200">
                  <c:v>3.0444785000004231</c:v>
                </c:pt>
                <c:pt idx="201">
                  <c:v>3.0598500000000968</c:v>
                </c:pt>
                <c:pt idx="202">
                  <c:v>3.0750644000004286</c:v>
                </c:pt>
                <c:pt idx="203">
                  <c:v>3.0904241000002912</c:v>
                </c:pt>
                <c:pt idx="204">
                  <c:v>3.1064377000002423</c:v>
                </c:pt>
                <c:pt idx="205">
                  <c:v>3.1225518000001102</c:v>
                </c:pt>
                <c:pt idx="206">
                  <c:v>3.138448800000333</c:v>
                </c:pt>
                <c:pt idx="207">
                  <c:v>3.1540184000000409</c:v>
                </c:pt>
                <c:pt idx="208">
                  <c:v>3.1689089999999851</c:v>
                </c:pt>
                <c:pt idx="209">
                  <c:v>3.1849315000004026</c:v>
                </c:pt>
                <c:pt idx="210">
                  <c:v>3.2003816000001279</c:v>
                </c:pt>
                <c:pt idx="211">
                  <c:v>3.2153074000002562</c:v>
                </c:pt>
                <c:pt idx="212">
                  <c:v>3.2629249999999956</c:v>
                </c:pt>
                <c:pt idx="213">
                  <c:v>3.2789824000001317</c:v>
                </c:pt>
                <c:pt idx="214">
                  <c:v>3.2943454000001111</c:v>
                </c:pt>
                <c:pt idx="215">
                  <c:v>3.3418642999999975</c:v>
                </c:pt>
                <c:pt idx="216">
                  <c:v>3.357551400000375</c:v>
                </c:pt>
                <c:pt idx="217">
                  <c:v>3.4502027000003181</c:v>
                </c:pt>
                <c:pt idx="218">
                  <c:v>3.466481400000248</c:v>
                </c:pt>
                <c:pt idx="219">
                  <c:v>3.4815856000000167</c:v>
                </c:pt>
                <c:pt idx="220">
                  <c:v>3.496932100000322</c:v>
                </c:pt>
                <c:pt idx="221">
                  <c:v>3.5277230000001509</c:v>
                </c:pt>
                <c:pt idx="222">
                  <c:v>3.5595329000002494</c:v>
                </c:pt>
                <c:pt idx="223">
                  <c:v>3.590596000000005</c:v>
                </c:pt>
                <c:pt idx="224">
                  <c:v>3.6220025000002352</c:v>
                </c:pt>
                <c:pt idx="225">
                  <c:v>3.6521181000002798</c:v>
                </c:pt>
                <c:pt idx="226">
                  <c:v>3.7453942000001916</c:v>
                </c:pt>
                <c:pt idx="227">
                  <c:v>3.7610059000003275</c:v>
                </c:pt>
                <c:pt idx="228">
                  <c:v>3.7763112000002366</c:v>
                </c:pt>
                <c:pt idx="229">
                  <c:v>3.7926324000000022</c:v>
                </c:pt>
                <c:pt idx="230">
                  <c:v>3.8087636000000202</c:v>
                </c:pt>
                <c:pt idx="231">
                  <c:v>3.8874061999999867</c:v>
                </c:pt>
                <c:pt idx="232">
                  <c:v>3.9030201000000488</c:v>
                </c:pt>
                <c:pt idx="233">
                  <c:v>3.9183447000000342</c:v>
                </c:pt>
                <c:pt idx="234">
                  <c:v>3.9338287000000491</c:v>
                </c:pt>
                <c:pt idx="235">
                  <c:v>3.9800678999999946</c:v>
                </c:pt>
                <c:pt idx="236">
                  <c:v>3.995798900000409</c:v>
                </c:pt>
                <c:pt idx="237">
                  <c:v>4.0423875999999836</c:v>
                </c:pt>
                <c:pt idx="238">
                  <c:v>4.0739817000003313</c:v>
                </c:pt>
                <c:pt idx="239">
                  <c:v>4.1044402000002265</c:v>
                </c:pt>
                <c:pt idx="240">
                  <c:v>4.1355275000000802</c:v>
                </c:pt>
                <c:pt idx="241">
                  <c:v>4.1654601000000184</c:v>
                </c:pt>
                <c:pt idx="242">
                  <c:v>4.1966453000000001</c:v>
                </c:pt>
                <c:pt idx="243">
                  <c:v>4.2278092000001379</c:v>
                </c:pt>
                <c:pt idx="244">
                  <c:v>4.2745982000001277</c:v>
                </c:pt>
                <c:pt idx="245">
                  <c:v>4.3050646000001507</c:v>
                </c:pt>
                <c:pt idx="246">
                  <c:v>4.3357205000002068</c:v>
                </c:pt>
                <c:pt idx="247">
                  <c:v>4.3668618000001516</c:v>
                </c:pt>
                <c:pt idx="248">
                  <c:v>4.3979300000000876</c:v>
                </c:pt>
                <c:pt idx="249">
                  <c:v>4.4284158000000389</c:v>
                </c:pt>
                <c:pt idx="250">
                  <c:v>4.4752190000003793</c:v>
                </c:pt>
                <c:pt idx="251">
                  <c:v>4.5070405000001301</c:v>
                </c:pt>
                <c:pt idx="252">
                  <c:v>4.5080405000001305</c:v>
                </c:pt>
                <c:pt idx="253">
                  <c:v>4.537615900000219</c:v>
                </c:pt>
                <c:pt idx="254">
                  <c:v>4.5528210000002218</c:v>
                </c:pt>
                <c:pt idx="255">
                  <c:v>4.5840331000003971</c:v>
                </c:pt>
                <c:pt idx="256">
                  <c:v>4.6146783000003779</c:v>
                </c:pt>
                <c:pt idx="257">
                  <c:v>4.6612142000003587</c:v>
                </c:pt>
                <c:pt idx="258">
                  <c:v>4.6927078000003348</c:v>
                </c:pt>
                <c:pt idx="259">
                  <c:v>4.7241723000001912</c:v>
                </c:pt>
                <c:pt idx="260">
                  <c:v>4.7552841000001536</c:v>
                </c:pt>
                <c:pt idx="261">
                  <c:v>4.7871487000002162</c:v>
                </c:pt>
                <c:pt idx="262">
                  <c:v>4.8184103000003233</c:v>
                </c:pt>
                <c:pt idx="263">
                  <c:v>4.8648840000000746</c:v>
                </c:pt>
                <c:pt idx="264">
                  <c:v>4.8959517000002961</c:v>
                </c:pt>
                <c:pt idx="265">
                  <c:v>4.9267509000001155</c:v>
                </c:pt>
                <c:pt idx="266">
                  <c:v>4.9738620000002811</c:v>
                </c:pt>
                <c:pt idx="267">
                  <c:v>4.9892149000002064</c:v>
                </c:pt>
                <c:pt idx="268">
                  <c:v>5.0212012000001778</c:v>
                </c:pt>
                <c:pt idx="269">
                  <c:v>5.0516725000002225</c:v>
                </c:pt>
                <c:pt idx="270">
                  <c:v>5.0827851000003648</c:v>
                </c:pt>
                <c:pt idx="271">
                  <c:v>5.1137316000003921</c:v>
                </c:pt>
                <c:pt idx="272">
                  <c:v>5.1452981000002183</c:v>
                </c:pt>
                <c:pt idx="273">
                  <c:v>5.1763471000003847</c:v>
                </c:pt>
                <c:pt idx="274">
                  <c:v>5.206453700000111</c:v>
                </c:pt>
                <c:pt idx="275">
                  <c:v>5.2538562000004276</c:v>
                </c:pt>
                <c:pt idx="276">
                  <c:v>5.2850330000001122</c:v>
                </c:pt>
                <c:pt idx="277">
                  <c:v>5.3151507000002312</c:v>
                </c:pt>
                <c:pt idx="278">
                  <c:v>5.3462414000000535</c:v>
                </c:pt>
                <c:pt idx="279">
                  <c:v>5.3769308000000819</c:v>
                </c:pt>
                <c:pt idx="280">
                  <c:v>5.4089211000000432</c:v>
                </c:pt>
                <c:pt idx="281">
                  <c:v>5.4551541000000725</c:v>
                </c:pt>
                <c:pt idx="282">
                  <c:v>5.4857228000000759</c:v>
                </c:pt>
                <c:pt idx="283">
                  <c:v>5.5166819000000942</c:v>
                </c:pt>
                <c:pt idx="284">
                  <c:v>5.5484199000002263</c:v>
                </c:pt>
                <c:pt idx="285">
                  <c:v>5.5797838000003139</c:v>
                </c:pt>
                <c:pt idx="286">
                  <c:v>5.6095580000001064</c:v>
                </c:pt>
                <c:pt idx="287">
                  <c:v>5.6410262000003968</c:v>
                </c:pt>
                <c:pt idx="288">
                  <c:v>5.6720820000000458</c:v>
                </c:pt>
                <c:pt idx="289">
                  <c:v>5.7036822000000029</c:v>
                </c:pt>
                <c:pt idx="290">
                  <c:v>5.7347582000002149</c:v>
                </c:pt>
                <c:pt idx="291">
                  <c:v>5.7660101999999824</c:v>
                </c:pt>
                <c:pt idx="292">
                  <c:v>5.7983756000003268</c:v>
                </c:pt>
                <c:pt idx="293">
                  <c:v>5.8292917000003399</c:v>
                </c:pt>
                <c:pt idx="294">
                  <c:v>5.8760879999999815</c:v>
                </c:pt>
                <c:pt idx="295">
                  <c:v>5.9069489000003159</c:v>
                </c:pt>
                <c:pt idx="296">
                  <c:v>5.9376335000001745</c:v>
                </c:pt>
                <c:pt idx="297">
                  <c:v>5.9686227000001963</c:v>
                </c:pt>
                <c:pt idx="298">
                  <c:v>5.999062700000195</c:v>
                </c:pt>
                <c:pt idx="299">
                  <c:v>6.0304338000000826</c:v>
                </c:pt>
                <c:pt idx="300">
                  <c:v>6.0618288000000575</c:v>
                </c:pt>
                <c:pt idx="301">
                  <c:v>6.0927022000000761</c:v>
                </c:pt>
                <c:pt idx="302">
                  <c:v>6.1397364000004018</c:v>
                </c:pt>
                <c:pt idx="303">
                  <c:v>6.1711775000003399</c:v>
                </c:pt>
                <c:pt idx="304">
                  <c:v>6.1872160000002623</c:v>
                </c:pt>
                <c:pt idx="305">
                  <c:v>6.2184366000001319</c:v>
                </c:pt>
                <c:pt idx="306">
                  <c:v>6.2489861000003657</c:v>
                </c:pt>
                <c:pt idx="307">
                  <c:v>6.2801828999999998</c:v>
                </c:pt>
                <c:pt idx="308">
                  <c:v>6.3263348000000406</c:v>
                </c:pt>
                <c:pt idx="309">
                  <c:v>6.3577290000002904</c:v>
                </c:pt>
                <c:pt idx="310">
                  <c:v>6.3879193000002488</c:v>
                </c:pt>
                <c:pt idx="311">
                  <c:v>6.4188283000003139</c:v>
                </c:pt>
                <c:pt idx="312">
                  <c:v>6.4498166000003039</c:v>
                </c:pt>
                <c:pt idx="313">
                  <c:v>6.4810206000001926</c:v>
                </c:pt>
                <c:pt idx="314">
                  <c:v>6.5271981000000778</c:v>
                </c:pt>
                <c:pt idx="315">
                  <c:v>6.5573610000001281</c:v>
                </c:pt>
                <c:pt idx="316">
                  <c:v>6.5885600000001432</c:v>
                </c:pt>
                <c:pt idx="317">
                  <c:v>6.6192061000001559</c:v>
                </c:pt>
                <c:pt idx="318">
                  <c:v>6.6495939999999791</c:v>
                </c:pt>
                <c:pt idx="319">
                  <c:v>6.6809850000004189</c:v>
                </c:pt>
                <c:pt idx="320">
                  <c:v>6.7279085000000123</c:v>
                </c:pt>
                <c:pt idx="321">
                  <c:v>6.7590113000001111</c:v>
                </c:pt>
                <c:pt idx="322">
                  <c:v>6.7899225000001024</c:v>
                </c:pt>
                <c:pt idx="323">
                  <c:v>6.8056283000000803</c:v>
                </c:pt>
                <c:pt idx="324">
                  <c:v>6.8376799000002393</c:v>
                </c:pt>
                <c:pt idx="325">
                  <c:v>6.8684104000003572</c:v>
                </c:pt>
                <c:pt idx="326">
                  <c:v>6.9149276000002828</c:v>
                </c:pt>
                <c:pt idx="327">
                  <c:v>6.946722900000168</c:v>
                </c:pt>
                <c:pt idx="328">
                  <c:v>6.9777452000002995</c:v>
                </c:pt>
                <c:pt idx="329">
                  <c:v>7.0080390000002808</c:v>
                </c:pt>
                <c:pt idx="330">
                  <c:v>7.039289700000154</c:v>
                </c:pt>
                <c:pt idx="331">
                  <c:v>7.0705900000002657</c:v>
                </c:pt>
                <c:pt idx="332">
                  <c:v>7.1177352000004248</c:v>
                </c:pt>
                <c:pt idx="333">
                  <c:v>7.149779700000181</c:v>
                </c:pt>
                <c:pt idx="334">
                  <c:v>7.1810393000000659</c:v>
                </c:pt>
                <c:pt idx="335">
                  <c:v>7.2121169000001828</c:v>
                </c:pt>
                <c:pt idx="336">
                  <c:v>7.2427593000002162</c:v>
                </c:pt>
                <c:pt idx="337">
                  <c:v>7.2730527000003349</c:v>
                </c:pt>
                <c:pt idx="338">
                  <c:v>7.3046481000001222</c:v>
                </c:pt>
                <c:pt idx="339">
                  <c:v>7.3364228000000367</c:v>
                </c:pt>
                <c:pt idx="340">
                  <c:v>7.367167000000336</c:v>
                </c:pt>
                <c:pt idx="341">
                  <c:v>7.3981877000001077</c:v>
                </c:pt>
                <c:pt idx="342">
                  <c:v>7.4297265000000152</c:v>
                </c:pt>
                <c:pt idx="343">
                  <c:v>7.4607101999999941</c:v>
                </c:pt>
                <c:pt idx="344">
                  <c:v>7.4922096000000238</c:v>
                </c:pt>
                <c:pt idx="345">
                  <c:v>7.5385995000001458</c:v>
                </c:pt>
                <c:pt idx="346">
                  <c:v>7.570056200000181</c:v>
                </c:pt>
                <c:pt idx="347">
                  <c:v>7.6007871000001614</c:v>
                </c:pt>
                <c:pt idx="348">
                  <c:v>7.6318452000000434</c:v>
                </c:pt>
                <c:pt idx="349">
                  <c:v>7.6628080000000409</c:v>
                </c:pt>
                <c:pt idx="350">
                  <c:v>7.693853300000228</c:v>
                </c:pt>
                <c:pt idx="351">
                  <c:v>7.740906300000006</c:v>
                </c:pt>
                <c:pt idx="352">
                  <c:v>7.7560024000003978</c:v>
                </c:pt>
                <c:pt idx="353">
                  <c:v>7.8027047000000493</c:v>
                </c:pt>
                <c:pt idx="354">
                  <c:v>7.818170800000189</c:v>
                </c:pt>
                <c:pt idx="355">
                  <c:v>7.849333900000147</c:v>
                </c:pt>
                <c:pt idx="356">
                  <c:v>7.8953836000000592</c:v>
                </c:pt>
                <c:pt idx="357">
                  <c:v>7.9105360000003202</c:v>
                </c:pt>
                <c:pt idx="358">
                  <c:v>7.9416419000003771</c:v>
                </c:pt>
                <c:pt idx="359">
                  <c:v>7.988133000000289</c:v>
                </c:pt>
                <c:pt idx="360">
                  <c:v>8.0195339000001695</c:v>
                </c:pt>
                <c:pt idx="361">
                  <c:v>8.0499366000003647</c:v>
                </c:pt>
                <c:pt idx="362">
                  <c:v>8.0813528000003316</c:v>
                </c:pt>
                <c:pt idx="363">
                  <c:v>8.1119710000002669</c:v>
                </c:pt>
                <c:pt idx="364">
                  <c:v>8.1418160000002899</c:v>
                </c:pt>
                <c:pt idx="365">
                  <c:v>8.1884018000000651</c:v>
                </c:pt>
                <c:pt idx="366">
                  <c:v>8.2195125000002918</c:v>
                </c:pt>
                <c:pt idx="367">
                  <c:v>8.2505235000003267</c:v>
                </c:pt>
                <c:pt idx="368">
                  <c:v>8.2813416000003599</c:v>
                </c:pt>
                <c:pt idx="369">
                  <c:v>8.3130092000001241</c:v>
                </c:pt>
                <c:pt idx="370">
                  <c:v>8.3439578000002257</c:v>
                </c:pt>
                <c:pt idx="371">
                  <c:v>8.3752976000000672</c:v>
                </c:pt>
                <c:pt idx="372">
                  <c:v>8.4216149000003497</c:v>
                </c:pt>
                <c:pt idx="373">
                  <c:v>8.435135100000025</c:v>
                </c:pt>
                <c:pt idx="374">
                  <c:v>8.4680778000001737</c:v>
                </c:pt>
                <c:pt idx="375">
                  <c:v>8.4993426000000909</c:v>
                </c:pt>
                <c:pt idx="376">
                  <c:v>8.5301843000002009</c:v>
                </c:pt>
                <c:pt idx="377">
                  <c:v>8.5311843000002003</c:v>
                </c:pt>
                <c:pt idx="378">
                  <c:v>8.5615048000004208</c:v>
                </c:pt>
                <c:pt idx="379">
                  <c:v>8.6084997000002659</c:v>
                </c:pt>
                <c:pt idx="380">
                  <c:v>8.6396508000002541</c:v>
                </c:pt>
                <c:pt idx="381">
                  <c:v>8.6708717999999863</c:v>
                </c:pt>
                <c:pt idx="382">
                  <c:v>8.7026233000001412</c:v>
                </c:pt>
                <c:pt idx="383">
                  <c:v>8.7334623000001557</c:v>
                </c:pt>
                <c:pt idx="384">
                  <c:v>8.7646595000001071</c:v>
                </c:pt>
                <c:pt idx="385">
                  <c:v>8.8111308000002282</c:v>
                </c:pt>
                <c:pt idx="386">
                  <c:v>8.8430741000001944</c:v>
                </c:pt>
                <c:pt idx="387">
                  <c:v>8.8728994000002785</c:v>
                </c:pt>
                <c:pt idx="388">
                  <c:v>8.9049598000001424</c:v>
                </c:pt>
                <c:pt idx="389">
                  <c:v>8.920539700000063</c:v>
                </c:pt>
                <c:pt idx="390">
                  <c:v>8.9517083000000639</c:v>
                </c:pt>
                <c:pt idx="391">
                  <c:v>8.9822482000004129</c:v>
                </c:pt>
                <c:pt idx="392">
                  <c:v>9.0298377000003711</c:v>
                </c:pt>
                <c:pt idx="393">
                  <c:v>9.0611833000002662</c:v>
                </c:pt>
                <c:pt idx="394">
                  <c:v>9.0922832000001108</c:v>
                </c:pt>
                <c:pt idx="395">
                  <c:v>9.12239610000006</c:v>
                </c:pt>
                <c:pt idx="396">
                  <c:v>9.1532780000002276</c:v>
                </c:pt>
                <c:pt idx="397">
                  <c:v>9.1842184000001907</c:v>
                </c:pt>
                <c:pt idx="398">
                  <c:v>9.2300111000004108</c:v>
                </c:pt>
                <c:pt idx="399">
                  <c:v>9.2606885000000148</c:v>
                </c:pt>
                <c:pt idx="400">
                  <c:v>9.291738500000065</c:v>
                </c:pt>
                <c:pt idx="401">
                  <c:v>9.3234608000002481</c:v>
                </c:pt>
                <c:pt idx="402">
                  <c:v>9.3695388000001003</c:v>
                </c:pt>
                <c:pt idx="403">
                  <c:v>9.4001502000000983</c:v>
                </c:pt>
                <c:pt idx="404">
                  <c:v>9.4309679000002689</c:v>
                </c:pt>
                <c:pt idx="405">
                  <c:v>9.4623018000002048</c:v>
                </c:pt>
                <c:pt idx="406">
                  <c:v>9.4935661000004075</c:v>
                </c:pt>
                <c:pt idx="407">
                  <c:v>9.5246996000000763</c:v>
                </c:pt>
                <c:pt idx="408">
                  <c:v>9.5554276000002574</c:v>
                </c:pt>
                <c:pt idx="409">
                  <c:v>9.5555276000002571</c:v>
                </c:pt>
                <c:pt idx="410">
                  <c:v>9.5856540000004316</c:v>
                </c:pt>
                <c:pt idx="411">
                  <c:v>9.6167265000003681</c:v>
                </c:pt>
                <c:pt idx="412">
                  <c:v>9.6474853000004259</c:v>
                </c:pt>
                <c:pt idx="413">
                  <c:v>9.6789674999999988</c:v>
                </c:pt>
                <c:pt idx="414">
                  <c:v>9.7094308000000638</c:v>
                </c:pt>
                <c:pt idx="415">
                  <c:v>9.7403956000002836</c:v>
                </c:pt>
                <c:pt idx="416">
                  <c:v>9.7720160000003489</c:v>
                </c:pt>
                <c:pt idx="417">
                  <c:v>9.8176916000002166</c:v>
                </c:pt>
                <c:pt idx="418">
                  <c:v>9.8488786000002619</c:v>
                </c:pt>
                <c:pt idx="419">
                  <c:v>9.8793074000000161</c:v>
                </c:pt>
                <c:pt idx="420">
                  <c:v>9.9106115000004138</c:v>
                </c:pt>
                <c:pt idx="421">
                  <c:v>9.9409724000001916</c:v>
                </c:pt>
                <c:pt idx="422">
                  <c:v>9.9728406000003815</c:v>
                </c:pt>
                <c:pt idx="423">
                  <c:v>10.004080200000317</c:v>
                </c:pt>
                <c:pt idx="424">
                  <c:v>10.052269700000124</c:v>
                </c:pt>
                <c:pt idx="425">
                  <c:v>10.067612800000006</c:v>
                </c:pt>
                <c:pt idx="426">
                  <c:v>10.098507600000175</c:v>
                </c:pt>
                <c:pt idx="427">
                  <c:v>10.129110700000183</c:v>
                </c:pt>
                <c:pt idx="428">
                  <c:v>10.159869600000093</c:v>
                </c:pt>
                <c:pt idx="429">
                  <c:v>10.191697800000384</c:v>
                </c:pt>
                <c:pt idx="430">
                  <c:v>10.223350500000379</c:v>
                </c:pt>
                <c:pt idx="431">
                  <c:v>10.317478700000265</c:v>
                </c:pt>
                <c:pt idx="432">
                  <c:v>10.333174900000358</c:v>
                </c:pt>
                <c:pt idx="433">
                  <c:v>10.348560300000372</c:v>
                </c:pt>
                <c:pt idx="434">
                  <c:v>10.36367700000028</c:v>
                </c:pt>
                <c:pt idx="435">
                  <c:v>10.410301700000218</c:v>
                </c:pt>
                <c:pt idx="436">
                  <c:v>10.58332960000007</c:v>
                </c:pt>
                <c:pt idx="437">
                  <c:v>10.598769900000207</c:v>
                </c:pt>
                <c:pt idx="438">
                  <c:v>10.614560700000311</c:v>
                </c:pt>
                <c:pt idx="439">
                  <c:v>10.63024680000035</c:v>
                </c:pt>
                <c:pt idx="440">
                  <c:v>10.645605100000012</c:v>
                </c:pt>
                <c:pt idx="441">
                  <c:v>10.661888300000101</c:v>
                </c:pt>
                <c:pt idx="442">
                  <c:v>10.67790260000038</c:v>
                </c:pt>
                <c:pt idx="443">
                  <c:v>10.693193000000065</c:v>
                </c:pt>
                <c:pt idx="444">
                  <c:v>10.709016600000268</c:v>
                </c:pt>
                <c:pt idx="445">
                  <c:v>10.724044000000049</c:v>
                </c:pt>
                <c:pt idx="446">
                  <c:v>10.756220200000371</c:v>
                </c:pt>
                <c:pt idx="447">
                  <c:v>10.787308800000119</c:v>
                </c:pt>
                <c:pt idx="448">
                  <c:v>10.833230000000185</c:v>
                </c:pt>
                <c:pt idx="449">
                  <c:v>10.848908600000414</c:v>
                </c:pt>
                <c:pt idx="450">
                  <c:v>10.895104500000343</c:v>
                </c:pt>
                <c:pt idx="451">
                  <c:v>10.926145600000382</c:v>
                </c:pt>
                <c:pt idx="452">
                  <c:v>10.942143000000215</c:v>
                </c:pt>
                <c:pt idx="453">
                  <c:v>10.973500700000386</c:v>
                </c:pt>
                <c:pt idx="454">
                  <c:v>11.019185500000276</c:v>
                </c:pt>
                <c:pt idx="455">
                  <c:v>11.034989600000245</c:v>
                </c:pt>
                <c:pt idx="456">
                  <c:v>11.082045999999991</c:v>
                </c:pt>
                <c:pt idx="457">
                  <c:v>11.1128262000002</c:v>
                </c:pt>
                <c:pt idx="458">
                  <c:v>11.143854800000099</c:v>
                </c:pt>
                <c:pt idx="459">
                  <c:v>11.175350700000308</c:v>
                </c:pt>
                <c:pt idx="460">
                  <c:v>11.206693400000404</c:v>
                </c:pt>
                <c:pt idx="461">
                  <c:v>11.237335799999983</c:v>
                </c:pt>
                <c:pt idx="462">
                  <c:v>11.284025600000405</c:v>
                </c:pt>
                <c:pt idx="463">
                  <c:v>11.314848700000312</c:v>
                </c:pt>
                <c:pt idx="464">
                  <c:v>11.345894600000065</c:v>
                </c:pt>
                <c:pt idx="465">
                  <c:v>11.377582900000107</c:v>
                </c:pt>
                <c:pt idx="466">
                  <c:v>11.408712500000092</c:v>
                </c:pt>
                <c:pt idx="467">
                  <c:v>11.424737800000003</c:v>
                </c:pt>
                <c:pt idx="468">
                  <c:v>11.47156490000043</c:v>
                </c:pt>
                <c:pt idx="469">
                  <c:v>11.502535600000101</c:v>
                </c:pt>
                <c:pt idx="470">
                  <c:v>11.534924500000216</c:v>
                </c:pt>
                <c:pt idx="471">
                  <c:v>11.565958300000148</c:v>
                </c:pt>
                <c:pt idx="472">
                  <c:v>11.59783920000018</c:v>
                </c:pt>
                <c:pt idx="473">
                  <c:v>11.644704600000296</c:v>
                </c:pt>
                <c:pt idx="474">
                  <c:v>11.675825900000291</c:v>
                </c:pt>
                <c:pt idx="475">
                  <c:v>11.706475600000431</c:v>
                </c:pt>
                <c:pt idx="476">
                  <c:v>11.737749000000349</c:v>
                </c:pt>
                <c:pt idx="477">
                  <c:v>11.76921160000029</c:v>
                </c:pt>
                <c:pt idx="478">
                  <c:v>11.800858600000083</c:v>
                </c:pt>
                <c:pt idx="479">
                  <c:v>11.832110300000295</c:v>
                </c:pt>
                <c:pt idx="480">
                  <c:v>11.847406900000351</c:v>
                </c:pt>
                <c:pt idx="481">
                  <c:v>11.894228900000144</c:v>
                </c:pt>
                <c:pt idx="482">
                  <c:v>11.92492110000012</c:v>
                </c:pt>
                <c:pt idx="483">
                  <c:v>11.955142800000431</c:v>
                </c:pt>
                <c:pt idx="484">
                  <c:v>12.000833200000216</c:v>
                </c:pt>
                <c:pt idx="485">
                  <c:v>12.016915900000186</c:v>
                </c:pt>
                <c:pt idx="486">
                  <c:v>12.063823899999988</c:v>
                </c:pt>
                <c:pt idx="487">
                  <c:v>12.094814100000349</c:v>
                </c:pt>
                <c:pt idx="488">
                  <c:v>12.125114600000416</c:v>
                </c:pt>
                <c:pt idx="489">
                  <c:v>12.15568790000043</c:v>
                </c:pt>
                <c:pt idx="490">
                  <c:v>12.186626400000023</c:v>
                </c:pt>
                <c:pt idx="491">
                  <c:v>12.218306000000211</c:v>
                </c:pt>
                <c:pt idx="492">
                  <c:v>12.249259600000187</c:v>
                </c:pt>
                <c:pt idx="493">
                  <c:v>12.296085400000266</c:v>
                </c:pt>
                <c:pt idx="494">
                  <c:v>12.326275300000361</c:v>
                </c:pt>
                <c:pt idx="495">
                  <c:v>12.357014600000184</c:v>
                </c:pt>
                <c:pt idx="496">
                  <c:v>12.388153500000044</c:v>
                </c:pt>
                <c:pt idx="497">
                  <c:v>12.4197750000003</c:v>
                </c:pt>
                <c:pt idx="498">
                  <c:v>12.451095400000213</c:v>
                </c:pt>
                <c:pt idx="499">
                  <c:v>12.482295500000419</c:v>
                </c:pt>
                <c:pt idx="500">
                  <c:v>12.513406000000032</c:v>
                </c:pt>
                <c:pt idx="501">
                  <c:v>12.545510300000387</c:v>
                </c:pt>
                <c:pt idx="502">
                  <c:v>12.576301700000386</c:v>
                </c:pt>
                <c:pt idx="503">
                  <c:v>12.607888900000034</c:v>
                </c:pt>
                <c:pt idx="504">
                  <c:v>12.638797200000226</c:v>
                </c:pt>
                <c:pt idx="505">
                  <c:v>12.670864300000176</c:v>
                </c:pt>
                <c:pt idx="506">
                  <c:v>12.702406300000348</c:v>
                </c:pt>
                <c:pt idx="507">
                  <c:v>12.748906799999986</c:v>
                </c:pt>
                <c:pt idx="508">
                  <c:v>12.780055300000186</c:v>
                </c:pt>
                <c:pt idx="509">
                  <c:v>12.810586700000385</c:v>
                </c:pt>
                <c:pt idx="510">
                  <c:v>12.840667400000257</c:v>
                </c:pt>
                <c:pt idx="511">
                  <c:v>12.87273660000028</c:v>
                </c:pt>
                <c:pt idx="512">
                  <c:v>12.919059700000162</c:v>
                </c:pt>
                <c:pt idx="513">
                  <c:v>12.950166000000081</c:v>
                </c:pt>
                <c:pt idx="514">
                  <c:v>12.965575600000193</c:v>
                </c:pt>
                <c:pt idx="515">
                  <c:v>12.996916700000384</c:v>
                </c:pt>
                <c:pt idx="516">
                  <c:v>13.027586500000325</c:v>
                </c:pt>
                <c:pt idx="517">
                  <c:v>13.058944500000052</c:v>
                </c:pt>
                <c:pt idx="518">
                  <c:v>13.089599500000077</c:v>
                </c:pt>
                <c:pt idx="519">
                  <c:v>13.136956600000303</c:v>
                </c:pt>
                <c:pt idx="520">
                  <c:v>13.167147800000294</c:v>
                </c:pt>
                <c:pt idx="521">
                  <c:v>13.197788200000105</c:v>
                </c:pt>
                <c:pt idx="522">
                  <c:v>13.243707000000086</c:v>
                </c:pt>
                <c:pt idx="523">
                  <c:v>13.30562800000007</c:v>
                </c:pt>
                <c:pt idx="524">
                  <c:v>13.320852300000297</c:v>
                </c:pt>
                <c:pt idx="525">
                  <c:v>13.336251400000037</c:v>
                </c:pt>
                <c:pt idx="526">
                  <c:v>13.367295000000013</c:v>
                </c:pt>
                <c:pt idx="527">
                  <c:v>13.397435500000029</c:v>
                </c:pt>
                <c:pt idx="528">
                  <c:v>13.429170900000372</c:v>
                </c:pt>
                <c:pt idx="529">
                  <c:v>13.460952700000234</c:v>
                </c:pt>
                <c:pt idx="530">
                  <c:v>13.492381000000023</c:v>
                </c:pt>
                <c:pt idx="531">
                  <c:v>13.523081499999989</c:v>
                </c:pt>
                <c:pt idx="532">
                  <c:v>13.555078700000195</c:v>
                </c:pt>
                <c:pt idx="533">
                  <c:v>13.587006100000053</c:v>
                </c:pt>
                <c:pt idx="534">
                  <c:v>13.619073000000299</c:v>
                </c:pt>
                <c:pt idx="535">
                  <c:v>13.650212200000169</c:v>
                </c:pt>
                <c:pt idx="536">
                  <c:v>13.681003300000157</c:v>
                </c:pt>
                <c:pt idx="537">
                  <c:v>13.712306100000205</c:v>
                </c:pt>
                <c:pt idx="538">
                  <c:v>13.758961900000031</c:v>
                </c:pt>
                <c:pt idx="539">
                  <c:v>13.789472500000102</c:v>
                </c:pt>
                <c:pt idx="540">
                  <c:v>13.822084700000232</c:v>
                </c:pt>
                <c:pt idx="541">
                  <c:v>13.852689600000303</c:v>
                </c:pt>
                <c:pt idx="542">
                  <c:v>13.883946300000389</c:v>
                </c:pt>
                <c:pt idx="543">
                  <c:v>13.914673300000231</c:v>
                </c:pt>
                <c:pt idx="544">
                  <c:v>13.945167700000184</c:v>
                </c:pt>
                <c:pt idx="545">
                  <c:v>13.992031400000087</c:v>
                </c:pt>
                <c:pt idx="546">
                  <c:v>14.023872700000084</c:v>
                </c:pt>
                <c:pt idx="547">
                  <c:v>14.054001299999982</c:v>
                </c:pt>
                <c:pt idx="548">
                  <c:v>14.069429500000297</c:v>
                </c:pt>
                <c:pt idx="549">
                  <c:v>14.100932499999999</c:v>
                </c:pt>
                <c:pt idx="550">
                  <c:v>14.14680670000007</c:v>
                </c:pt>
                <c:pt idx="551">
                  <c:v>14.17827780000016</c:v>
                </c:pt>
                <c:pt idx="552">
                  <c:v>14.209291300000132</c:v>
                </c:pt>
                <c:pt idx="553">
                  <c:v>14.240556100000049</c:v>
                </c:pt>
                <c:pt idx="554">
                  <c:v>14.271950000000288</c:v>
                </c:pt>
                <c:pt idx="555">
                  <c:v>14.303397800000312</c:v>
                </c:pt>
                <c:pt idx="556">
                  <c:v>14.333667700000206</c:v>
                </c:pt>
                <c:pt idx="557">
                  <c:v>14.380823100000271</c:v>
                </c:pt>
                <c:pt idx="558">
                  <c:v>14.411975400000301</c:v>
                </c:pt>
              </c:numCache>
            </c:numRef>
          </c:xVal>
          <c:yVal>
            <c:numRef>
              <c:f>'Maju 0.1'!$A$7:$A$565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992-4ABA-A25D-0A3B993FD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357416"/>
        <c:axId val="1027355616"/>
      </c:scatterChart>
      <c:valAx>
        <c:axId val="809104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69760"/>
        <c:crosses val="autoZero"/>
        <c:crossBetween val="midCat"/>
      </c:valAx>
      <c:valAx>
        <c:axId val="46166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104904"/>
        <c:crosses val="autoZero"/>
        <c:crossBetween val="midCat"/>
      </c:valAx>
      <c:valAx>
        <c:axId val="1027355616"/>
        <c:scaling>
          <c:orientation val="minMax"/>
          <c:max val="12"/>
          <c:min val="-1.5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357416"/>
        <c:crosses val="max"/>
        <c:crossBetween val="midCat"/>
      </c:valAx>
      <c:valAx>
        <c:axId val="1027357416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1027355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7"/>
          <c:order val="0"/>
          <c:tx>
            <c:strRef>
              <c:f>'Maju 0.1'!$AB$6</c:f>
              <c:strCache>
                <c:ptCount val="1"/>
                <c:pt idx="0">
                  <c:v>VX m/s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'Maju 0.1'!$D$7:$D$565</c:f>
              <c:numCache>
                <c:formatCode>0.000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5.2989000000707165E-3</c:v>
                </c:pt>
                <c:pt idx="3">
                  <c:v>9.2048999999860825E-3</c:v>
                </c:pt>
                <c:pt idx="4">
                  <c:v>2.7168100000380946E-2</c:v>
                </c:pt>
                <c:pt idx="5">
                  <c:v>4.3313000000125612E-2</c:v>
                </c:pt>
                <c:pt idx="6">
                  <c:v>5.8556899999985035E-2</c:v>
                </c:pt>
                <c:pt idx="7">
                  <c:v>7.4511200000415556E-2</c:v>
                </c:pt>
                <c:pt idx="8">
                  <c:v>8.9335699999992357E-2</c:v>
                </c:pt>
                <c:pt idx="9">
                  <c:v>0.10529730000007476</c:v>
                </c:pt>
                <c:pt idx="10">
                  <c:v>0.12134990000004109</c:v>
                </c:pt>
                <c:pt idx="11">
                  <c:v>0.13719690000016271</c:v>
                </c:pt>
                <c:pt idx="12">
                  <c:v>0.15306950000012876</c:v>
                </c:pt>
                <c:pt idx="13">
                  <c:v>0.16923990000032063</c:v>
                </c:pt>
                <c:pt idx="14">
                  <c:v>0.18482170000015685</c:v>
                </c:pt>
                <c:pt idx="15">
                  <c:v>0.20079230000010284</c:v>
                </c:pt>
                <c:pt idx="16">
                  <c:v>0.21585990000039601</c:v>
                </c:pt>
                <c:pt idx="17">
                  <c:v>0.23115530000040962</c:v>
                </c:pt>
                <c:pt idx="18">
                  <c:v>0.24731440000005023</c:v>
                </c:pt>
                <c:pt idx="19">
                  <c:v>0.26257580000037706</c:v>
                </c:pt>
                <c:pt idx="20">
                  <c:v>0.2780137000004288</c:v>
                </c:pt>
                <c:pt idx="21">
                  <c:v>0.2941795000001548</c:v>
                </c:pt>
                <c:pt idx="22">
                  <c:v>0.30981510000037815</c:v>
                </c:pt>
                <c:pt idx="23">
                  <c:v>0.32596110000031331</c:v>
                </c:pt>
                <c:pt idx="24">
                  <c:v>0.34174560000019483</c:v>
                </c:pt>
                <c:pt idx="25">
                  <c:v>0.35752370000000155</c:v>
                </c:pt>
                <c:pt idx="26">
                  <c:v>0.37302320000026157</c:v>
                </c:pt>
                <c:pt idx="27">
                  <c:v>0.38870820000011008</c:v>
                </c:pt>
                <c:pt idx="28">
                  <c:v>0.40394320000041262</c:v>
                </c:pt>
                <c:pt idx="29">
                  <c:v>0.4197916000002806</c:v>
                </c:pt>
                <c:pt idx="30">
                  <c:v>0.43575710000004619</c:v>
                </c:pt>
                <c:pt idx="31">
                  <c:v>0.45149400000036621</c:v>
                </c:pt>
                <c:pt idx="32">
                  <c:v>0.46699660000012955</c:v>
                </c:pt>
                <c:pt idx="33">
                  <c:v>0.4830205000002934</c:v>
                </c:pt>
                <c:pt idx="34">
                  <c:v>0.49845470000036585</c:v>
                </c:pt>
                <c:pt idx="35">
                  <c:v>0.51411460000008447</c:v>
                </c:pt>
                <c:pt idx="36">
                  <c:v>0.52958090000038283</c:v>
                </c:pt>
                <c:pt idx="37">
                  <c:v>0.54471950000015568</c:v>
                </c:pt>
                <c:pt idx="38">
                  <c:v>0.55994790000022476</c:v>
                </c:pt>
                <c:pt idx="39">
                  <c:v>0.57620560000032128</c:v>
                </c:pt>
                <c:pt idx="40">
                  <c:v>0.59083770000006552</c:v>
                </c:pt>
                <c:pt idx="41">
                  <c:v>0.60626369999999952</c:v>
                </c:pt>
                <c:pt idx="42">
                  <c:v>0.6214124000002812</c:v>
                </c:pt>
                <c:pt idx="43">
                  <c:v>0.63753459999998086</c:v>
                </c:pt>
                <c:pt idx="44">
                  <c:v>0.65260699999998906</c:v>
                </c:pt>
                <c:pt idx="45">
                  <c:v>0.66794340000024022</c:v>
                </c:pt>
                <c:pt idx="46">
                  <c:v>0.68331380000017816</c:v>
                </c:pt>
                <c:pt idx="47">
                  <c:v>0.69856420000041908</c:v>
                </c:pt>
                <c:pt idx="48">
                  <c:v>0.7138716000004024</c:v>
                </c:pt>
                <c:pt idx="49">
                  <c:v>0.73025120000011157</c:v>
                </c:pt>
                <c:pt idx="50">
                  <c:v>0.74559630000021571</c:v>
                </c:pt>
                <c:pt idx="51">
                  <c:v>0.7610821000002943</c:v>
                </c:pt>
                <c:pt idx="52">
                  <c:v>0.77641560000029131</c:v>
                </c:pt>
                <c:pt idx="53">
                  <c:v>0.79153070000029402</c:v>
                </c:pt>
                <c:pt idx="54">
                  <c:v>0.80748250000033295</c:v>
                </c:pt>
                <c:pt idx="55">
                  <c:v>0.82297660000040196</c:v>
                </c:pt>
                <c:pt idx="56">
                  <c:v>0.83904410000013741</c:v>
                </c:pt>
                <c:pt idx="57">
                  <c:v>0.85417240000015227</c:v>
                </c:pt>
                <c:pt idx="58">
                  <c:v>0.86972920000016529</c:v>
                </c:pt>
                <c:pt idx="59">
                  <c:v>0.88524850000021615</c:v>
                </c:pt>
                <c:pt idx="60">
                  <c:v>0.90091920000031678</c:v>
                </c:pt>
                <c:pt idx="61">
                  <c:v>0.90367850000029648</c:v>
                </c:pt>
                <c:pt idx="62">
                  <c:v>0.91670670000030441</c:v>
                </c:pt>
                <c:pt idx="63">
                  <c:v>0.93219020000015007</c:v>
                </c:pt>
                <c:pt idx="64">
                  <c:v>0.94763220000004367</c:v>
                </c:pt>
                <c:pt idx="65">
                  <c:v>0.96272680000038235</c:v>
                </c:pt>
                <c:pt idx="66">
                  <c:v>0.97808190000023387</c:v>
                </c:pt>
                <c:pt idx="67">
                  <c:v>0.9934240000002319</c:v>
                </c:pt>
                <c:pt idx="68">
                  <c:v>1.0095186000003196</c:v>
                </c:pt>
                <c:pt idx="69">
                  <c:v>1.0249522000003708</c:v>
                </c:pt>
                <c:pt idx="70">
                  <c:v>1.0401796000001013</c:v>
                </c:pt>
                <c:pt idx="71">
                  <c:v>1.055965400000332</c:v>
                </c:pt>
                <c:pt idx="72">
                  <c:v>1.0718302000000222</c:v>
                </c:pt>
                <c:pt idx="73">
                  <c:v>1.0875557000003937</c:v>
                </c:pt>
                <c:pt idx="74">
                  <c:v>1.1028458000000683</c:v>
                </c:pt>
                <c:pt idx="75">
                  <c:v>1.1188025999999809</c:v>
                </c:pt>
                <c:pt idx="76">
                  <c:v>1.1348634000000857</c:v>
                </c:pt>
                <c:pt idx="77">
                  <c:v>1.1506616000001486</c:v>
                </c:pt>
                <c:pt idx="78">
                  <c:v>1.1660625000004075</c:v>
                </c:pt>
                <c:pt idx="79">
                  <c:v>1.1819746000001032</c:v>
                </c:pt>
                <c:pt idx="80">
                  <c:v>1.197920300000078</c:v>
                </c:pt>
                <c:pt idx="81">
                  <c:v>1.2132191000000603</c:v>
                </c:pt>
                <c:pt idx="82">
                  <c:v>1.2292172000002211</c:v>
                </c:pt>
                <c:pt idx="83">
                  <c:v>1.2446591000002627</c:v>
                </c:pt>
                <c:pt idx="84">
                  <c:v>1.2601951999999983</c:v>
                </c:pt>
                <c:pt idx="85">
                  <c:v>1.2756392000001142</c:v>
                </c:pt>
                <c:pt idx="86">
                  <c:v>1.2915996000001542</c:v>
                </c:pt>
                <c:pt idx="87">
                  <c:v>1.3068004000001565</c:v>
                </c:pt>
                <c:pt idx="88">
                  <c:v>1.3228144000004249</c:v>
                </c:pt>
                <c:pt idx="89">
                  <c:v>1.338255300000128</c:v>
                </c:pt>
                <c:pt idx="90">
                  <c:v>1.3536158000001706</c:v>
                </c:pt>
                <c:pt idx="91">
                  <c:v>1.3692170000003898</c:v>
                </c:pt>
                <c:pt idx="92">
                  <c:v>1.3851982000001044</c:v>
                </c:pt>
                <c:pt idx="93">
                  <c:v>1.4013238000002275</c:v>
                </c:pt>
                <c:pt idx="94">
                  <c:v>1.4175716000004286</c:v>
                </c:pt>
                <c:pt idx="95">
                  <c:v>1.433107000000291</c:v>
                </c:pt>
                <c:pt idx="96">
                  <c:v>1.4486382000000049</c:v>
                </c:pt>
                <c:pt idx="97">
                  <c:v>1.464110900000378</c:v>
                </c:pt>
                <c:pt idx="98">
                  <c:v>1.4797096000002057</c:v>
                </c:pt>
                <c:pt idx="99">
                  <c:v>1.4950284000001375</c:v>
                </c:pt>
                <c:pt idx="100">
                  <c:v>1.511221100000057</c:v>
                </c:pt>
                <c:pt idx="101">
                  <c:v>1.5267674000001534</c:v>
                </c:pt>
                <c:pt idx="102">
                  <c:v>1.542782200000147</c:v>
                </c:pt>
                <c:pt idx="103">
                  <c:v>1.5579615000001468</c:v>
                </c:pt>
                <c:pt idx="104">
                  <c:v>1.573585400000411</c:v>
                </c:pt>
                <c:pt idx="105">
                  <c:v>1.589252000000215</c:v>
                </c:pt>
                <c:pt idx="106">
                  <c:v>1.603999400000248</c:v>
                </c:pt>
                <c:pt idx="107">
                  <c:v>1.6198876000003111</c:v>
                </c:pt>
                <c:pt idx="108">
                  <c:v>1.6361267000002044</c:v>
                </c:pt>
                <c:pt idx="109">
                  <c:v>1.6512564000004204</c:v>
                </c:pt>
                <c:pt idx="110">
                  <c:v>1.6663169000003109</c:v>
                </c:pt>
                <c:pt idx="111">
                  <c:v>1.6817897000000812</c:v>
                </c:pt>
                <c:pt idx="112">
                  <c:v>1.6973350000002938</c:v>
                </c:pt>
                <c:pt idx="113">
                  <c:v>1.7125753000000259</c:v>
                </c:pt>
                <c:pt idx="114">
                  <c:v>1.7276518000003307</c:v>
                </c:pt>
                <c:pt idx="115">
                  <c:v>1.7429422000000159</c:v>
                </c:pt>
                <c:pt idx="116">
                  <c:v>1.7582855000000563</c:v>
                </c:pt>
                <c:pt idx="117">
                  <c:v>1.773996200000056</c:v>
                </c:pt>
                <c:pt idx="118">
                  <c:v>1.7897581000001992</c:v>
                </c:pt>
                <c:pt idx="119">
                  <c:v>1.8050165000004199</c:v>
                </c:pt>
                <c:pt idx="120">
                  <c:v>1.8200581000000966</c:v>
                </c:pt>
                <c:pt idx="121">
                  <c:v>1.8358427000002848</c:v>
                </c:pt>
                <c:pt idx="122">
                  <c:v>1.8507931000003737</c:v>
                </c:pt>
                <c:pt idx="123">
                  <c:v>1.8669764000001123</c:v>
                </c:pt>
                <c:pt idx="124">
                  <c:v>1.8826533000001291</c:v>
                </c:pt>
                <c:pt idx="125">
                  <c:v>1.8972933000000012</c:v>
                </c:pt>
                <c:pt idx="126">
                  <c:v>1.9133269000003565</c:v>
                </c:pt>
                <c:pt idx="127">
                  <c:v>1.9296000000003914</c:v>
                </c:pt>
                <c:pt idx="128">
                  <c:v>1.9452049000001352</c:v>
                </c:pt>
                <c:pt idx="129">
                  <c:v>1.9606398000000809</c:v>
                </c:pt>
                <c:pt idx="130">
                  <c:v>1.9759725000003527</c:v>
                </c:pt>
                <c:pt idx="131">
                  <c:v>1.9914278000001104</c:v>
                </c:pt>
                <c:pt idx="132">
                  <c:v>2.0069760000001224</c:v>
                </c:pt>
                <c:pt idx="133">
                  <c:v>2.0227060000001984</c:v>
                </c:pt>
                <c:pt idx="134">
                  <c:v>2.0380438000001959</c:v>
                </c:pt>
                <c:pt idx="135">
                  <c:v>2.0530307000003631</c:v>
                </c:pt>
                <c:pt idx="136">
                  <c:v>2.0684856000002583</c:v>
                </c:pt>
                <c:pt idx="137">
                  <c:v>2.0836755000000267</c:v>
                </c:pt>
                <c:pt idx="138">
                  <c:v>2.0990962000000764</c:v>
                </c:pt>
                <c:pt idx="139">
                  <c:v>2.1141289000001962</c:v>
                </c:pt>
                <c:pt idx="140">
                  <c:v>2.1296484000004057</c:v>
                </c:pt>
                <c:pt idx="141">
                  <c:v>2.1453720000004068</c:v>
                </c:pt>
                <c:pt idx="142">
                  <c:v>2.1608561000002737</c:v>
                </c:pt>
                <c:pt idx="143">
                  <c:v>2.1762023000001136</c:v>
                </c:pt>
                <c:pt idx="144">
                  <c:v>2.191330999999991</c:v>
                </c:pt>
                <c:pt idx="145">
                  <c:v>2.2065747000001465</c:v>
                </c:pt>
                <c:pt idx="146">
                  <c:v>2.2223314000002574</c:v>
                </c:pt>
                <c:pt idx="147">
                  <c:v>2.2377394000000095</c:v>
                </c:pt>
                <c:pt idx="148">
                  <c:v>2.2529523000002882</c:v>
                </c:pt>
                <c:pt idx="149">
                  <c:v>2.2684573999999884</c:v>
                </c:pt>
                <c:pt idx="150">
                  <c:v>2.2840030000002116</c:v>
                </c:pt>
                <c:pt idx="151">
                  <c:v>2.2868802000002688</c:v>
                </c:pt>
                <c:pt idx="152">
                  <c:v>2.2995488000001387</c:v>
                </c:pt>
                <c:pt idx="153">
                  <c:v>2.3149207999999817</c:v>
                </c:pt>
                <c:pt idx="154">
                  <c:v>2.3300423000000592</c:v>
                </c:pt>
                <c:pt idx="155">
                  <c:v>2.3454623000002357</c:v>
                </c:pt>
                <c:pt idx="156">
                  <c:v>2.3615370000002258</c:v>
                </c:pt>
                <c:pt idx="157">
                  <c:v>2.3767136000001301</c:v>
                </c:pt>
                <c:pt idx="158">
                  <c:v>2.3927026000001206</c:v>
                </c:pt>
                <c:pt idx="159">
                  <c:v>2.4083026000002974</c:v>
                </c:pt>
                <c:pt idx="160">
                  <c:v>2.4243546000002425</c:v>
                </c:pt>
                <c:pt idx="161">
                  <c:v>2.4402967000000899</c:v>
                </c:pt>
                <c:pt idx="162">
                  <c:v>2.4554897000002711</c:v>
                </c:pt>
                <c:pt idx="163">
                  <c:v>2.4712208000000828</c:v>
                </c:pt>
                <c:pt idx="164">
                  <c:v>2.4867932000001929</c:v>
                </c:pt>
                <c:pt idx="165">
                  <c:v>2.5027567000001909</c:v>
                </c:pt>
                <c:pt idx="166">
                  <c:v>2.5181257000003825</c:v>
                </c:pt>
                <c:pt idx="167">
                  <c:v>2.5331108000000313</c:v>
                </c:pt>
                <c:pt idx="168">
                  <c:v>2.5489589000003434</c:v>
                </c:pt>
                <c:pt idx="169">
                  <c:v>2.5650508000003356</c:v>
                </c:pt>
                <c:pt idx="170">
                  <c:v>2.5803182000004199</c:v>
                </c:pt>
                <c:pt idx="171">
                  <c:v>2.5957627000002503</c:v>
                </c:pt>
                <c:pt idx="172">
                  <c:v>2.6111039000002165</c:v>
                </c:pt>
                <c:pt idx="173">
                  <c:v>2.6267086000002564</c:v>
                </c:pt>
                <c:pt idx="174">
                  <c:v>2.6419436000001042</c:v>
                </c:pt>
                <c:pt idx="175">
                  <c:v>2.6580228000002535</c:v>
                </c:pt>
                <c:pt idx="176">
                  <c:v>2.6738740000000689</c:v>
                </c:pt>
                <c:pt idx="177">
                  <c:v>2.6894137000003866</c:v>
                </c:pt>
                <c:pt idx="178">
                  <c:v>2.7046626000001197</c:v>
                </c:pt>
                <c:pt idx="179">
                  <c:v>2.7199347000000671</c:v>
                </c:pt>
                <c:pt idx="180">
                  <c:v>2.7358025000003181</c:v>
                </c:pt>
                <c:pt idx="181">
                  <c:v>2.7508734000002733</c:v>
                </c:pt>
                <c:pt idx="182">
                  <c:v>2.7659552000000076</c:v>
                </c:pt>
                <c:pt idx="183">
                  <c:v>2.7808774000000085</c:v>
                </c:pt>
                <c:pt idx="184">
                  <c:v>2.7956675000000359</c:v>
                </c:pt>
                <c:pt idx="185">
                  <c:v>2.811707800000022</c:v>
                </c:pt>
                <c:pt idx="186">
                  <c:v>2.8270329000001766</c:v>
                </c:pt>
                <c:pt idx="187">
                  <c:v>2.8423720000000685</c:v>
                </c:pt>
                <c:pt idx="188">
                  <c:v>2.858502700000372</c:v>
                </c:pt>
                <c:pt idx="189">
                  <c:v>2.8740185000001475</c:v>
                </c:pt>
                <c:pt idx="190">
                  <c:v>2.8900909000003594</c:v>
                </c:pt>
                <c:pt idx="191">
                  <c:v>2.9053735000002234</c:v>
                </c:pt>
                <c:pt idx="192">
                  <c:v>2.921306100000038</c:v>
                </c:pt>
                <c:pt idx="193">
                  <c:v>2.9369955000001937</c:v>
                </c:pt>
                <c:pt idx="194">
                  <c:v>2.9526253000003635</c:v>
                </c:pt>
                <c:pt idx="195">
                  <c:v>2.9675974000001588</c:v>
                </c:pt>
                <c:pt idx="196">
                  <c:v>2.9831733000000895</c:v>
                </c:pt>
                <c:pt idx="197">
                  <c:v>2.9984130000002551</c:v>
                </c:pt>
                <c:pt idx="198">
                  <c:v>3.0135693000001993</c:v>
                </c:pt>
                <c:pt idx="199">
                  <c:v>3.0290494000000763</c:v>
                </c:pt>
                <c:pt idx="200">
                  <c:v>3.0444785000004231</c:v>
                </c:pt>
                <c:pt idx="201">
                  <c:v>3.0598500000000968</c:v>
                </c:pt>
                <c:pt idx="202">
                  <c:v>3.0750644000004286</c:v>
                </c:pt>
                <c:pt idx="203">
                  <c:v>3.0904241000002912</c:v>
                </c:pt>
                <c:pt idx="204">
                  <c:v>3.1064377000002423</c:v>
                </c:pt>
                <c:pt idx="205">
                  <c:v>3.1225518000001102</c:v>
                </c:pt>
                <c:pt idx="206">
                  <c:v>3.138448800000333</c:v>
                </c:pt>
                <c:pt idx="207">
                  <c:v>3.1540184000000409</c:v>
                </c:pt>
                <c:pt idx="208">
                  <c:v>3.1689089999999851</c:v>
                </c:pt>
                <c:pt idx="209">
                  <c:v>3.1849315000004026</c:v>
                </c:pt>
                <c:pt idx="210">
                  <c:v>3.2003816000001279</c:v>
                </c:pt>
                <c:pt idx="211">
                  <c:v>3.2153074000002562</c:v>
                </c:pt>
                <c:pt idx="212">
                  <c:v>3.2629249999999956</c:v>
                </c:pt>
                <c:pt idx="213">
                  <c:v>3.2789824000001317</c:v>
                </c:pt>
                <c:pt idx="214">
                  <c:v>3.2943454000001111</c:v>
                </c:pt>
                <c:pt idx="215">
                  <c:v>3.3418642999999975</c:v>
                </c:pt>
                <c:pt idx="216">
                  <c:v>3.357551400000375</c:v>
                </c:pt>
                <c:pt idx="217">
                  <c:v>3.4502027000003181</c:v>
                </c:pt>
                <c:pt idx="218">
                  <c:v>3.466481400000248</c:v>
                </c:pt>
                <c:pt idx="219">
                  <c:v>3.4815856000000167</c:v>
                </c:pt>
                <c:pt idx="220">
                  <c:v>3.496932100000322</c:v>
                </c:pt>
                <c:pt idx="221">
                  <c:v>3.5277230000001509</c:v>
                </c:pt>
                <c:pt idx="222">
                  <c:v>3.5595329000002494</c:v>
                </c:pt>
                <c:pt idx="223">
                  <c:v>3.590596000000005</c:v>
                </c:pt>
                <c:pt idx="224">
                  <c:v>3.6220025000002352</c:v>
                </c:pt>
                <c:pt idx="225">
                  <c:v>3.6521181000002798</c:v>
                </c:pt>
                <c:pt idx="226">
                  <c:v>3.7453942000001916</c:v>
                </c:pt>
                <c:pt idx="227">
                  <c:v>3.7610059000003275</c:v>
                </c:pt>
                <c:pt idx="228">
                  <c:v>3.7763112000002366</c:v>
                </c:pt>
                <c:pt idx="229">
                  <c:v>3.7926324000000022</c:v>
                </c:pt>
                <c:pt idx="230">
                  <c:v>3.8087636000000202</c:v>
                </c:pt>
                <c:pt idx="231">
                  <c:v>3.8874061999999867</c:v>
                </c:pt>
                <c:pt idx="232">
                  <c:v>3.9030201000000488</c:v>
                </c:pt>
                <c:pt idx="233">
                  <c:v>3.9183447000000342</c:v>
                </c:pt>
                <c:pt idx="234">
                  <c:v>3.9338287000000491</c:v>
                </c:pt>
                <c:pt idx="235">
                  <c:v>3.9800678999999946</c:v>
                </c:pt>
                <c:pt idx="236">
                  <c:v>3.995798900000409</c:v>
                </c:pt>
                <c:pt idx="237">
                  <c:v>4.0423875999999836</c:v>
                </c:pt>
                <c:pt idx="238">
                  <c:v>4.0739817000003313</c:v>
                </c:pt>
                <c:pt idx="239">
                  <c:v>4.1044402000002265</c:v>
                </c:pt>
                <c:pt idx="240">
                  <c:v>4.1355275000000802</c:v>
                </c:pt>
                <c:pt idx="241">
                  <c:v>4.1654601000000184</c:v>
                </c:pt>
                <c:pt idx="242">
                  <c:v>4.1966453000000001</c:v>
                </c:pt>
                <c:pt idx="243">
                  <c:v>4.2278092000001379</c:v>
                </c:pt>
                <c:pt idx="244">
                  <c:v>4.2745982000001277</c:v>
                </c:pt>
                <c:pt idx="245">
                  <c:v>4.3050646000001507</c:v>
                </c:pt>
                <c:pt idx="246">
                  <c:v>4.3357205000002068</c:v>
                </c:pt>
                <c:pt idx="247">
                  <c:v>4.3668618000001516</c:v>
                </c:pt>
                <c:pt idx="248">
                  <c:v>4.3979300000000876</c:v>
                </c:pt>
                <c:pt idx="249">
                  <c:v>4.4284158000000389</c:v>
                </c:pt>
                <c:pt idx="250">
                  <c:v>4.4752190000003793</c:v>
                </c:pt>
                <c:pt idx="251">
                  <c:v>4.5070405000001301</c:v>
                </c:pt>
                <c:pt idx="252">
                  <c:v>4.5080405000001305</c:v>
                </c:pt>
                <c:pt idx="253">
                  <c:v>4.537615900000219</c:v>
                </c:pt>
                <c:pt idx="254">
                  <c:v>4.5528210000002218</c:v>
                </c:pt>
                <c:pt idx="255">
                  <c:v>4.5840331000003971</c:v>
                </c:pt>
                <c:pt idx="256">
                  <c:v>4.6146783000003779</c:v>
                </c:pt>
                <c:pt idx="257">
                  <c:v>4.6612142000003587</c:v>
                </c:pt>
                <c:pt idx="258">
                  <c:v>4.6927078000003348</c:v>
                </c:pt>
                <c:pt idx="259">
                  <c:v>4.7241723000001912</c:v>
                </c:pt>
                <c:pt idx="260">
                  <c:v>4.7552841000001536</c:v>
                </c:pt>
                <c:pt idx="261">
                  <c:v>4.7871487000002162</c:v>
                </c:pt>
                <c:pt idx="262">
                  <c:v>4.8184103000003233</c:v>
                </c:pt>
                <c:pt idx="263">
                  <c:v>4.8648840000000746</c:v>
                </c:pt>
                <c:pt idx="264">
                  <c:v>4.8959517000002961</c:v>
                </c:pt>
                <c:pt idx="265">
                  <c:v>4.9267509000001155</c:v>
                </c:pt>
                <c:pt idx="266">
                  <c:v>4.9738620000002811</c:v>
                </c:pt>
                <c:pt idx="267">
                  <c:v>4.9892149000002064</c:v>
                </c:pt>
                <c:pt idx="268">
                  <c:v>5.0212012000001778</c:v>
                </c:pt>
                <c:pt idx="269">
                  <c:v>5.0516725000002225</c:v>
                </c:pt>
                <c:pt idx="270">
                  <c:v>5.0827851000003648</c:v>
                </c:pt>
                <c:pt idx="271">
                  <c:v>5.1137316000003921</c:v>
                </c:pt>
                <c:pt idx="272">
                  <c:v>5.1452981000002183</c:v>
                </c:pt>
                <c:pt idx="273">
                  <c:v>5.1763471000003847</c:v>
                </c:pt>
                <c:pt idx="274">
                  <c:v>5.206453700000111</c:v>
                </c:pt>
                <c:pt idx="275">
                  <c:v>5.2538562000004276</c:v>
                </c:pt>
                <c:pt idx="276">
                  <c:v>5.2850330000001122</c:v>
                </c:pt>
                <c:pt idx="277">
                  <c:v>5.3151507000002312</c:v>
                </c:pt>
                <c:pt idx="278">
                  <c:v>5.3462414000000535</c:v>
                </c:pt>
                <c:pt idx="279">
                  <c:v>5.3769308000000819</c:v>
                </c:pt>
                <c:pt idx="280">
                  <c:v>5.4089211000000432</c:v>
                </c:pt>
                <c:pt idx="281">
                  <c:v>5.4551541000000725</c:v>
                </c:pt>
                <c:pt idx="282">
                  <c:v>5.4857228000000759</c:v>
                </c:pt>
                <c:pt idx="283">
                  <c:v>5.5166819000000942</c:v>
                </c:pt>
                <c:pt idx="284">
                  <c:v>5.5484199000002263</c:v>
                </c:pt>
                <c:pt idx="285">
                  <c:v>5.5797838000003139</c:v>
                </c:pt>
                <c:pt idx="286">
                  <c:v>5.6095580000001064</c:v>
                </c:pt>
                <c:pt idx="287">
                  <c:v>5.6410262000003968</c:v>
                </c:pt>
                <c:pt idx="288">
                  <c:v>5.6720820000000458</c:v>
                </c:pt>
                <c:pt idx="289">
                  <c:v>5.7036822000000029</c:v>
                </c:pt>
                <c:pt idx="290">
                  <c:v>5.7347582000002149</c:v>
                </c:pt>
                <c:pt idx="291">
                  <c:v>5.7660101999999824</c:v>
                </c:pt>
                <c:pt idx="292">
                  <c:v>5.7983756000003268</c:v>
                </c:pt>
                <c:pt idx="293">
                  <c:v>5.8292917000003399</c:v>
                </c:pt>
                <c:pt idx="294">
                  <c:v>5.8760879999999815</c:v>
                </c:pt>
                <c:pt idx="295">
                  <c:v>5.9069489000003159</c:v>
                </c:pt>
                <c:pt idx="296">
                  <c:v>5.9376335000001745</c:v>
                </c:pt>
                <c:pt idx="297">
                  <c:v>5.9686227000001963</c:v>
                </c:pt>
                <c:pt idx="298">
                  <c:v>5.999062700000195</c:v>
                </c:pt>
                <c:pt idx="299">
                  <c:v>6.0304338000000826</c:v>
                </c:pt>
                <c:pt idx="300">
                  <c:v>6.0618288000000575</c:v>
                </c:pt>
                <c:pt idx="301">
                  <c:v>6.0927022000000761</c:v>
                </c:pt>
                <c:pt idx="302">
                  <c:v>6.1397364000004018</c:v>
                </c:pt>
                <c:pt idx="303">
                  <c:v>6.1711775000003399</c:v>
                </c:pt>
                <c:pt idx="304">
                  <c:v>6.1872160000002623</c:v>
                </c:pt>
                <c:pt idx="305">
                  <c:v>6.2184366000001319</c:v>
                </c:pt>
                <c:pt idx="306">
                  <c:v>6.2489861000003657</c:v>
                </c:pt>
                <c:pt idx="307">
                  <c:v>6.2801828999999998</c:v>
                </c:pt>
                <c:pt idx="308">
                  <c:v>6.3263348000000406</c:v>
                </c:pt>
                <c:pt idx="309">
                  <c:v>6.3577290000002904</c:v>
                </c:pt>
                <c:pt idx="310">
                  <c:v>6.3879193000002488</c:v>
                </c:pt>
                <c:pt idx="311">
                  <c:v>6.4188283000003139</c:v>
                </c:pt>
                <c:pt idx="312">
                  <c:v>6.4498166000003039</c:v>
                </c:pt>
                <c:pt idx="313">
                  <c:v>6.4810206000001926</c:v>
                </c:pt>
                <c:pt idx="314">
                  <c:v>6.5271981000000778</c:v>
                </c:pt>
                <c:pt idx="315">
                  <c:v>6.5573610000001281</c:v>
                </c:pt>
                <c:pt idx="316">
                  <c:v>6.5885600000001432</c:v>
                </c:pt>
                <c:pt idx="317">
                  <c:v>6.6192061000001559</c:v>
                </c:pt>
                <c:pt idx="318">
                  <c:v>6.6495939999999791</c:v>
                </c:pt>
                <c:pt idx="319">
                  <c:v>6.6809850000004189</c:v>
                </c:pt>
                <c:pt idx="320">
                  <c:v>6.7279085000000123</c:v>
                </c:pt>
                <c:pt idx="321">
                  <c:v>6.7590113000001111</c:v>
                </c:pt>
                <c:pt idx="322">
                  <c:v>6.7899225000001024</c:v>
                </c:pt>
                <c:pt idx="323">
                  <c:v>6.8056283000000803</c:v>
                </c:pt>
                <c:pt idx="324">
                  <c:v>6.8376799000002393</c:v>
                </c:pt>
                <c:pt idx="325">
                  <c:v>6.8684104000003572</c:v>
                </c:pt>
                <c:pt idx="326">
                  <c:v>6.9149276000002828</c:v>
                </c:pt>
                <c:pt idx="327">
                  <c:v>6.946722900000168</c:v>
                </c:pt>
                <c:pt idx="328">
                  <c:v>6.9777452000002995</c:v>
                </c:pt>
                <c:pt idx="329">
                  <c:v>7.0080390000002808</c:v>
                </c:pt>
                <c:pt idx="330">
                  <c:v>7.039289700000154</c:v>
                </c:pt>
                <c:pt idx="331">
                  <c:v>7.0705900000002657</c:v>
                </c:pt>
                <c:pt idx="332">
                  <c:v>7.1177352000004248</c:v>
                </c:pt>
                <c:pt idx="333">
                  <c:v>7.149779700000181</c:v>
                </c:pt>
                <c:pt idx="334">
                  <c:v>7.1810393000000659</c:v>
                </c:pt>
                <c:pt idx="335">
                  <c:v>7.2121169000001828</c:v>
                </c:pt>
                <c:pt idx="336">
                  <c:v>7.2427593000002162</c:v>
                </c:pt>
                <c:pt idx="337">
                  <c:v>7.2730527000003349</c:v>
                </c:pt>
                <c:pt idx="338">
                  <c:v>7.3046481000001222</c:v>
                </c:pt>
                <c:pt idx="339">
                  <c:v>7.3364228000000367</c:v>
                </c:pt>
                <c:pt idx="340">
                  <c:v>7.367167000000336</c:v>
                </c:pt>
                <c:pt idx="341">
                  <c:v>7.3981877000001077</c:v>
                </c:pt>
                <c:pt idx="342">
                  <c:v>7.4297265000000152</c:v>
                </c:pt>
                <c:pt idx="343">
                  <c:v>7.4607101999999941</c:v>
                </c:pt>
                <c:pt idx="344">
                  <c:v>7.4922096000000238</c:v>
                </c:pt>
                <c:pt idx="345">
                  <c:v>7.5385995000001458</c:v>
                </c:pt>
                <c:pt idx="346">
                  <c:v>7.570056200000181</c:v>
                </c:pt>
                <c:pt idx="347">
                  <c:v>7.6007871000001614</c:v>
                </c:pt>
                <c:pt idx="348">
                  <c:v>7.6318452000000434</c:v>
                </c:pt>
                <c:pt idx="349">
                  <c:v>7.6628080000000409</c:v>
                </c:pt>
                <c:pt idx="350">
                  <c:v>7.693853300000228</c:v>
                </c:pt>
                <c:pt idx="351">
                  <c:v>7.740906300000006</c:v>
                </c:pt>
                <c:pt idx="352">
                  <c:v>7.7560024000003978</c:v>
                </c:pt>
                <c:pt idx="353">
                  <c:v>7.8027047000000493</c:v>
                </c:pt>
                <c:pt idx="354">
                  <c:v>7.818170800000189</c:v>
                </c:pt>
                <c:pt idx="355">
                  <c:v>7.849333900000147</c:v>
                </c:pt>
                <c:pt idx="356">
                  <c:v>7.8953836000000592</c:v>
                </c:pt>
                <c:pt idx="357">
                  <c:v>7.9105360000003202</c:v>
                </c:pt>
                <c:pt idx="358">
                  <c:v>7.9416419000003771</c:v>
                </c:pt>
                <c:pt idx="359">
                  <c:v>7.988133000000289</c:v>
                </c:pt>
                <c:pt idx="360">
                  <c:v>8.0195339000001695</c:v>
                </c:pt>
                <c:pt idx="361">
                  <c:v>8.0499366000003647</c:v>
                </c:pt>
                <c:pt idx="362">
                  <c:v>8.0813528000003316</c:v>
                </c:pt>
                <c:pt idx="363">
                  <c:v>8.1119710000002669</c:v>
                </c:pt>
                <c:pt idx="364">
                  <c:v>8.1418160000002899</c:v>
                </c:pt>
                <c:pt idx="365">
                  <c:v>8.1884018000000651</c:v>
                </c:pt>
                <c:pt idx="366">
                  <c:v>8.2195125000002918</c:v>
                </c:pt>
                <c:pt idx="367">
                  <c:v>8.2505235000003267</c:v>
                </c:pt>
                <c:pt idx="368">
                  <c:v>8.2813416000003599</c:v>
                </c:pt>
                <c:pt idx="369">
                  <c:v>8.3130092000001241</c:v>
                </c:pt>
                <c:pt idx="370">
                  <c:v>8.3439578000002257</c:v>
                </c:pt>
                <c:pt idx="371">
                  <c:v>8.3752976000000672</c:v>
                </c:pt>
                <c:pt idx="372">
                  <c:v>8.4216149000003497</c:v>
                </c:pt>
                <c:pt idx="373">
                  <c:v>8.435135100000025</c:v>
                </c:pt>
                <c:pt idx="374">
                  <c:v>8.4680778000001737</c:v>
                </c:pt>
                <c:pt idx="375">
                  <c:v>8.4993426000000909</c:v>
                </c:pt>
                <c:pt idx="376">
                  <c:v>8.5301843000002009</c:v>
                </c:pt>
                <c:pt idx="377">
                  <c:v>8.5311843000002003</c:v>
                </c:pt>
                <c:pt idx="378">
                  <c:v>8.5615048000004208</c:v>
                </c:pt>
                <c:pt idx="379">
                  <c:v>8.6084997000002659</c:v>
                </c:pt>
                <c:pt idx="380">
                  <c:v>8.6396508000002541</c:v>
                </c:pt>
                <c:pt idx="381">
                  <c:v>8.6708717999999863</c:v>
                </c:pt>
                <c:pt idx="382">
                  <c:v>8.7026233000001412</c:v>
                </c:pt>
                <c:pt idx="383">
                  <c:v>8.7334623000001557</c:v>
                </c:pt>
                <c:pt idx="384">
                  <c:v>8.7646595000001071</c:v>
                </c:pt>
                <c:pt idx="385">
                  <c:v>8.8111308000002282</c:v>
                </c:pt>
                <c:pt idx="386">
                  <c:v>8.8430741000001944</c:v>
                </c:pt>
                <c:pt idx="387">
                  <c:v>8.8728994000002785</c:v>
                </c:pt>
                <c:pt idx="388">
                  <c:v>8.9049598000001424</c:v>
                </c:pt>
                <c:pt idx="389">
                  <c:v>8.920539700000063</c:v>
                </c:pt>
                <c:pt idx="390">
                  <c:v>8.9517083000000639</c:v>
                </c:pt>
                <c:pt idx="391">
                  <c:v>8.9822482000004129</c:v>
                </c:pt>
                <c:pt idx="392">
                  <c:v>9.0298377000003711</c:v>
                </c:pt>
                <c:pt idx="393">
                  <c:v>9.0611833000002662</c:v>
                </c:pt>
                <c:pt idx="394">
                  <c:v>9.0922832000001108</c:v>
                </c:pt>
                <c:pt idx="395">
                  <c:v>9.12239610000006</c:v>
                </c:pt>
                <c:pt idx="396">
                  <c:v>9.1532780000002276</c:v>
                </c:pt>
                <c:pt idx="397">
                  <c:v>9.1842184000001907</c:v>
                </c:pt>
                <c:pt idx="398">
                  <c:v>9.2300111000004108</c:v>
                </c:pt>
                <c:pt idx="399">
                  <c:v>9.2606885000000148</c:v>
                </c:pt>
                <c:pt idx="400">
                  <c:v>9.291738500000065</c:v>
                </c:pt>
                <c:pt idx="401">
                  <c:v>9.3234608000002481</c:v>
                </c:pt>
                <c:pt idx="402">
                  <c:v>9.3695388000001003</c:v>
                </c:pt>
                <c:pt idx="403">
                  <c:v>9.4001502000000983</c:v>
                </c:pt>
                <c:pt idx="404">
                  <c:v>9.4309679000002689</c:v>
                </c:pt>
                <c:pt idx="405">
                  <c:v>9.4623018000002048</c:v>
                </c:pt>
                <c:pt idx="406">
                  <c:v>9.4935661000004075</c:v>
                </c:pt>
                <c:pt idx="407">
                  <c:v>9.5246996000000763</c:v>
                </c:pt>
                <c:pt idx="408">
                  <c:v>9.5554276000002574</c:v>
                </c:pt>
                <c:pt idx="409">
                  <c:v>9.5555276000002571</c:v>
                </c:pt>
                <c:pt idx="410">
                  <c:v>9.5856540000004316</c:v>
                </c:pt>
                <c:pt idx="411">
                  <c:v>9.6167265000003681</c:v>
                </c:pt>
                <c:pt idx="412">
                  <c:v>9.6474853000004259</c:v>
                </c:pt>
                <c:pt idx="413">
                  <c:v>9.6789674999999988</c:v>
                </c:pt>
                <c:pt idx="414">
                  <c:v>9.7094308000000638</c:v>
                </c:pt>
                <c:pt idx="415">
                  <c:v>9.7403956000002836</c:v>
                </c:pt>
                <c:pt idx="416">
                  <c:v>9.7720160000003489</c:v>
                </c:pt>
                <c:pt idx="417">
                  <c:v>9.8176916000002166</c:v>
                </c:pt>
                <c:pt idx="418">
                  <c:v>9.8488786000002619</c:v>
                </c:pt>
                <c:pt idx="419">
                  <c:v>9.8793074000000161</c:v>
                </c:pt>
                <c:pt idx="420">
                  <c:v>9.9106115000004138</c:v>
                </c:pt>
                <c:pt idx="421">
                  <c:v>9.9409724000001916</c:v>
                </c:pt>
                <c:pt idx="422">
                  <c:v>9.9728406000003815</c:v>
                </c:pt>
                <c:pt idx="423">
                  <c:v>10.004080200000317</c:v>
                </c:pt>
                <c:pt idx="424">
                  <c:v>10.052269700000124</c:v>
                </c:pt>
                <c:pt idx="425">
                  <c:v>10.067612800000006</c:v>
                </c:pt>
                <c:pt idx="426">
                  <c:v>10.098507600000175</c:v>
                </c:pt>
                <c:pt idx="427">
                  <c:v>10.129110700000183</c:v>
                </c:pt>
                <c:pt idx="428">
                  <c:v>10.159869600000093</c:v>
                </c:pt>
                <c:pt idx="429">
                  <c:v>10.191697800000384</c:v>
                </c:pt>
                <c:pt idx="430">
                  <c:v>10.223350500000379</c:v>
                </c:pt>
                <c:pt idx="431">
                  <c:v>10.317478700000265</c:v>
                </c:pt>
                <c:pt idx="432">
                  <c:v>10.333174900000358</c:v>
                </c:pt>
                <c:pt idx="433">
                  <c:v>10.348560300000372</c:v>
                </c:pt>
                <c:pt idx="434">
                  <c:v>10.36367700000028</c:v>
                </c:pt>
                <c:pt idx="435">
                  <c:v>10.410301700000218</c:v>
                </c:pt>
                <c:pt idx="436">
                  <c:v>10.58332960000007</c:v>
                </c:pt>
                <c:pt idx="437">
                  <c:v>10.598769900000207</c:v>
                </c:pt>
                <c:pt idx="438">
                  <c:v>10.614560700000311</c:v>
                </c:pt>
                <c:pt idx="439">
                  <c:v>10.63024680000035</c:v>
                </c:pt>
                <c:pt idx="440">
                  <c:v>10.645605100000012</c:v>
                </c:pt>
                <c:pt idx="441">
                  <c:v>10.661888300000101</c:v>
                </c:pt>
                <c:pt idx="442">
                  <c:v>10.67790260000038</c:v>
                </c:pt>
                <c:pt idx="443">
                  <c:v>10.693193000000065</c:v>
                </c:pt>
                <c:pt idx="444">
                  <c:v>10.709016600000268</c:v>
                </c:pt>
                <c:pt idx="445">
                  <c:v>10.724044000000049</c:v>
                </c:pt>
                <c:pt idx="446">
                  <c:v>10.756220200000371</c:v>
                </c:pt>
                <c:pt idx="447">
                  <c:v>10.787308800000119</c:v>
                </c:pt>
                <c:pt idx="448">
                  <c:v>10.833230000000185</c:v>
                </c:pt>
                <c:pt idx="449">
                  <c:v>10.848908600000414</c:v>
                </c:pt>
                <c:pt idx="450">
                  <c:v>10.895104500000343</c:v>
                </c:pt>
                <c:pt idx="451">
                  <c:v>10.926145600000382</c:v>
                </c:pt>
                <c:pt idx="452">
                  <c:v>10.942143000000215</c:v>
                </c:pt>
                <c:pt idx="453">
                  <c:v>10.973500700000386</c:v>
                </c:pt>
                <c:pt idx="454">
                  <c:v>11.019185500000276</c:v>
                </c:pt>
                <c:pt idx="455">
                  <c:v>11.034989600000245</c:v>
                </c:pt>
                <c:pt idx="456">
                  <c:v>11.082045999999991</c:v>
                </c:pt>
                <c:pt idx="457">
                  <c:v>11.1128262000002</c:v>
                </c:pt>
                <c:pt idx="458">
                  <c:v>11.143854800000099</c:v>
                </c:pt>
                <c:pt idx="459">
                  <c:v>11.175350700000308</c:v>
                </c:pt>
                <c:pt idx="460">
                  <c:v>11.206693400000404</c:v>
                </c:pt>
                <c:pt idx="461">
                  <c:v>11.237335799999983</c:v>
                </c:pt>
                <c:pt idx="462">
                  <c:v>11.284025600000405</c:v>
                </c:pt>
                <c:pt idx="463">
                  <c:v>11.314848700000312</c:v>
                </c:pt>
                <c:pt idx="464">
                  <c:v>11.345894600000065</c:v>
                </c:pt>
                <c:pt idx="465">
                  <c:v>11.377582900000107</c:v>
                </c:pt>
                <c:pt idx="466">
                  <c:v>11.408712500000092</c:v>
                </c:pt>
                <c:pt idx="467">
                  <c:v>11.424737800000003</c:v>
                </c:pt>
                <c:pt idx="468">
                  <c:v>11.47156490000043</c:v>
                </c:pt>
                <c:pt idx="469">
                  <c:v>11.502535600000101</c:v>
                </c:pt>
                <c:pt idx="470">
                  <c:v>11.534924500000216</c:v>
                </c:pt>
                <c:pt idx="471">
                  <c:v>11.565958300000148</c:v>
                </c:pt>
                <c:pt idx="472">
                  <c:v>11.59783920000018</c:v>
                </c:pt>
                <c:pt idx="473">
                  <c:v>11.644704600000296</c:v>
                </c:pt>
                <c:pt idx="474">
                  <c:v>11.675825900000291</c:v>
                </c:pt>
                <c:pt idx="475">
                  <c:v>11.706475600000431</c:v>
                </c:pt>
                <c:pt idx="476">
                  <c:v>11.737749000000349</c:v>
                </c:pt>
                <c:pt idx="477">
                  <c:v>11.76921160000029</c:v>
                </c:pt>
                <c:pt idx="478">
                  <c:v>11.800858600000083</c:v>
                </c:pt>
                <c:pt idx="479">
                  <c:v>11.832110300000295</c:v>
                </c:pt>
                <c:pt idx="480">
                  <c:v>11.847406900000351</c:v>
                </c:pt>
                <c:pt idx="481">
                  <c:v>11.894228900000144</c:v>
                </c:pt>
                <c:pt idx="482">
                  <c:v>11.92492110000012</c:v>
                </c:pt>
                <c:pt idx="483">
                  <c:v>11.955142800000431</c:v>
                </c:pt>
                <c:pt idx="484">
                  <c:v>12.000833200000216</c:v>
                </c:pt>
                <c:pt idx="485">
                  <c:v>12.016915900000186</c:v>
                </c:pt>
                <c:pt idx="486">
                  <c:v>12.063823899999988</c:v>
                </c:pt>
                <c:pt idx="487">
                  <c:v>12.094814100000349</c:v>
                </c:pt>
                <c:pt idx="488">
                  <c:v>12.125114600000416</c:v>
                </c:pt>
                <c:pt idx="489">
                  <c:v>12.15568790000043</c:v>
                </c:pt>
                <c:pt idx="490">
                  <c:v>12.186626400000023</c:v>
                </c:pt>
                <c:pt idx="491">
                  <c:v>12.218306000000211</c:v>
                </c:pt>
                <c:pt idx="492">
                  <c:v>12.249259600000187</c:v>
                </c:pt>
                <c:pt idx="493">
                  <c:v>12.296085400000266</c:v>
                </c:pt>
                <c:pt idx="494">
                  <c:v>12.326275300000361</c:v>
                </c:pt>
                <c:pt idx="495">
                  <c:v>12.357014600000184</c:v>
                </c:pt>
                <c:pt idx="496">
                  <c:v>12.388153500000044</c:v>
                </c:pt>
                <c:pt idx="497">
                  <c:v>12.4197750000003</c:v>
                </c:pt>
                <c:pt idx="498">
                  <c:v>12.451095400000213</c:v>
                </c:pt>
                <c:pt idx="499">
                  <c:v>12.482295500000419</c:v>
                </c:pt>
                <c:pt idx="500">
                  <c:v>12.513406000000032</c:v>
                </c:pt>
                <c:pt idx="501">
                  <c:v>12.545510300000387</c:v>
                </c:pt>
                <c:pt idx="502">
                  <c:v>12.576301700000386</c:v>
                </c:pt>
                <c:pt idx="503">
                  <c:v>12.607888900000034</c:v>
                </c:pt>
                <c:pt idx="504">
                  <c:v>12.638797200000226</c:v>
                </c:pt>
                <c:pt idx="505">
                  <c:v>12.670864300000176</c:v>
                </c:pt>
                <c:pt idx="506">
                  <c:v>12.702406300000348</c:v>
                </c:pt>
                <c:pt idx="507">
                  <c:v>12.748906799999986</c:v>
                </c:pt>
                <c:pt idx="508">
                  <c:v>12.780055300000186</c:v>
                </c:pt>
                <c:pt idx="509">
                  <c:v>12.810586700000385</c:v>
                </c:pt>
                <c:pt idx="510">
                  <c:v>12.840667400000257</c:v>
                </c:pt>
                <c:pt idx="511">
                  <c:v>12.87273660000028</c:v>
                </c:pt>
                <c:pt idx="512">
                  <c:v>12.919059700000162</c:v>
                </c:pt>
                <c:pt idx="513">
                  <c:v>12.950166000000081</c:v>
                </c:pt>
                <c:pt idx="514">
                  <c:v>12.965575600000193</c:v>
                </c:pt>
                <c:pt idx="515">
                  <c:v>12.996916700000384</c:v>
                </c:pt>
                <c:pt idx="516">
                  <c:v>13.027586500000325</c:v>
                </c:pt>
                <c:pt idx="517">
                  <c:v>13.058944500000052</c:v>
                </c:pt>
                <c:pt idx="518">
                  <c:v>13.089599500000077</c:v>
                </c:pt>
                <c:pt idx="519">
                  <c:v>13.136956600000303</c:v>
                </c:pt>
                <c:pt idx="520">
                  <c:v>13.167147800000294</c:v>
                </c:pt>
                <c:pt idx="521">
                  <c:v>13.197788200000105</c:v>
                </c:pt>
                <c:pt idx="522">
                  <c:v>13.243707000000086</c:v>
                </c:pt>
                <c:pt idx="523">
                  <c:v>13.30562800000007</c:v>
                </c:pt>
                <c:pt idx="524">
                  <c:v>13.320852300000297</c:v>
                </c:pt>
                <c:pt idx="525">
                  <c:v>13.336251400000037</c:v>
                </c:pt>
                <c:pt idx="526">
                  <c:v>13.367295000000013</c:v>
                </c:pt>
                <c:pt idx="527">
                  <c:v>13.397435500000029</c:v>
                </c:pt>
                <c:pt idx="528">
                  <c:v>13.429170900000372</c:v>
                </c:pt>
                <c:pt idx="529">
                  <c:v>13.460952700000234</c:v>
                </c:pt>
                <c:pt idx="530">
                  <c:v>13.492381000000023</c:v>
                </c:pt>
                <c:pt idx="531">
                  <c:v>13.523081499999989</c:v>
                </c:pt>
                <c:pt idx="532">
                  <c:v>13.555078700000195</c:v>
                </c:pt>
                <c:pt idx="533">
                  <c:v>13.587006100000053</c:v>
                </c:pt>
                <c:pt idx="534">
                  <c:v>13.619073000000299</c:v>
                </c:pt>
                <c:pt idx="535">
                  <c:v>13.650212200000169</c:v>
                </c:pt>
                <c:pt idx="536">
                  <c:v>13.681003300000157</c:v>
                </c:pt>
                <c:pt idx="537">
                  <c:v>13.712306100000205</c:v>
                </c:pt>
                <c:pt idx="538">
                  <c:v>13.758961900000031</c:v>
                </c:pt>
                <c:pt idx="539">
                  <c:v>13.789472500000102</c:v>
                </c:pt>
                <c:pt idx="540">
                  <c:v>13.822084700000232</c:v>
                </c:pt>
                <c:pt idx="541">
                  <c:v>13.852689600000303</c:v>
                </c:pt>
                <c:pt idx="542">
                  <c:v>13.883946300000389</c:v>
                </c:pt>
                <c:pt idx="543">
                  <c:v>13.914673300000231</c:v>
                </c:pt>
                <c:pt idx="544">
                  <c:v>13.945167700000184</c:v>
                </c:pt>
                <c:pt idx="545">
                  <c:v>13.992031400000087</c:v>
                </c:pt>
                <c:pt idx="546">
                  <c:v>14.023872700000084</c:v>
                </c:pt>
                <c:pt idx="547">
                  <c:v>14.054001299999982</c:v>
                </c:pt>
                <c:pt idx="548">
                  <c:v>14.069429500000297</c:v>
                </c:pt>
                <c:pt idx="549">
                  <c:v>14.100932499999999</c:v>
                </c:pt>
                <c:pt idx="550">
                  <c:v>14.14680670000007</c:v>
                </c:pt>
                <c:pt idx="551">
                  <c:v>14.17827780000016</c:v>
                </c:pt>
                <c:pt idx="552">
                  <c:v>14.209291300000132</c:v>
                </c:pt>
                <c:pt idx="553">
                  <c:v>14.240556100000049</c:v>
                </c:pt>
                <c:pt idx="554">
                  <c:v>14.271950000000288</c:v>
                </c:pt>
                <c:pt idx="555">
                  <c:v>14.303397800000312</c:v>
                </c:pt>
                <c:pt idx="556">
                  <c:v>14.333667700000206</c:v>
                </c:pt>
                <c:pt idx="557">
                  <c:v>14.380823100000271</c:v>
                </c:pt>
                <c:pt idx="558">
                  <c:v>14.411975400000301</c:v>
                </c:pt>
              </c:numCache>
            </c:numRef>
          </c:xVal>
          <c:yVal>
            <c:numRef>
              <c:f>'Maju 0.1'!$AB$7:$AB$565</c:f>
              <c:numCache>
                <c:formatCode>General</c:formatCode>
                <c:ptCount val="559"/>
                <c:pt idx="0">
                  <c:v>-4.2838348388671799</c:v>
                </c:pt>
                <c:pt idx="1">
                  <c:v>-4.2838348388671799</c:v>
                </c:pt>
                <c:pt idx="2">
                  <c:v>-4.2838348388671799</c:v>
                </c:pt>
                <c:pt idx="3">
                  <c:v>-4.2838348388671799</c:v>
                </c:pt>
                <c:pt idx="4">
                  <c:v>-7.4007926940917903</c:v>
                </c:pt>
                <c:pt idx="5">
                  <c:v>-7.4007926940917903</c:v>
                </c:pt>
                <c:pt idx="6">
                  <c:v>-7.4007926940917903</c:v>
                </c:pt>
                <c:pt idx="7">
                  <c:v>-7.4007926940917903</c:v>
                </c:pt>
                <c:pt idx="8">
                  <c:v>-5.8458724975585898</c:v>
                </c:pt>
                <c:pt idx="9">
                  <c:v>-5.8458724975585898</c:v>
                </c:pt>
                <c:pt idx="10">
                  <c:v>-5.8458724975585898</c:v>
                </c:pt>
                <c:pt idx="11">
                  <c:v>-5.8458724975585898</c:v>
                </c:pt>
                <c:pt idx="12">
                  <c:v>-8.6154609680175707</c:v>
                </c:pt>
                <c:pt idx="13">
                  <c:v>-8.6154609680175707</c:v>
                </c:pt>
                <c:pt idx="14">
                  <c:v>-8.6154609680175707</c:v>
                </c:pt>
                <c:pt idx="15">
                  <c:v>-8.6154609680175707</c:v>
                </c:pt>
                <c:pt idx="16">
                  <c:v>-9.5610008239746094</c:v>
                </c:pt>
                <c:pt idx="17">
                  <c:v>-9.5610008239746094</c:v>
                </c:pt>
                <c:pt idx="18">
                  <c:v>-9.5610008239746094</c:v>
                </c:pt>
                <c:pt idx="19">
                  <c:v>-9.5610008239746094</c:v>
                </c:pt>
                <c:pt idx="20">
                  <c:v>-9.5809143066406204</c:v>
                </c:pt>
                <c:pt idx="21">
                  <c:v>-9.5809143066406204</c:v>
                </c:pt>
                <c:pt idx="22">
                  <c:v>-9.5809143066406204</c:v>
                </c:pt>
                <c:pt idx="23">
                  <c:v>-9.5809143066406204</c:v>
                </c:pt>
                <c:pt idx="24">
                  <c:v>-12.4998825073242</c:v>
                </c:pt>
                <c:pt idx="25">
                  <c:v>-12.4998825073242</c:v>
                </c:pt>
                <c:pt idx="26">
                  <c:v>-12.4998825073242</c:v>
                </c:pt>
                <c:pt idx="27">
                  <c:v>-12.4998825073242</c:v>
                </c:pt>
                <c:pt idx="28">
                  <c:v>-12.674114990234301</c:v>
                </c:pt>
                <c:pt idx="29">
                  <c:v>-12.674114990234301</c:v>
                </c:pt>
                <c:pt idx="30">
                  <c:v>-12.674114990234301</c:v>
                </c:pt>
                <c:pt idx="31">
                  <c:v>-12.674114990234301</c:v>
                </c:pt>
                <c:pt idx="32">
                  <c:v>-12.674114990234301</c:v>
                </c:pt>
                <c:pt idx="33">
                  <c:v>-12.982263183593702</c:v>
                </c:pt>
                <c:pt idx="34">
                  <c:v>-12.982263183593702</c:v>
                </c:pt>
                <c:pt idx="35">
                  <c:v>-12.982263183593702</c:v>
                </c:pt>
                <c:pt idx="36">
                  <c:v>-12.982263183593702</c:v>
                </c:pt>
                <c:pt idx="37">
                  <c:v>-15.519564819335899</c:v>
                </c:pt>
                <c:pt idx="38">
                  <c:v>-15.519564819335899</c:v>
                </c:pt>
                <c:pt idx="39">
                  <c:v>-15.519564819335899</c:v>
                </c:pt>
                <c:pt idx="40">
                  <c:v>-15.519564819335899</c:v>
                </c:pt>
                <c:pt idx="41">
                  <c:v>-12.408326721191401</c:v>
                </c:pt>
                <c:pt idx="42">
                  <c:v>-12.408326721191401</c:v>
                </c:pt>
                <c:pt idx="43">
                  <c:v>-12.408326721191401</c:v>
                </c:pt>
                <c:pt idx="44">
                  <c:v>-12.408326721191401</c:v>
                </c:pt>
                <c:pt idx="45">
                  <c:v>-9.8137031555175689</c:v>
                </c:pt>
                <c:pt idx="46">
                  <c:v>-9.8137031555175689</c:v>
                </c:pt>
                <c:pt idx="47">
                  <c:v>-9.8137031555175689</c:v>
                </c:pt>
                <c:pt idx="48">
                  <c:v>-9.8137031555175689</c:v>
                </c:pt>
                <c:pt idx="49">
                  <c:v>-9.8137031555175689</c:v>
                </c:pt>
                <c:pt idx="50">
                  <c:v>-8.8592613220214798</c:v>
                </c:pt>
                <c:pt idx="51">
                  <c:v>-8.8592613220214798</c:v>
                </c:pt>
                <c:pt idx="52">
                  <c:v>-8.8592613220214798</c:v>
                </c:pt>
                <c:pt idx="53">
                  <c:v>-8.8592613220214798</c:v>
                </c:pt>
                <c:pt idx="54">
                  <c:v>-9.4532920837402301</c:v>
                </c:pt>
                <c:pt idx="55">
                  <c:v>-9.4532920837402301</c:v>
                </c:pt>
                <c:pt idx="56">
                  <c:v>-9.4532920837402301</c:v>
                </c:pt>
                <c:pt idx="57">
                  <c:v>-9.4532920837402301</c:v>
                </c:pt>
                <c:pt idx="58">
                  <c:v>-9.509816741943359</c:v>
                </c:pt>
                <c:pt idx="59">
                  <c:v>-9.509816741943359</c:v>
                </c:pt>
                <c:pt idx="60">
                  <c:v>-9.509816741943359</c:v>
                </c:pt>
                <c:pt idx="61">
                  <c:v>-9.509816741943359</c:v>
                </c:pt>
                <c:pt idx="62">
                  <c:v>-9.509816741943359</c:v>
                </c:pt>
                <c:pt idx="63">
                  <c:v>-8.30877685546875</c:v>
                </c:pt>
                <c:pt idx="64">
                  <c:v>-8.30877685546875</c:v>
                </c:pt>
                <c:pt idx="65">
                  <c:v>-8.30877685546875</c:v>
                </c:pt>
                <c:pt idx="66">
                  <c:v>-8.30877685546875</c:v>
                </c:pt>
                <c:pt idx="67">
                  <c:v>-5.4534168243408194</c:v>
                </c:pt>
                <c:pt idx="68">
                  <c:v>-5.4534168243408194</c:v>
                </c:pt>
                <c:pt idx="69">
                  <c:v>-5.4534168243408194</c:v>
                </c:pt>
                <c:pt idx="70">
                  <c:v>-5.4534168243408194</c:v>
                </c:pt>
                <c:pt idx="71">
                  <c:v>-5.4534168243408194</c:v>
                </c:pt>
                <c:pt idx="72">
                  <c:v>-4.7911613464355396</c:v>
                </c:pt>
                <c:pt idx="73">
                  <c:v>-4.7911613464355396</c:v>
                </c:pt>
                <c:pt idx="74">
                  <c:v>-4.7911613464355396</c:v>
                </c:pt>
                <c:pt idx="75">
                  <c:v>-4.7911613464355396</c:v>
                </c:pt>
                <c:pt idx="76">
                  <c:v>-5.0565231323242106</c:v>
                </c:pt>
                <c:pt idx="77">
                  <c:v>-5.0565231323242106</c:v>
                </c:pt>
                <c:pt idx="78">
                  <c:v>-5.0565231323242106</c:v>
                </c:pt>
                <c:pt idx="79">
                  <c:v>-5.0565231323242106</c:v>
                </c:pt>
                <c:pt idx="80">
                  <c:v>-5.0565231323242106</c:v>
                </c:pt>
                <c:pt idx="81">
                  <c:v>-3.3754535675048798</c:v>
                </c:pt>
                <c:pt idx="82">
                  <c:v>-3.3754535675048798</c:v>
                </c:pt>
                <c:pt idx="83">
                  <c:v>-3.3754535675048798</c:v>
                </c:pt>
                <c:pt idx="84">
                  <c:v>-5.0919387817382793</c:v>
                </c:pt>
                <c:pt idx="85">
                  <c:v>-5.0919387817382793</c:v>
                </c:pt>
                <c:pt idx="86">
                  <c:v>-5.0919387817382793</c:v>
                </c:pt>
                <c:pt idx="87">
                  <c:v>-5.0919387817382793</c:v>
                </c:pt>
                <c:pt idx="88">
                  <c:v>-5.3493324279785099</c:v>
                </c:pt>
                <c:pt idx="89">
                  <c:v>-5.3493324279785099</c:v>
                </c:pt>
                <c:pt idx="90">
                  <c:v>-5.3493324279785099</c:v>
                </c:pt>
                <c:pt idx="91">
                  <c:v>-5.3493324279785099</c:v>
                </c:pt>
                <c:pt idx="92">
                  <c:v>-5.3493324279785099</c:v>
                </c:pt>
                <c:pt idx="93">
                  <c:v>-4.6003005981445302</c:v>
                </c:pt>
                <c:pt idx="94">
                  <c:v>-4.6003005981445302</c:v>
                </c:pt>
                <c:pt idx="95">
                  <c:v>-4.6003005981445302</c:v>
                </c:pt>
                <c:pt idx="96">
                  <c:v>-4.6003005981445302</c:v>
                </c:pt>
                <c:pt idx="97">
                  <c:v>-4.0395118713378899</c:v>
                </c:pt>
                <c:pt idx="98">
                  <c:v>-4.0395118713378899</c:v>
                </c:pt>
                <c:pt idx="99">
                  <c:v>-4.0395118713378899</c:v>
                </c:pt>
                <c:pt idx="100">
                  <c:v>-4.0395118713378899</c:v>
                </c:pt>
                <c:pt idx="101">
                  <c:v>-0.69509086608886694</c:v>
                </c:pt>
                <c:pt idx="102">
                  <c:v>-0.69509086608886694</c:v>
                </c:pt>
                <c:pt idx="103">
                  <c:v>-0.69509086608886694</c:v>
                </c:pt>
                <c:pt idx="104">
                  <c:v>-0.69509086608886694</c:v>
                </c:pt>
                <c:pt idx="105">
                  <c:v>2.3579235076904199</c:v>
                </c:pt>
                <c:pt idx="106">
                  <c:v>2.3579235076904199</c:v>
                </c:pt>
                <c:pt idx="107">
                  <c:v>2.3579235076904199</c:v>
                </c:pt>
                <c:pt idx="108">
                  <c:v>2.3579235076904199</c:v>
                </c:pt>
                <c:pt idx="109">
                  <c:v>2.3579235076904199</c:v>
                </c:pt>
                <c:pt idx="110">
                  <c:v>5.8673553466796795</c:v>
                </c:pt>
                <c:pt idx="111">
                  <c:v>5.8673553466796795</c:v>
                </c:pt>
                <c:pt idx="112">
                  <c:v>5.8673553466796795</c:v>
                </c:pt>
                <c:pt idx="113">
                  <c:v>7.247121429443359</c:v>
                </c:pt>
                <c:pt idx="114">
                  <c:v>7.247121429443359</c:v>
                </c:pt>
                <c:pt idx="115">
                  <c:v>7.247121429443359</c:v>
                </c:pt>
                <c:pt idx="116">
                  <c:v>7.247121429443359</c:v>
                </c:pt>
                <c:pt idx="117">
                  <c:v>7.247121429443359</c:v>
                </c:pt>
                <c:pt idx="118">
                  <c:v>10.354905700683501</c:v>
                </c:pt>
                <c:pt idx="119">
                  <c:v>10.354905700683501</c:v>
                </c:pt>
                <c:pt idx="120">
                  <c:v>10.354905700683501</c:v>
                </c:pt>
                <c:pt idx="121">
                  <c:v>10.354905700683501</c:v>
                </c:pt>
                <c:pt idx="122">
                  <c:v>14.3234741210937</c:v>
                </c:pt>
                <c:pt idx="123">
                  <c:v>14.3234741210937</c:v>
                </c:pt>
                <c:pt idx="124">
                  <c:v>14.3234741210937</c:v>
                </c:pt>
                <c:pt idx="125">
                  <c:v>14.3234741210937</c:v>
                </c:pt>
                <c:pt idx="126">
                  <c:v>14.3234741210937</c:v>
                </c:pt>
                <c:pt idx="127">
                  <c:v>15.113034057617099</c:v>
                </c:pt>
                <c:pt idx="128">
                  <c:v>15.113034057617099</c:v>
                </c:pt>
                <c:pt idx="129">
                  <c:v>15.113034057617099</c:v>
                </c:pt>
                <c:pt idx="130">
                  <c:v>15.113034057617099</c:v>
                </c:pt>
                <c:pt idx="131">
                  <c:v>12.2195846557617</c:v>
                </c:pt>
                <c:pt idx="132">
                  <c:v>12.2195846557617</c:v>
                </c:pt>
                <c:pt idx="133">
                  <c:v>12.2195846557617</c:v>
                </c:pt>
                <c:pt idx="134">
                  <c:v>12.2195846557617</c:v>
                </c:pt>
                <c:pt idx="135">
                  <c:v>8.6235771179199201</c:v>
                </c:pt>
                <c:pt idx="136">
                  <c:v>8.6235771179199201</c:v>
                </c:pt>
                <c:pt idx="137">
                  <c:v>8.6235771179199201</c:v>
                </c:pt>
                <c:pt idx="138">
                  <c:v>8.6235771179199201</c:v>
                </c:pt>
                <c:pt idx="139">
                  <c:v>6.5997406005859292</c:v>
                </c:pt>
                <c:pt idx="140">
                  <c:v>6.5997406005859292</c:v>
                </c:pt>
                <c:pt idx="141">
                  <c:v>6.5997406005859292</c:v>
                </c:pt>
                <c:pt idx="142">
                  <c:v>6.5997406005859292</c:v>
                </c:pt>
                <c:pt idx="143">
                  <c:v>6.5997406005859292</c:v>
                </c:pt>
                <c:pt idx="144">
                  <c:v>3.3278076171874997</c:v>
                </c:pt>
                <c:pt idx="145">
                  <c:v>3.3278076171874997</c:v>
                </c:pt>
                <c:pt idx="146">
                  <c:v>3.3278076171874997</c:v>
                </c:pt>
                <c:pt idx="147">
                  <c:v>3.3278076171874997</c:v>
                </c:pt>
                <c:pt idx="148">
                  <c:v>-6.7436850070953305E-2</c:v>
                </c:pt>
                <c:pt idx="149">
                  <c:v>-6.7436850070953305E-2</c:v>
                </c:pt>
                <c:pt idx="150">
                  <c:v>-6.7436850070953305E-2</c:v>
                </c:pt>
                <c:pt idx="151">
                  <c:v>-6.7436850070953305E-2</c:v>
                </c:pt>
                <c:pt idx="152">
                  <c:v>-6.7436850070953305E-2</c:v>
                </c:pt>
                <c:pt idx="153">
                  <c:v>-1.6314493179321199</c:v>
                </c:pt>
                <c:pt idx="154">
                  <c:v>-1.6314493179321199</c:v>
                </c:pt>
                <c:pt idx="155">
                  <c:v>-1.6314493179321199</c:v>
                </c:pt>
                <c:pt idx="156">
                  <c:v>-1.6314493179321199</c:v>
                </c:pt>
                <c:pt idx="157">
                  <c:v>-5.3606155395507802</c:v>
                </c:pt>
                <c:pt idx="158">
                  <c:v>-5.3606155395507802</c:v>
                </c:pt>
                <c:pt idx="159">
                  <c:v>-5.3606155395507802</c:v>
                </c:pt>
                <c:pt idx="160">
                  <c:v>-5.3606155395507802</c:v>
                </c:pt>
                <c:pt idx="161">
                  <c:v>-5.0090194702148398</c:v>
                </c:pt>
                <c:pt idx="162">
                  <c:v>-5.0090194702148398</c:v>
                </c:pt>
                <c:pt idx="163">
                  <c:v>-5.0090194702148398</c:v>
                </c:pt>
                <c:pt idx="164">
                  <c:v>-5.0090194702148398</c:v>
                </c:pt>
                <c:pt idx="165">
                  <c:v>-1.71027755737304</c:v>
                </c:pt>
                <c:pt idx="166">
                  <c:v>-1.71027755737304</c:v>
                </c:pt>
                <c:pt idx="167">
                  <c:v>-1.71027755737304</c:v>
                </c:pt>
                <c:pt idx="168">
                  <c:v>-1.71027755737304</c:v>
                </c:pt>
                <c:pt idx="169">
                  <c:v>-1.71027755737304</c:v>
                </c:pt>
                <c:pt idx="170">
                  <c:v>1.0767213821411099</c:v>
                </c:pt>
                <c:pt idx="171">
                  <c:v>1.0767213821411099</c:v>
                </c:pt>
                <c:pt idx="172">
                  <c:v>1.0767213821411099</c:v>
                </c:pt>
                <c:pt idx="173">
                  <c:v>1.0767213821411099</c:v>
                </c:pt>
                <c:pt idx="174">
                  <c:v>2.78166580200195</c:v>
                </c:pt>
                <c:pt idx="175">
                  <c:v>2.78166580200195</c:v>
                </c:pt>
                <c:pt idx="176">
                  <c:v>2.78166580200195</c:v>
                </c:pt>
                <c:pt idx="177">
                  <c:v>2.78166580200195</c:v>
                </c:pt>
                <c:pt idx="178">
                  <c:v>2.78166580200195</c:v>
                </c:pt>
                <c:pt idx="179">
                  <c:v>7.82507934570312</c:v>
                </c:pt>
                <c:pt idx="180">
                  <c:v>7.82507934570312</c:v>
                </c:pt>
                <c:pt idx="181">
                  <c:v>7.82507934570312</c:v>
                </c:pt>
                <c:pt idx="182">
                  <c:v>13.618652343750002</c:v>
                </c:pt>
                <c:pt idx="183">
                  <c:v>13.618652343750002</c:v>
                </c:pt>
                <c:pt idx="184">
                  <c:v>13.618652343750002</c:v>
                </c:pt>
                <c:pt idx="185">
                  <c:v>13.618652343750002</c:v>
                </c:pt>
                <c:pt idx="186">
                  <c:v>12.669541931152301</c:v>
                </c:pt>
                <c:pt idx="187">
                  <c:v>12.669541931152301</c:v>
                </c:pt>
                <c:pt idx="188">
                  <c:v>12.669541931152301</c:v>
                </c:pt>
                <c:pt idx="189">
                  <c:v>12.669541931152301</c:v>
                </c:pt>
                <c:pt idx="190">
                  <c:v>12.669541931152301</c:v>
                </c:pt>
                <c:pt idx="191">
                  <c:v>11.9881492614746</c:v>
                </c:pt>
                <c:pt idx="192">
                  <c:v>11.9881492614746</c:v>
                </c:pt>
                <c:pt idx="193">
                  <c:v>11.9881492614746</c:v>
                </c:pt>
                <c:pt idx="194">
                  <c:v>11.9881492614746</c:v>
                </c:pt>
                <c:pt idx="195">
                  <c:v>11.9881492614746</c:v>
                </c:pt>
                <c:pt idx="196">
                  <c:v>11.9881492614746</c:v>
                </c:pt>
                <c:pt idx="197">
                  <c:v>8.7956520080566403</c:v>
                </c:pt>
                <c:pt idx="198">
                  <c:v>8.7956520080566403</c:v>
                </c:pt>
                <c:pt idx="199">
                  <c:v>9.5363021850585898</c:v>
                </c:pt>
                <c:pt idx="200">
                  <c:v>9.5363021850585898</c:v>
                </c:pt>
                <c:pt idx="201">
                  <c:v>9.5363021850585898</c:v>
                </c:pt>
                <c:pt idx="202">
                  <c:v>9.5363021850585898</c:v>
                </c:pt>
                <c:pt idx="203">
                  <c:v>9.5363021850585898</c:v>
                </c:pt>
                <c:pt idx="204">
                  <c:v>8.2256347656250011</c:v>
                </c:pt>
                <c:pt idx="205">
                  <c:v>8.2256347656250011</c:v>
                </c:pt>
                <c:pt idx="206">
                  <c:v>8.2256347656250011</c:v>
                </c:pt>
                <c:pt idx="207">
                  <c:v>8.2256347656250011</c:v>
                </c:pt>
                <c:pt idx="208">
                  <c:v>9.0228073120117109</c:v>
                </c:pt>
                <c:pt idx="209">
                  <c:v>9.0228073120117109</c:v>
                </c:pt>
                <c:pt idx="210">
                  <c:v>9.0228073120117109</c:v>
                </c:pt>
                <c:pt idx="211">
                  <c:v>10.9498886108398</c:v>
                </c:pt>
                <c:pt idx="212">
                  <c:v>10.9498886108398</c:v>
                </c:pt>
                <c:pt idx="213">
                  <c:v>10.9498886108398</c:v>
                </c:pt>
                <c:pt idx="214">
                  <c:v>9.7129402160644496</c:v>
                </c:pt>
                <c:pt idx="215">
                  <c:v>9.7129402160644496</c:v>
                </c:pt>
                <c:pt idx="216">
                  <c:v>10.915362548828099</c:v>
                </c:pt>
                <c:pt idx="217">
                  <c:v>9.612628173828119</c:v>
                </c:pt>
                <c:pt idx="218">
                  <c:v>9.612628173828119</c:v>
                </c:pt>
                <c:pt idx="219">
                  <c:v>9.612628173828119</c:v>
                </c:pt>
                <c:pt idx="220">
                  <c:v>9.3164756774902298</c:v>
                </c:pt>
                <c:pt idx="221">
                  <c:v>9.3164756774902298</c:v>
                </c:pt>
                <c:pt idx="222">
                  <c:v>12.3488807678222</c:v>
                </c:pt>
                <c:pt idx="223">
                  <c:v>9.0991195678710906</c:v>
                </c:pt>
                <c:pt idx="224">
                  <c:v>9.0991195678710906</c:v>
                </c:pt>
                <c:pt idx="225">
                  <c:v>9.0991195678710906</c:v>
                </c:pt>
                <c:pt idx="226">
                  <c:v>8.6896705627441388</c:v>
                </c:pt>
                <c:pt idx="227">
                  <c:v>8.6896705627441388</c:v>
                </c:pt>
                <c:pt idx="228">
                  <c:v>4.37619171142578</c:v>
                </c:pt>
                <c:pt idx="229">
                  <c:v>4.37619171142578</c:v>
                </c:pt>
                <c:pt idx="230">
                  <c:v>-1.4748331069946199</c:v>
                </c:pt>
                <c:pt idx="231">
                  <c:v>-1.9168882369995099</c:v>
                </c:pt>
                <c:pt idx="232">
                  <c:v>-1.9168882369995099</c:v>
                </c:pt>
                <c:pt idx="233">
                  <c:v>-1.9168882369995099</c:v>
                </c:pt>
                <c:pt idx="234">
                  <c:v>-0.42526473999023406</c:v>
                </c:pt>
                <c:pt idx="235">
                  <c:v>-0.42526473999023406</c:v>
                </c:pt>
                <c:pt idx="236">
                  <c:v>-1.8963607788085899</c:v>
                </c:pt>
                <c:pt idx="237">
                  <c:v>-1.8963607788085899</c:v>
                </c:pt>
                <c:pt idx="238">
                  <c:v>-2.3212724685668902</c:v>
                </c:pt>
                <c:pt idx="239">
                  <c:v>-2.3212724685668902</c:v>
                </c:pt>
                <c:pt idx="240">
                  <c:v>1.45544881820678</c:v>
                </c:pt>
                <c:pt idx="241">
                  <c:v>1.45544881820678</c:v>
                </c:pt>
                <c:pt idx="242">
                  <c:v>5.0445655822753901</c:v>
                </c:pt>
                <c:pt idx="243">
                  <c:v>5.0445655822753901</c:v>
                </c:pt>
                <c:pt idx="244">
                  <c:v>4.3464126586914</c:v>
                </c:pt>
                <c:pt idx="245">
                  <c:v>4.3464126586914</c:v>
                </c:pt>
                <c:pt idx="246">
                  <c:v>1.06536769866943</c:v>
                </c:pt>
                <c:pt idx="247">
                  <c:v>1.06536769866943</c:v>
                </c:pt>
                <c:pt idx="248">
                  <c:v>-2.0642814636230402</c:v>
                </c:pt>
                <c:pt idx="249">
                  <c:v>-2.0642814636230402</c:v>
                </c:pt>
                <c:pt idx="250">
                  <c:v>-3.5058315277099599</c:v>
                </c:pt>
                <c:pt idx="251">
                  <c:v>-3.5058315277099599</c:v>
                </c:pt>
                <c:pt idx="252">
                  <c:v>-3.5058315277099599</c:v>
                </c:pt>
                <c:pt idx="253">
                  <c:v>-1.9211751937866199</c:v>
                </c:pt>
                <c:pt idx="254">
                  <c:v>-1.9211751937866199</c:v>
                </c:pt>
                <c:pt idx="255">
                  <c:v>-0.22199587821960398</c:v>
                </c:pt>
                <c:pt idx="256">
                  <c:v>-0.22199587821960398</c:v>
                </c:pt>
                <c:pt idx="257">
                  <c:v>-1.1212217330932601</c:v>
                </c:pt>
                <c:pt idx="258">
                  <c:v>-1.1212217330932601</c:v>
                </c:pt>
                <c:pt idx="259">
                  <c:v>-0.68536281585693304</c:v>
                </c:pt>
                <c:pt idx="260">
                  <c:v>-0.68536281585693304</c:v>
                </c:pt>
                <c:pt idx="261">
                  <c:v>1.1604148864746</c:v>
                </c:pt>
                <c:pt idx="262">
                  <c:v>1.1604148864746</c:v>
                </c:pt>
                <c:pt idx="263">
                  <c:v>4.8526710510253901</c:v>
                </c:pt>
                <c:pt idx="264">
                  <c:v>4.8526710510253901</c:v>
                </c:pt>
                <c:pt idx="265">
                  <c:v>7.0969512939453097</c:v>
                </c:pt>
                <c:pt idx="266">
                  <c:v>7.0969512939453097</c:v>
                </c:pt>
                <c:pt idx="267">
                  <c:v>11.8678573608398</c:v>
                </c:pt>
                <c:pt idx="268">
                  <c:v>11.8678573608398</c:v>
                </c:pt>
                <c:pt idx="269">
                  <c:v>18.835075378417901</c:v>
                </c:pt>
                <c:pt idx="270">
                  <c:v>18.835075378417901</c:v>
                </c:pt>
                <c:pt idx="271">
                  <c:v>21.873966979980398</c:v>
                </c:pt>
                <c:pt idx="272">
                  <c:v>21.873966979980398</c:v>
                </c:pt>
                <c:pt idx="273">
                  <c:v>24.901806640624997</c:v>
                </c:pt>
                <c:pt idx="274">
                  <c:v>24.901806640624997</c:v>
                </c:pt>
                <c:pt idx="275">
                  <c:v>24.953628540038999</c:v>
                </c:pt>
                <c:pt idx="276">
                  <c:v>24.953628540038999</c:v>
                </c:pt>
                <c:pt idx="277">
                  <c:v>29.247509765625001</c:v>
                </c:pt>
                <c:pt idx="278">
                  <c:v>29.247509765625001</c:v>
                </c:pt>
                <c:pt idx="279">
                  <c:v>33.987286376953101</c:v>
                </c:pt>
                <c:pt idx="280">
                  <c:v>33.987286376953101</c:v>
                </c:pt>
                <c:pt idx="281">
                  <c:v>34.663098144531205</c:v>
                </c:pt>
                <c:pt idx="282">
                  <c:v>34.663098144531205</c:v>
                </c:pt>
                <c:pt idx="283">
                  <c:v>35.235766601562503</c:v>
                </c:pt>
                <c:pt idx="284">
                  <c:v>35.235766601562503</c:v>
                </c:pt>
                <c:pt idx="285">
                  <c:v>37.517709350585896</c:v>
                </c:pt>
                <c:pt idx="286">
                  <c:v>37.517709350585896</c:v>
                </c:pt>
                <c:pt idx="287">
                  <c:v>40.075527954101496</c:v>
                </c:pt>
                <c:pt idx="288">
                  <c:v>40.075527954101496</c:v>
                </c:pt>
                <c:pt idx="289">
                  <c:v>44.382522583007798</c:v>
                </c:pt>
                <c:pt idx="290">
                  <c:v>44.382522583007798</c:v>
                </c:pt>
                <c:pt idx="291">
                  <c:v>49.050595092773399</c:v>
                </c:pt>
                <c:pt idx="292">
                  <c:v>49.050595092773399</c:v>
                </c:pt>
                <c:pt idx="293">
                  <c:v>50.590792846679598</c:v>
                </c:pt>
                <c:pt idx="294">
                  <c:v>50.590792846679598</c:v>
                </c:pt>
                <c:pt idx="295">
                  <c:v>49.874908447265597</c:v>
                </c:pt>
                <c:pt idx="296">
                  <c:v>49.874908447265597</c:v>
                </c:pt>
                <c:pt idx="297">
                  <c:v>53.758801269531197</c:v>
                </c:pt>
                <c:pt idx="298">
                  <c:v>53.758801269531197</c:v>
                </c:pt>
                <c:pt idx="299">
                  <c:v>55.9686462402343</c:v>
                </c:pt>
                <c:pt idx="300">
                  <c:v>55.9686462402343</c:v>
                </c:pt>
                <c:pt idx="301">
                  <c:v>63.072106933593695</c:v>
                </c:pt>
                <c:pt idx="302">
                  <c:v>63.072106933593695</c:v>
                </c:pt>
                <c:pt idx="303">
                  <c:v>70.933795166015599</c:v>
                </c:pt>
                <c:pt idx="304">
                  <c:v>70.933795166015599</c:v>
                </c:pt>
                <c:pt idx="305">
                  <c:v>71.848199462890605</c:v>
                </c:pt>
                <c:pt idx="306">
                  <c:v>71.848199462890605</c:v>
                </c:pt>
                <c:pt idx="307">
                  <c:v>67.906951904296804</c:v>
                </c:pt>
                <c:pt idx="308">
                  <c:v>67.906951904296804</c:v>
                </c:pt>
                <c:pt idx="309">
                  <c:v>62.334271240234294</c:v>
                </c:pt>
                <c:pt idx="310">
                  <c:v>62.334271240234294</c:v>
                </c:pt>
                <c:pt idx="311">
                  <c:v>61.376123046874994</c:v>
                </c:pt>
                <c:pt idx="312">
                  <c:v>61.376123046874994</c:v>
                </c:pt>
                <c:pt idx="313">
                  <c:v>63.363220214843693</c:v>
                </c:pt>
                <c:pt idx="314">
                  <c:v>63.363220214843693</c:v>
                </c:pt>
                <c:pt idx="315">
                  <c:v>65.022113037109293</c:v>
                </c:pt>
                <c:pt idx="316">
                  <c:v>65.022113037109293</c:v>
                </c:pt>
                <c:pt idx="317">
                  <c:v>64.8941650390625</c:v>
                </c:pt>
                <c:pt idx="318">
                  <c:v>64.8941650390625</c:v>
                </c:pt>
                <c:pt idx="319">
                  <c:v>62.600683593749991</c:v>
                </c:pt>
                <c:pt idx="320">
                  <c:v>62.600683593749991</c:v>
                </c:pt>
                <c:pt idx="321">
                  <c:v>64.617486572265605</c:v>
                </c:pt>
                <c:pt idx="322">
                  <c:v>64.617486572265605</c:v>
                </c:pt>
                <c:pt idx="323">
                  <c:v>67.682653808593699</c:v>
                </c:pt>
                <c:pt idx="324">
                  <c:v>67.682653808593699</c:v>
                </c:pt>
                <c:pt idx="325">
                  <c:v>68.564288330078099</c:v>
                </c:pt>
                <c:pt idx="326">
                  <c:v>68.564288330078099</c:v>
                </c:pt>
                <c:pt idx="327">
                  <c:v>69.708111572265594</c:v>
                </c:pt>
                <c:pt idx="328">
                  <c:v>69.708111572265594</c:v>
                </c:pt>
                <c:pt idx="329">
                  <c:v>70.412438964843702</c:v>
                </c:pt>
                <c:pt idx="330">
                  <c:v>70.412438964843702</c:v>
                </c:pt>
                <c:pt idx="331">
                  <c:v>69.974774169921801</c:v>
                </c:pt>
                <c:pt idx="332">
                  <c:v>69.974774169921801</c:v>
                </c:pt>
                <c:pt idx="333">
                  <c:v>70.006134033203111</c:v>
                </c:pt>
                <c:pt idx="334">
                  <c:v>70.006134033203111</c:v>
                </c:pt>
                <c:pt idx="335">
                  <c:v>70.603729248046804</c:v>
                </c:pt>
                <c:pt idx="336">
                  <c:v>70.603729248046804</c:v>
                </c:pt>
                <c:pt idx="337">
                  <c:v>70.799786376953094</c:v>
                </c:pt>
                <c:pt idx="338">
                  <c:v>70.799786376953094</c:v>
                </c:pt>
                <c:pt idx="339">
                  <c:v>72.976989746093707</c:v>
                </c:pt>
                <c:pt idx="340">
                  <c:v>72.976989746093707</c:v>
                </c:pt>
                <c:pt idx="341">
                  <c:v>76.586566162109307</c:v>
                </c:pt>
                <c:pt idx="342">
                  <c:v>76.586566162109307</c:v>
                </c:pt>
                <c:pt idx="343">
                  <c:v>69.989739990234298</c:v>
                </c:pt>
                <c:pt idx="344">
                  <c:v>69.989739990234298</c:v>
                </c:pt>
                <c:pt idx="345">
                  <c:v>66.56849365234369</c:v>
                </c:pt>
                <c:pt idx="346">
                  <c:v>66.56849365234369</c:v>
                </c:pt>
                <c:pt idx="347">
                  <c:v>67.317053222656199</c:v>
                </c:pt>
                <c:pt idx="348">
                  <c:v>67.317053222656199</c:v>
                </c:pt>
                <c:pt idx="349">
                  <c:v>63.644873046874991</c:v>
                </c:pt>
                <c:pt idx="350">
                  <c:v>63.644873046874991</c:v>
                </c:pt>
                <c:pt idx="351">
                  <c:v>63.532794189453099</c:v>
                </c:pt>
                <c:pt idx="352">
                  <c:v>63.532794189453099</c:v>
                </c:pt>
                <c:pt idx="353">
                  <c:v>68.238909912109307</c:v>
                </c:pt>
                <c:pt idx="354">
                  <c:v>68.238909912109307</c:v>
                </c:pt>
                <c:pt idx="355">
                  <c:v>67.810552978515602</c:v>
                </c:pt>
                <c:pt idx="356">
                  <c:v>67.810552978515602</c:v>
                </c:pt>
                <c:pt idx="357">
                  <c:v>67.810552978515602</c:v>
                </c:pt>
                <c:pt idx="358">
                  <c:v>64.149597167968693</c:v>
                </c:pt>
                <c:pt idx="359">
                  <c:v>66.260729980468696</c:v>
                </c:pt>
                <c:pt idx="360">
                  <c:v>66.260729980468696</c:v>
                </c:pt>
                <c:pt idx="361">
                  <c:v>65.8948974609375</c:v>
                </c:pt>
                <c:pt idx="362">
                  <c:v>65.8948974609375</c:v>
                </c:pt>
                <c:pt idx="363">
                  <c:v>65.8948974609375</c:v>
                </c:pt>
                <c:pt idx="364">
                  <c:v>68.983624267578108</c:v>
                </c:pt>
                <c:pt idx="365">
                  <c:v>69.0728759765625</c:v>
                </c:pt>
                <c:pt idx="366">
                  <c:v>69.0728759765625</c:v>
                </c:pt>
                <c:pt idx="367">
                  <c:v>68.332287597656205</c:v>
                </c:pt>
                <c:pt idx="368">
                  <c:v>68.332287597656205</c:v>
                </c:pt>
                <c:pt idx="369">
                  <c:v>68.332287597656205</c:v>
                </c:pt>
                <c:pt idx="370">
                  <c:v>69.398614501953105</c:v>
                </c:pt>
                <c:pt idx="371">
                  <c:v>68.77381591796869</c:v>
                </c:pt>
                <c:pt idx="372">
                  <c:v>68.77381591796869</c:v>
                </c:pt>
                <c:pt idx="373">
                  <c:v>66.156420898437489</c:v>
                </c:pt>
                <c:pt idx="374">
                  <c:v>66.156420898437489</c:v>
                </c:pt>
                <c:pt idx="375">
                  <c:v>66.156420898437489</c:v>
                </c:pt>
                <c:pt idx="376">
                  <c:v>66.156420898437489</c:v>
                </c:pt>
                <c:pt idx="377">
                  <c:v>67.368945312499989</c:v>
                </c:pt>
                <c:pt idx="378">
                  <c:v>67.806115722656202</c:v>
                </c:pt>
                <c:pt idx="379">
                  <c:v>67.806115722656202</c:v>
                </c:pt>
                <c:pt idx="380">
                  <c:v>64.984100341796804</c:v>
                </c:pt>
                <c:pt idx="381">
                  <c:v>64.984100341796804</c:v>
                </c:pt>
                <c:pt idx="382">
                  <c:v>64.984100341796804</c:v>
                </c:pt>
                <c:pt idx="383">
                  <c:v>65.293292236328099</c:v>
                </c:pt>
                <c:pt idx="384">
                  <c:v>68.332067871093699</c:v>
                </c:pt>
                <c:pt idx="385">
                  <c:v>68.332067871093699</c:v>
                </c:pt>
                <c:pt idx="386">
                  <c:v>71.031335449218702</c:v>
                </c:pt>
                <c:pt idx="387">
                  <c:v>71.031335449218702</c:v>
                </c:pt>
                <c:pt idx="388">
                  <c:v>71.031335449218702</c:v>
                </c:pt>
                <c:pt idx="389">
                  <c:v>69.402020263671801</c:v>
                </c:pt>
                <c:pt idx="390">
                  <c:v>69.402020263671801</c:v>
                </c:pt>
                <c:pt idx="391">
                  <c:v>59.304071044921805</c:v>
                </c:pt>
                <c:pt idx="392">
                  <c:v>48.489025878906197</c:v>
                </c:pt>
                <c:pt idx="393">
                  <c:v>48.489025878906197</c:v>
                </c:pt>
                <c:pt idx="394">
                  <c:v>48.489025878906197</c:v>
                </c:pt>
                <c:pt idx="395">
                  <c:v>42.562139892578102</c:v>
                </c:pt>
                <c:pt idx="396">
                  <c:v>42.562139892578102</c:v>
                </c:pt>
                <c:pt idx="397">
                  <c:v>42.458120727538997</c:v>
                </c:pt>
                <c:pt idx="398">
                  <c:v>39.982623291015599</c:v>
                </c:pt>
                <c:pt idx="399">
                  <c:v>39.982623291015599</c:v>
                </c:pt>
                <c:pt idx="400">
                  <c:v>39.982623291015599</c:v>
                </c:pt>
                <c:pt idx="401">
                  <c:v>35.438186645507805</c:v>
                </c:pt>
                <c:pt idx="402">
                  <c:v>33.253579711914</c:v>
                </c:pt>
                <c:pt idx="403">
                  <c:v>33.253579711914</c:v>
                </c:pt>
                <c:pt idx="404">
                  <c:v>30.985745239257799</c:v>
                </c:pt>
                <c:pt idx="405">
                  <c:v>30.985745239257799</c:v>
                </c:pt>
                <c:pt idx="406">
                  <c:v>30.985745239257799</c:v>
                </c:pt>
                <c:pt idx="407">
                  <c:v>30.135186767578098</c:v>
                </c:pt>
                <c:pt idx="408">
                  <c:v>30.135186767578098</c:v>
                </c:pt>
                <c:pt idx="409">
                  <c:v>30.135186767578098</c:v>
                </c:pt>
                <c:pt idx="410">
                  <c:v>23.699284362792898</c:v>
                </c:pt>
                <c:pt idx="411">
                  <c:v>16.917729187011702</c:v>
                </c:pt>
                <c:pt idx="412">
                  <c:v>16.917729187011702</c:v>
                </c:pt>
                <c:pt idx="413">
                  <c:v>16.917729187011702</c:v>
                </c:pt>
                <c:pt idx="414">
                  <c:v>16.115859985351499</c:v>
                </c:pt>
                <c:pt idx="415">
                  <c:v>16.115859985351499</c:v>
                </c:pt>
                <c:pt idx="416">
                  <c:v>14.243008422851499</c:v>
                </c:pt>
                <c:pt idx="417">
                  <c:v>12.075503540039</c:v>
                </c:pt>
                <c:pt idx="418">
                  <c:v>12.075503540039</c:v>
                </c:pt>
                <c:pt idx="419">
                  <c:v>12.075503540039</c:v>
                </c:pt>
                <c:pt idx="420">
                  <c:v>10.048170471191401</c:v>
                </c:pt>
                <c:pt idx="421">
                  <c:v>10.048170471191401</c:v>
                </c:pt>
                <c:pt idx="422">
                  <c:v>8.0519813537597607</c:v>
                </c:pt>
                <c:pt idx="423">
                  <c:v>7.36905975341796</c:v>
                </c:pt>
                <c:pt idx="424">
                  <c:v>7.36905975341796</c:v>
                </c:pt>
                <c:pt idx="425">
                  <c:v>7.36905975341796</c:v>
                </c:pt>
                <c:pt idx="426">
                  <c:v>5.7022857666015598</c:v>
                </c:pt>
                <c:pt idx="427">
                  <c:v>5.7022857666015598</c:v>
                </c:pt>
                <c:pt idx="428">
                  <c:v>2.7736257553100501</c:v>
                </c:pt>
                <c:pt idx="429">
                  <c:v>2.7736257553100501</c:v>
                </c:pt>
                <c:pt idx="430">
                  <c:v>-0.297910737991333</c:v>
                </c:pt>
                <c:pt idx="431">
                  <c:v>-1.7325565338134699</c:v>
                </c:pt>
                <c:pt idx="432">
                  <c:v>-1.7325565338134699</c:v>
                </c:pt>
                <c:pt idx="433">
                  <c:v>-1.7325565338134699</c:v>
                </c:pt>
                <c:pt idx="434">
                  <c:v>-3.0515796661376897</c:v>
                </c:pt>
                <c:pt idx="435">
                  <c:v>-2.5320013046264598</c:v>
                </c:pt>
                <c:pt idx="436">
                  <c:v>-2.2432100296020501</c:v>
                </c:pt>
                <c:pt idx="437">
                  <c:v>-2.2432100296020501</c:v>
                </c:pt>
                <c:pt idx="438">
                  <c:v>-2.2432100296020501</c:v>
                </c:pt>
                <c:pt idx="439">
                  <c:v>-2.2432100296020501</c:v>
                </c:pt>
                <c:pt idx="440">
                  <c:v>-2.2432100296020501</c:v>
                </c:pt>
                <c:pt idx="441">
                  <c:v>-2.2432100296020501</c:v>
                </c:pt>
                <c:pt idx="442">
                  <c:v>-2.2432100296020501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655-4EFA-BC9E-C8AD233DDCA8}"/>
            </c:ext>
          </c:extLst>
        </c:ser>
        <c:ser>
          <c:idx val="0"/>
          <c:order val="1"/>
          <c:tx>
            <c:v>dy/dtMovAvg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'Maju 0.1'!$D$7:$D$564</c:f>
              <c:numCache>
                <c:formatCode>0.000</c:formatCode>
                <c:ptCount val="558"/>
                <c:pt idx="0">
                  <c:v>0</c:v>
                </c:pt>
                <c:pt idx="1">
                  <c:v>0</c:v>
                </c:pt>
                <c:pt idx="2">
                  <c:v>5.2989000000707165E-3</c:v>
                </c:pt>
                <c:pt idx="3">
                  <c:v>9.2048999999860825E-3</c:v>
                </c:pt>
                <c:pt idx="4">
                  <c:v>2.7168100000380946E-2</c:v>
                </c:pt>
                <c:pt idx="5">
                  <c:v>4.3313000000125612E-2</c:v>
                </c:pt>
                <c:pt idx="6">
                  <c:v>5.8556899999985035E-2</c:v>
                </c:pt>
                <c:pt idx="7">
                  <c:v>7.4511200000415556E-2</c:v>
                </c:pt>
                <c:pt idx="8">
                  <c:v>8.9335699999992357E-2</c:v>
                </c:pt>
                <c:pt idx="9">
                  <c:v>0.10529730000007476</c:v>
                </c:pt>
                <c:pt idx="10">
                  <c:v>0.12134990000004109</c:v>
                </c:pt>
                <c:pt idx="11">
                  <c:v>0.13719690000016271</c:v>
                </c:pt>
                <c:pt idx="12">
                  <c:v>0.15306950000012876</c:v>
                </c:pt>
                <c:pt idx="13">
                  <c:v>0.16923990000032063</c:v>
                </c:pt>
                <c:pt idx="14">
                  <c:v>0.18482170000015685</c:v>
                </c:pt>
                <c:pt idx="15">
                  <c:v>0.20079230000010284</c:v>
                </c:pt>
                <c:pt idx="16">
                  <c:v>0.21585990000039601</c:v>
                </c:pt>
                <c:pt idx="17">
                  <c:v>0.23115530000040962</c:v>
                </c:pt>
                <c:pt idx="18">
                  <c:v>0.24731440000005023</c:v>
                </c:pt>
                <c:pt idx="19">
                  <c:v>0.26257580000037706</c:v>
                </c:pt>
                <c:pt idx="20">
                  <c:v>0.2780137000004288</c:v>
                </c:pt>
                <c:pt idx="21">
                  <c:v>0.2941795000001548</c:v>
                </c:pt>
                <c:pt idx="22">
                  <c:v>0.30981510000037815</c:v>
                </c:pt>
                <c:pt idx="23">
                  <c:v>0.32596110000031331</c:v>
                </c:pt>
                <c:pt idx="24">
                  <c:v>0.34174560000019483</c:v>
                </c:pt>
                <c:pt idx="25">
                  <c:v>0.35752370000000155</c:v>
                </c:pt>
                <c:pt idx="26">
                  <c:v>0.37302320000026157</c:v>
                </c:pt>
                <c:pt idx="27">
                  <c:v>0.38870820000011008</c:v>
                </c:pt>
                <c:pt idx="28">
                  <c:v>0.40394320000041262</c:v>
                </c:pt>
                <c:pt idx="29">
                  <c:v>0.4197916000002806</c:v>
                </c:pt>
                <c:pt idx="30">
                  <c:v>0.43575710000004619</c:v>
                </c:pt>
                <c:pt idx="31">
                  <c:v>0.45149400000036621</c:v>
                </c:pt>
                <c:pt idx="32">
                  <c:v>0.46699660000012955</c:v>
                </c:pt>
                <c:pt idx="33">
                  <c:v>0.4830205000002934</c:v>
                </c:pt>
                <c:pt idx="34">
                  <c:v>0.49845470000036585</c:v>
                </c:pt>
                <c:pt idx="35">
                  <c:v>0.51411460000008447</c:v>
                </c:pt>
                <c:pt idx="36">
                  <c:v>0.52958090000038283</c:v>
                </c:pt>
                <c:pt idx="37">
                  <c:v>0.54471950000015568</c:v>
                </c:pt>
                <c:pt idx="38">
                  <c:v>0.55994790000022476</c:v>
                </c:pt>
                <c:pt idx="39">
                  <c:v>0.57620560000032128</c:v>
                </c:pt>
                <c:pt idx="40">
                  <c:v>0.59083770000006552</c:v>
                </c:pt>
                <c:pt idx="41">
                  <c:v>0.60626369999999952</c:v>
                </c:pt>
                <c:pt idx="42">
                  <c:v>0.6214124000002812</c:v>
                </c:pt>
                <c:pt idx="43">
                  <c:v>0.63753459999998086</c:v>
                </c:pt>
                <c:pt idx="44">
                  <c:v>0.65260699999998906</c:v>
                </c:pt>
                <c:pt idx="45">
                  <c:v>0.66794340000024022</c:v>
                </c:pt>
                <c:pt idx="46">
                  <c:v>0.68331380000017816</c:v>
                </c:pt>
                <c:pt idx="47">
                  <c:v>0.69856420000041908</c:v>
                </c:pt>
                <c:pt idx="48">
                  <c:v>0.7138716000004024</c:v>
                </c:pt>
                <c:pt idx="49">
                  <c:v>0.73025120000011157</c:v>
                </c:pt>
                <c:pt idx="50">
                  <c:v>0.74559630000021571</c:v>
                </c:pt>
                <c:pt idx="51">
                  <c:v>0.7610821000002943</c:v>
                </c:pt>
                <c:pt idx="52">
                  <c:v>0.77641560000029131</c:v>
                </c:pt>
                <c:pt idx="53">
                  <c:v>0.79153070000029402</c:v>
                </c:pt>
                <c:pt idx="54">
                  <c:v>0.80748250000033295</c:v>
                </c:pt>
                <c:pt idx="55">
                  <c:v>0.82297660000040196</c:v>
                </c:pt>
                <c:pt idx="56">
                  <c:v>0.83904410000013741</c:v>
                </c:pt>
                <c:pt idx="57">
                  <c:v>0.85417240000015227</c:v>
                </c:pt>
                <c:pt idx="58">
                  <c:v>0.86972920000016529</c:v>
                </c:pt>
                <c:pt idx="59">
                  <c:v>0.88524850000021615</c:v>
                </c:pt>
                <c:pt idx="60">
                  <c:v>0.90091920000031678</c:v>
                </c:pt>
                <c:pt idx="61">
                  <c:v>0.90367850000029648</c:v>
                </c:pt>
                <c:pt idx="62">
                  <c:v>0.91670670000030441</c:v>
                </c:pt>
                <c:pt idx="63">
                  <c:v>0.93219020000015007</c:v>
                </c:pt>
                <c:pt idx="64">
                  <c:v>0.94763220000004367</c:v>
                </c:pt>
                <c:pt idx="65">
                  <c:v>0.96272680000038235</c:v>
                </c:pt>
                <c:pt idx="66">
                  <c:v>0.97808190000023387</c:v>
                </c:pt>
                <c:pt idx="67">
                  <c:v>0.9934240000002319</c:v>
                </c:pt>
                <c:pt idx="68">
                  <c:v>1.0095186000003196</c:v>
                </c:pt>
                <c:pt idx="69">
                  <c:v>1.0249522000003708</c:v>
                </c:pt>
                <c:pt idx="70">
                  <c:v>1.0401796000001013</c:v>
                </c:pt>
                <c:pt idx="71">
                  <c:v>1.055965400000332</c:v>
                </c:pt>
                <c:pt idx="72">
                  <c:v>1.0718302000000222</c:v>
                </c:pt>
                <c:pt idx="73">
                  <c:v>1.0875557000003937</c:v>
                </c:pt>
                <c:pt idx="74">
                  <c:v>1.1028458000000683</c:v>
                </c:pt>
                <c:pt idx="75">
                  <c:v>1.1188025999999809</c:v>
                </c:pt>
                <c:pt idx="76">
                  <c:v>1.1348634000000857</c:v>
                </c:pt>
                <c:pt idx="77">
                  <c:v>1.1506616000001486</c:v>
                </c:pt>
                <c:pt idx="78">
                  <c:v>1.1660625000004075</c:v>
                </c:pt>
                <c:pt idx="79">
                  <c:v>1.1819746000001032</c:v>
                </c:pt>
                <c:pt idx="80">
                  <c:v>1.197920300000078</c:v>
                </c:pt>
                <c:pt idx="81">
                  <c:v>1.2132191000000603</c:v>
                </c:pt>
                <c:pt idx="82">
                  <c:v>1.2292172000002211</c:v>
                </c:pt>
                <c:pt idx="83">
                  <c:v>1.2446591000002627</c:v>
                </c:pt>
                <c:pt idx="84">
                  <c:v>1.2601951999999983</c:v>
                </c:pt>
                <c:pt idx="85">
                  <c:v>1.2756392000001142</c:v>
                </c:pt>
                <c:pt idx="86">
                  <c:v>1.2915996000001542</c:v>
                </c:pt>
                <c:pt idx="87">
                  <c:v>1.3068004000001565</c:v>
                </c:pt>
                <c:pt idx="88">
                  <c:v>1.3228144000004249</c:v>
                </c:pt>
                <c:pt idx="89">
                  <c:v>1.338255300000128</c:v>
                </c:pt>
                <c:pt idx="90">
                  <c:v>1.3536158000001706</c:v>
                </c:pt>
                <c:pt idx="91">
                  <c:v>1.3692170000003898</c:v>
                </c:pt>
                <c:pt idx="92">
                  <c:v>1.3851982000001044</c:v>
                </c:pt>
                <c:pt idx="93">
                  <c:v>1.4013238000002275</c:v>
                </c:pt>
                <c:pt idx="94">
                  <c:v>1.4175716000004286</c:v>
                </c:pt>
                <c:pt idx="95">
                  <c:v>1.433107000000291</c:v>
                </c:pt>
                <c:pt idx="96">
                  <c:v>1.4486382000000049</c:v>
                </c:pt>
                <c:pt idx="97">
                  <c:v>1.464110900000378</c:v>
                </c:pt>
                <c:pt idx="98">
                  <c:v>1.4797096000002057</c:v>
                </c:pt>
                <c:pt idx="99">
                  <c:v>1.4950284000001375</c:v>
                </c:pt>
                <c:pt idx="100">
                  <c:v>1.511221100000057</c:v>
                </c:pt>
                <c:pt idx="101">
                  <c:v>1.5267674000001534</c:v>
                </c:pt>
                <c:pt idx="102">
                  <c:v>1.542782200000147</c:v>
                </c:pt>
                <c:pt idx="103">
                  <c:v>1.5579615000001468</c:v>
                </c:pt>
                <c:pt idx="104">
                  <c:v>1.573585400000411</c:v>
                </c:pt>
                <c:pt idx="105">
                  <c:v>1.589252000000215</c:v>
                </c:pt>
                <c:pt idx="106">
                  <c:v>1.603999400000248</c:v>
                </c:pt>
                <c:pt idx="107">
                  <c:v>1.6198876000003111</c:v>
                </c:pt>
                <c:pt idx="108">
                  <c:v>1.6361267000002044</c:v>
                </c:pt>
                <c:pt idx="109">
                  <c:v>1.6512564000004204</c:v>
                </c:pt>
                <c:pt idx="110">
                  <c:v>1.6663169000003109</c:v>
                </c:pt>
                <c:pt idx="111">
                  <c:v>1.6817897000000812</c:v>
                </c:pt>
                <c:pt idx="112">
                  <c:v>1.6973350000002938</c:v>
                </c:pt>
                <c:pt idx="113">
                  <c:v>1.7125753000000259</c:v>
                </c:pt>
                <c:pt idx="114">
                  <c:v>1.7276518000003307</c:v>
                </c:pt>
                <c:pt idx="115">
                  <c:v>1.7429422000000159</c:v>
                </c:pt>
                <c:pt idx="116">
                  <c:v>1.7582855000000563</c:v>
                </c:pt>
                <c:pt idx="117">
                  <c:v>1.773996200000056</c:v>
                </c:pt>
                <c:pt idx="118">
                  <c:v>1.7897581000001992</c:v>
                </c:pt>
                <c:pt idx="119">
                  <c:v>1.8050165000004199</c:v>
                </c:pt>
                <c:pt idx="120">
                  <c:v>1.8200581000000966</c:v>
                </c:pt>
                <c:pt idx="121">
                  <c:v>1.8358427000002848</c:v>
                </c:pt>
                <c:pt idx="122">
                  <c:v>1.8507931000003737</c:v>
                </c:pt>
                <c:pt idx="123">
                  <c:v>1.8669764000001123</c:v>
                </c:pt>
                <c:pt idx="124">
                  <c:v>1.8826533000001291</c:v>
                </c:pt>
                <c:pt idx="125">
                  <c:v>1.8972933000000012</c:v>
                </c:pt>
                <c:pt idx="126">
                  <c:v>1.9133269000003565</c:v>
                </c:pt>
                <c:pt idx="127">
                  <c:v>1.9296000000003914</c:v>
                </c:pt>
                <c:pt idx="128">
                  <c:v>1.9452049000001352</c:v>
                </c:pt>
                <c:pt idx="129">
                  <c:v>1.9606398000000809</c:v>
                </c:pt>
                <c:pt idx="130">
                  <c:v>1.9759725000003527</c:v>
                </c:pt>
                <c:pt idx="131">
                  <c:v>1.9914278000001104</c:v>
                </c:pt>
                <c:pt idx="132">
                  <c:v>2.0069760000001224</c:v>
                </c:pt>
                <c:pt idx="133">
                  <c:v>2.0227060000001984</c:v>
                </c:pt>
                <c:pt idx="134">
                  <c:v>2.0380438000001959</c:v>
                </c:pt>
                <c:pt idx="135">
                  <c:v>2.0530307000003631</c:v>
                </c:pt>
                <c:pt idx="136">
                  <c:v>2.0684856000002583</c:v>
                </c:pt>
                <c:pt idx="137">
                  <c:v>2.0836755000000267</c:v>
                </c:pt>
                <c:pt idx="138">
                  <c:v>2.0990962000000764</c:v>
                </c:pt>
                <c:pt idx="139">
                  <c:v>2.1141289000001962</c:v>
                </c:pt>
                <c:pt idx="140">
                  <c:v>2.1296484000004057</c:v>
                </c:pt>
                <c:pt idx="141">
                  <c:v>2.1453720000004068</c:v>
                </c:pt>
                <c:pt idx="142">
                  <c:v>2.1608561000002737</c:v>
                </c:pt>
                <c:pt idx="143">
                  <c:v>2.1762023000001136</c:v>
                </c:pt>
                <c:pt idx="144">
                  <c:v>2.191330999999991</c:v>
                </c:pt>
                <c:pt idx="145">
                  <c:v>2.2065747000001465</c:v>
                </c:pt>
                <c:pt idx="146">
                  <c:v>2.2223314000002574</c:v>
                </c:pt>
                <c:pt idx="147">
                  <c:v>2.2377394000000095</c:v>
                </c:pt>
                <c:pt idx="148">
                  <c:v>2.2529523000002882</c:v>
                </c:pt>
                <c:pt idx="149">
                  <c:v>2.2684573999999884</c:v>
                </c:pt>
                <c:pt idx="150">
                  <c:v>2.2840030000002116</c:v>
                </c:pt>
                <c:pt idx="151">
                  <c:v>2.2868802000002688</c:v>
                </c:pt>
                <c:pt idx="152">
                  <c:v>2.2995488000001387</c:v>
                </c:pt>
                <c:pt idx="153">
                  <c:v>2.3149207999999817</c:v>
                </c:pt>
                <c:pt idx="154">
                  <c:v>2.3300423000000592</c:v>
                </c:pt>
                <c:pt idx="155">
                  <c:v>2.3454623000002357</c:v>
                </c:pt>
                <c:pt idx="156">
                  <c:v>2.3615370000002258</c:v>
                </c:pt>
                <c:pt idx="157">
                  <c:v>2.3767136000001301</c:v>
                </c:pt>
                <c:pt idx="158">
                  <c:v>2.3927026000001206</c:v>
                </c:pt>
                <c:pt idx="159">
                  <c:v>2.4083026000002974</c:v>
                </c:pt>
                <c:pt idx="160">
                  <c:v>2.4243546000002425</c:v>
                </c:pt>
                <c:pt idx="161">
                  <c:v>2.4402967000000899</c:v>
                </c:pt>
                <c:pt idx="162">
                  <c:v>2.4554897000002711</c:v>
                </c:pt>
                <c:pt idx="163">
                  <c:v>2.4712208000000828</c:v>
                </c:pt>
                <c:pt idx="164">
                  <c:v>2.4867932000001929</c:v>
                </c:pt>
                <c:pt idx="165">
                  <c:v>2.5027567000001909</c:v>
                </c:pt>
                <c:pt idx="166">
                  <c:v>2.5181257000003825</c:v>
                </c:pt>
                <c:pt idx="167">
                  <c:v>2.5331108000000313</c:v>
                </c:pt>
                <c:pt idx="168">
                  <c:v>2.5489589000003434</c:v>
                </c:pt>
                <c:pt idx="169">
                  <c:v>2.5650508000003356</c:v>
                </c:pt>
                <c:pt idx="170">
                  <c:v>2.5803182000004199</c:v>
                </c:pt>
                <c:pt idx="171">
                  <c:v>2.5957627000002503</c:v>
                </c:pt>
                <c:pt idx="172">
                  <c:v>2.6111039000002165</c:v>
                </c:pt>
                <c:pt idx="173">
                  <c:v>2.6267086000002564</c:v>
                </c:pt>
                <c:pt idx="174">
                  <c:v>2.6419436000001042</c:v>
                </c:pt>
                <c:pt idx="175">
                  <c:v>2.6580228000002535</c:v>
                </c:pt>
                <c:pt idx="176">
                  <c:v>2.6738740000000689</c:v>
                </c:pt>
                <c:pt idx="177">
                  <c:v>2.6894137000003866</c:v>
                </c:pt>
                <c:pt idx="178">
                  <c:v>2.7046626000001197</c:v>
                </c:pt>
                <c:pt idx="179">
                  <c:v>2.7199347000000671</c:v>
                </c:pt>
                <c:pt idx="180">
                  <c:v>2.7358025000003181</c:v>
                </c:pt>
                <c:pt idx="181">
                  <c:v>2.7508734000002733</c:v>
                </c:pt>
                <c:pt idx="182">
                  <c:v>2.7659552000000076</c:v>
                </c:pt>
                <c:pt idx="183">
                  <c:v>2.7808774000000085</c:v>
                </c:pt>
                <c:pt idx="184">
                  <c:v>2.7956675000000359</c:v>
                </c:pt>
                <c:pt idx="185">
                  <c:v>2.811707800000022</c:v>
                </c:pt>
                <c:pt idx="186">
                  <c:v>2.8270329000001766</c:v>
                </c:pt>
                <c:pt idx="187">
                  <c:v>2.8423720000000685</c:v>
                </c:pt>
                <c:pt idx="188">
                  <c:v>2.858502700000372</c:v>
                </c:pt>
                <c:pt idx="189">
                  <c:v>2.8740185000001475</c:v>
                </c:pt>
                <c:pt idx="190">
                  <c:v>2.8900909000003594</c:v>
                </c:pt>
                <c:pt idx="191">
                  <c:v>2.9053735000002234</c:v>
                </c:pt>
                <c:pt idx="192">
                  <c:v>2.921306100000038</c:v>
                </c:pt>
                <c:pt idx="193">
                  <c:v>2.9369955000001937</c:v>
                </c:pt>
                <c:pt idx="194">
                  <c:v>2.9526253000003635</c:v>
                </c:pt>
                <c:pt idx="195">
                  <c:v>2.9675974000001588</c:v>
                </c:pt>
                <c:pt idx="196">
                  <c:v>2.9831733000000895</c:v>
                </c:pt>
                <c:pt idx="197">
                  <c:v>2.9984130000002551</c:v>
                </c:pt>
                <c:pt idx="198">
                  <c:v>3.0135693000001993</c:v>
                </c:pt>
                <c:pt idx="199">
                  <c:v>3.0290494000000763</c:v>
                </c:pt>
                <c:pt idx="200">
                  <c:v>3.0444785000004231</c:v>
                </c:pt>
                <c:pt idx="201">
                  <c:v>3.0598500000000968</c:v>
                </c:pt>
                <c:pt idx="202">
                  <c:v>3.0750644000004286</c:v>
                </c:pt>
                <c:pt idx="203">
                  <c:v>3.0904241000002912</c:v>
                </c:pt>
                <c:pt idx="204">
                  <c:v>3.1064377000002423</c:v>
                </c:pt>
                <c:pt idx="205">
                  <c:v>3.1225518000001102</c:v>
                </c:pt>
                <c:pt idx="206">
                  <c:v>3.138448800000333</c:v>
                </c:pt>
                <c:pt idx="207">
                  <c:v>3.1540184000000409</c:v>
                </c:pt>
                <c:pt idx="208">
                  <c:v>3.1689089999999851</c:v>
                </c:pt>
                <c:pt idx="209">
                  <c:v>3.1849315000004026</c:v>
                </c:pt>
                <c:pt idx="210">
                  <c:v>3.2003816000001279</c:v>
                </c:pt>
                <c:pt idx="211">
                  <c:v>3.2153074000002562</c:v>
                </c:pt>
                <c:pt idx="212">
                  <c:v>3.2629249999999956</c:v>
                </c:pt>
                <c:pt idx="213">
                  <c:v>3.2789824000001317</c:v>
                </c:pt>
                <c:pt idx="214">
                  <c:v>3.2943454000001111</c:v>
                </c:pt>
                <c:pt idx="215">
                  <c:v>3.3418642999999975</c:v>
                </c:pt>
                <c:pt idx="216">
                  <c:v>3.357551400000375</c:v>
                </c:pt>
                <c:pt idx="217">
                  <c:v>3.4502027000003181</c:v>
                </c:pt>
                <c:pt idx="218">
                  <c:v>3.466481400000248</c:v>
                </c:pt>
                <c:pt idx="219">
                  <c:v>3.4815856000000167</c:v>
                </c:pt>
                <c:pt idx="220">
                  <c:v>3.496932100000322</c:v>
                </c:pt>
                <c:pt idx="221">
                  <c:v>3.5277230000001509</c:v>
                </c:pt>
                <c:pt idx="222">
                  <c:v>3.5595329000002494</c:v>
                </c:pt>
                <c:pt idx="223">
                  <c:v>3.590596000000005</c:v>
                </c:pt>
                <c:pt idx="224">
                  <c:v>3.6220025000002352</c:v>
                </c:pt>
                <c:pt idx="225">
                  <c:v>3.6521181000002798</c:v>
                </c:pt>
                <c:pt idx="226">
                  <c:v>3.7453942000001916</c:v>
                </c:pt>
                <c:pt idx="227">
                  <c:v>3.7610059000003275</c:v>
                </c:pt>
                <c:pt idx="228">
                  <c:v>3.7763112000002366</c:v>
                </c:pt>
                <c:pt idx="229">
                  <c:v>3.7926324000000022</c:v>
                </c:pt>
                <c:pt idx="230">
                  <c:v>3.8087636000000202</c:v>
                </c:pt>
                <c:pt idx="231">
                  <c:v>3.8874061999999867</c:v>
                </c:pt>
                <c:pt idx="232">
                  <c:v>3.9030201000000488</c:v>
                </c:pt>
                <c:pt idx="233">
                  <c:v>3.9183447000000342</c:v>
                </c:pt>
                <c:pt idx="234">
                  <c:v>3.9338287000000491</c:v>
                </c:pt>
                <c:pt idx="235">
                  <c:v>3.9800678999999946</c:v>
                </c:pt>
                <c:pt idx="236">
                  <c:v>3.995798900000409</c:v>
                </c:pt>
                <c:pt idx="237">
                  <c:v>4.0423875999999836</c:v>
                </c:pt>
                <c:pt idx="238">
                  <c:v>4.0739817000003313</c:v>
                </c:pt>
                <c:pt idx="239">
                  <c:v>4.1044402000002265</c:v>
                </c:pt>
                <c:pt idx="240">
                  <c:v>4.1355275000000802</c:v>
                </c:pt>
                <c:pt idx="241">
                  <c:v>4.1654601000000184</c:v>
                </c:pt>
                <c:pt idx="242">
                  <c:v>4.1966453000000001</c:v>
                </c:pt>
                <c:pt idx="243">
                  <c:v>4.2278092000001379</c:v>
                </c:pt>
                <c:pt idx="244">
                  <c:v>4.2745982000001277</c:v>
                </c:pt>
                <c:pt idx="245">
                  <c:v>4.3050646000001507</c:v>
                </c:pt>
                <c:pt idx="246">
                  <c:v>4.3357205000002068</c:v>
                </c:pt>
                <c:pt idx="247">
                  <c:v>4.3668618000001516</c:v>
                </c:pt>
                <c:pt idx="248">
                  <c:v>4.3979300000000876</c:v>
                </c:pt>
                <c:pt idx="249">
                  <c:v>4.4284158000000389</c:v>
                </c:pt>
                <c:pt idx="250">
                  <c:v>4.4752190000003793</c:v>
                </c:pt>
                <c:pt idx="251">
                  <c:v>4.5070405000001301</c:v>
                </c:pt>
                <c:pt idx="252">
                  <c:v>4.5080405000001305</c:v>
                </c:pt>
                <c:pt idx="253">
                  <c:v>4.537615900000219</c:v>
                </c:pt>
                <c:pt idx="254">
                  <c:v>4.5528210000002218</c:v>
                </c:pt>
                <c:pt idx="255">
                  <c:v>4.5840331000003971</c:v>
                </c:pt>
                <c:pt idx="256">
                  <c:v>4.6146783000003779</c:v>
                </c:pt>
                <c:pt idx="257">
                  <c:v>4.6612142000003587</c:v>
                </c:pt>
                <c:pt idx="258">
                  <c:v>4.6927078000003348</c:v>
                </c:pt>
                <c:pt idx="259">
                  <c:v>4.7241723000001912</c:v>
                </c:pt>
                <c:pt idx="260">
                  <c:v>4.7552841000001536</c:v>
                </c:pt>
                <c:pt idx="261">
                  <c:v>4.7871487000002162</c:v>
                </c:pt>
                <c:pt idx="262">
                  <c:v>4.8184103000003233</c:v>
                </c:pt>
                <c:pt idx="263">
                  <c:v>4.8648840000000746</c:v>
                </c:pt>
                <c:pt idx="264">
                  <c:v>4.8959517000002961</c:v>
                </c:pt>
                <c:pt idx="265">
                  <c:v>4.9267509000001155</c:v>
                </c:pt>
                <c:pt idx="266">
                  <c:v>4.9738620000002811</c:v>
                </c:pt>
                <c:pt idx="267">
                  <c:v>4.9892149000002064</c:v>
                </c:pt>
                <c:pt idx="268">
                  <c:v>5.0212012000001778</c:v>
                </c:pt>
                <c:pt idx="269">
                  <c:v>5.0516725000002225</c:v>
                </c:pt>
                <c:pt idx="270">
                  <c:v>5.0827851000003648</c:v>
                </c:pt>
                <c:pt idx="271">
                  <c:v>5.1137316000003921</c:v>
                </c:pt>
                <c:pt idx="272">
                  <c:v>5.1452981000002183</c:v>
                </c:pt>
                <c:pt idx="273">
                  <c:v>5.1763471000003847</c:v>
                </c:pt>
                <c:pt idx="274">
                  <c:v>5.206453700000111</c:v>
                </c:pt>
                <c:pt idx="275">
                  <c:v>5.2538562000004276</c:v>
                </c:pt>
                <c:pt idx="276">
                  <c:v>5.2850330000001122</c:v>
                </c:pt>
                <c:pt idx="277">
                  <c:v>5.3151507000002312</c:v>
                </c:pt>
                <c:pt idx="278">
                  <c:v>5.3462414000000535</c:v>
                </c:pt>
                <c:pt idx="279">
                  <c:v>5.3769308000000819</c:v>
                </c:pt>
                <c:pt idx="280">
                  <c:v>5.4089211000000432</c:v>
                </c:pt>
                <c:pt idx="281">
                  <c:v>5.4551541000000725</c:v>
                </c:pt>
                <c:pt idx="282">
                  <c:v>5.4857228000000759</c:v>
                </c:pt>
                <c:pt idx="283">
                  <c:v>5.5166819000000942</c:v>
                </c:pt>
                <c:pt idx="284">
                  <c:v>5.5484199000002263</c:v>
                </c:pt>
                <c:pt idx="285">
                  <c:v>5.5797838000003139</c:v>
                </c:pt>
                <c:pt idx="286">
                  <c:v>5.6095580000001064</c:v>
                </c:pt>
                <c:pt idx="287">
                  <c:v>5.6410262000003968</c:v>
                </c:pt>
                <c:pt idx="288">
                  <c:v>5.6720820000000458</c:v>
                </c:pt>
                <c:pt idx="289">
                  <c:v>5.7036822000000029</c:v>
                </c:pt>
                <c:pt idx="290">
                  <c:v>5.7347582000002149</c:v>
                </c:pt>
                <c:pt idx="291">
                  <c:v>5.7660101999999824</c:v>
                </c:pt>
                <c:pt idx="292">
                  <c:v>5.7983756000003268</c:v>
                </c:pt>
                <c:pt idx="293">
                  <c:v>5.8292917000003399</c:v>
                </c:pt>
                <c:pt idx="294">
                  <c:v>5.8760879999999815</c:v>
                </c:pt>
                <c:pt idx="295">
                  <c:v>5.9069489000003159</c:v>
                </c:pt>
                <c:pt idx="296">
                  <c:v>5.9376335000001745</c:v>
                </c:pt>
                <c:pt idx="297">
                  <c:v>5.9686227000001963</c:v>
                </c:pt>
                <c:pt idx="298">
                  <c:v>5.999062700000195</c:v>
                </c:pt>
                <c:pt idx="299">
                  <c:v>6.0304338000000826</c:v>
                </c:pt>
                <c:pt idx="300">
                  <c:v>6.0618288000000575</c:v>
                </c:pt>
                <c:pt idx="301">
                  <c:v>6.0927022000000761</c:v>
                </c:pt>
                <c:pt idx="302">
                  <c:v>6.1397364000004018</c:v>
                </c:pt>
                <c:pt idx="303">
                  <c:v>6.1711775000003399</c:v>
                </c:pt>
                <c:pt idx="304">
                  <c:v>6.1872160000002623</c:v>
                </c:pt>
                <c:pt idx="305">
                  <c:v>6.2184366000001319</c:v>
                </c:pt>
                <c:pt idx="306">
                  <c:v>6.2489861000003657</c:v>
                </c:pt>
                <c:pt idx="307">
                  <c:v>6.2801828999999998</c:v>
                </c:pt>
                <c:pt idx="308">
                  <c:v>6.3263348000000406</c:v>
                </c:pt>
                <c:pt idx="309">
                  <c:v>6.3577290000002904</c:v>
                </c:pt>
                <c:pt idx="310">
                  <c:v>6.3879193000002488</c:v>
                </c:pt>
                <c:pt idx="311">
                  <c:v>6.4188283000003139</c:v>
                </c:pt>
                <c:pt idx="312">
                  <c:v>6.4498166000003039</c:v>
                </c:pt>
                <c:pt idx="313">
                  <c:v>6.4810206000001926</c:v>
                </c:pt>
                <c:pt idx="314">
                  <c:v>6.5271981000000778</c:v>
                </c:pt>
                <c:pt idx="315">
                  <c:v>6.5573610000001281</c:v>
                </c:pt>
                <c:pt idx="316">
                  <c:v>6.5885600000001432</c:v>
                </c:pt>
                <c:pt idx="317">
                  <c:v>6.6192061000001559</c:v>
                </c:pt>
                <c:pt idx="318">
                  <c:v>6.6495939999999791</c:v>
                </c:pt>
                <c:pt idx="319">
                  <c:v>6.6809850000004189</c:v>
                </c:pt>
                <c:pt idx="320">
                  <c:v>6.7279085000000123</c:v>
                </c:pt>
                <c:pt idx="321">
                  <c:v>6.7590113000001111</c:v>
                </c:pt>
                <c:pt idx="322">
                  <c:v>6.7899225000001024</c:v>
                </c:pt>
                <c:pt idx="323">
                  <c:v>6.8056283000000803</c:v>
                </c:pt>
                <c:pt idx="324">
                  <c:v>6.8376799000002393</c:v>
                </c:pt>
                <c:pt idx="325">
                  <c:v>6.8684104000003572</c:v>
                </c:pt>
                <c:pt idx="326">
                  <c:v>6.9149276000002828</c:v>
                </c:pt>
                <c:pt idx="327">
                  <c:v>6.946722900000168</c:v>
                </c:pt>
                <c:pt idx="328">
                  <c:v>6.9777452000002995</c:v>
                </c:pt>
                <c:pt idx="329">
                  <c:v>7.0080390000002808</c:v>
                </c:pt>
                <c:pt idx="330">
                  <c:v>7.039289700000154</c:v>
                </c:pt>
                <c:pt idx="331">
                  <c:v>7.0705900000002657</c:v>
                </c:pt>
                <c:pt idx="332">
                  <c:v>7.1177352000004248</c:v>
                </c:pt>
                <c:pt idx="333">
                  <c:v>7.149779700000181</c:v>
                </c:pt>
                <c:pt idx="334">
                  <c:v>7.1810393000000659</c:v>
                </c:pt>
                <c:pt idx="335">
                  <c:v>7.2121169000001828</c:v>
                </c:pt>
                <c:pt idx="336">
                  <c:v>7.2427593000002162</c:v>
                </c:pt>
                <c:pt idx="337">
                  <c:v>7.2730527000003349</c:v>
                </c:pt>
                <c:pt idx="338">
                  <c:v>7.3046481000001222</c:v>
                </c:pt>
                <c:pt idx="339">
                  <c:v>7.3364228000000367</c:v>
                </c:pt>
                <c:pt idx="340">
                  <c:v>7.367167000000336</c:v>
                </c:pt>
                <c:pt idx="341">
                  <c:v>7.3981877000001077</c:v>
                </c:pt>
                <c:pt idx="342">
                  <c:v>7.4297265000000152</c:v>
                </c:pt>
                <c:pt idx="343">
                  <c:v>7.4607101999999941</c:v>
                </c:pt>
                <c:pt idx="344">
                  <c:v>7.4922096000000238</c:v>
                </c:pt>
                <c:pt idx="345">
                  <c:v>7.5385995000001458</c:v>
                </c:pt>
                <c:pt idx="346">
                  <c:v>7.570056200000181</c:v>
                </c:pt>
                <c:pt idx="347">
                  <c:v>7.6007871000001614</c:v>
                </c:pt>
                <c:pt idx="348">
                  <c:v>7.6318452000000434</c:v>
                </c:pt>
                <c:pt idx="349">
                  <c:v>7.6628080000000409</c:v>
                </c:pt>
                <c:pt idx="350">
                  <c:v>7.693853300000228</c:v>
                </c:pt>
                <c:pt idx="351">
                  <c:v>7.740906300000006</c:v>
                </c:pt>
                <c:pt idx="352">
                  <c:v>7.7560024000003978</c:v>
                </c:pt>
                <c:pt idx="353">
                  <c:v>7.8027047000000493</c:v>
                </c:pt>
                <c:pt idx="354">
                  <c:v>7.818170800000189</c:v>
                </c:pt>
                <c:pt idx="355">
                  <c:v>7.849333900000147</c:v>
                </c:pt>
                <c:pt idx="356">
                  <c:v>7.8953836000000592</c:v>
                </c:pt>
                <c:pt idx="357">
                  <c:v>7.9105360000003202</c:v>
                </c:pt>
                <c:pt idx="358">
                  <c:v>7.9416419000003771</c:v>
                </c:pt>
                <c:pt idx="359">
                  <c:v>7.988133000000289</c:v>
                </c:pt>
                <c:pt idx="360">
                  <c:v>8.0195339000001695</c:v>
                </c:pt>
                <c:pt idx="361">
                  <c:v>8.0499366000003647</c:v>
                </c:pt>
                <c:pt idx="362">
                  <c:v>8.0813528000003316</c:v>
                </c:pt>
                <c:pt idx="363">
                  <c:v>8.1119710000002669</c:v>
                </c:pt>
                <c:pt idx="364">
                  <c:v>8.1418160000002899</c:v>
                </c:pt>
                <c:pt idx="365">
                  <c:v>8.1884018000000651</c:v>
                </c:pt>
                <c:pt idx="366">
                  <c:v>8.2195125000002918</c:v>
                </c:pt>
                <c:pt idx="367">
                  <c:v>8.2505235000003267</c:v>
                </c:pt>
                <c:pt idx="368">
                  <c:v>8.2813416000003599</c:v>
                </c:pt>
                <c:pt idx="369">
                  <c:v>8.3130092000001241</c:v>
                </c:pt>
                <c:pt idx="370">
                  <c:v>8.3439578000002257</c:v>
                </c:pt>
                <c:pt idx="371">
                  <c:v>8.3752976000000672</c:v>
                </c:pt>
                <c:pt idx="372">
                  <c:v>8.4216149000003497</c:v>
                </c:pt>
                <c:pt idx="373">
                  <c:v>8.435135100000025</c:v>
                </c:pt>
                <c:pt idx="374">
                  <c:v>8.4680778000001737</c:v>
                </c:pt>
                <c:pt idx="375">
                  <c:v>8.4993426000000909</c:v>
                </c:pt>
                <c:pt idx="376">
                  <c:v>8.5301843000002009</c:v>
                </c:pt>
                <c:pt idx="377">
                  <c:v>8.5311843000002003</c:v>
                </c:pt>
                <c:pt idx="378">
                  <c:v>8.5615048000004208</c:v>
                </c:pt>
                <c:pt idx="379">
                  <c:v>8.6084997000002659</c:v>
                </c:pt>
                <c:pt idx="380">
                  <c:v>8.6396508000002541</c:v>
                </c:pt>
                <c:pt idx="381">
                  <c:v>8.6708717999999863</c:v>
                </c:pt>
                <c:pt idx="382">
                  <c:v>8.7026233000001412</c:v>
                </c:pt>
                <c:pt idx="383">
                  <c:v>8.7334623000001557</c:v>
                </c:pt>
                <c:pt idx="384">
                  <c:v>8.7646595000001071</c:v>
                </c:pt>
                <c:pt idx="385">
                  <c:v>8.8111308000002282</c:v>
                </c:pt>
                <c:pt idx="386">
                  <c:v>8.8430741000001944</c:v>
                </c:pt>
                <c:pt idx="387">
                  <c:v>8.8728994000002785</c:v>
                </c:pt>
                <c:pt idx="388">
                  <c:v>8.9049598000001424</c:v>
                </c:pt>
                <c:pt idx="389">
                  <c:v>8.920539700000063</c:v>
                </c:pt>
                <c:pt idx="390">
                  <c:v>8.9517083000000639</c:v>
                </c:pt>
                <c:pt idx="391">
                  <c:v>8.9822482000004129</c:v>
                </c:pt>
                <c:pt idx="392">
                  <c:v>9.0298377000003711</c:v>
                </c:pt>
                <c:pt idx="393">
                  <c:v>9.0611833000002662</c:v>
                </c:pt>
                <c:pt idx="394">
                  <c:v>9.0922832000001108</c:v>
                </c:pt>
                <c:pt idx="395">
                  <c:v>9.12239610000006</c:v>
                </c:pt>
                <c:pt idx="396">
                  <c:v>9.1532780000002276</c:v>
                </c:pt>
                <c:pt idx="397">
                  <c:v>9.1842184000001907</c:v>
                </c:pt>
                <c:pt idx="398">
                  <c:v>9.2300111000004108</c:v>
                </c:pt>
                <c:pt idx="399">
                  <c:v>9.2606885000000148</c:v>
                </c:pt>
                <c:pt idx="400">
                  <c:v>9.291738500000065</c:v>
                </c:pt>
                <c:pt idx="401">
                  <c:v>9.3234608000002481</c:v>
                </c:pt>
                <c:pt idx="402">
                  <c:v>9.3695388000001003</c:v>
                </c:pt>
                <c:pt idx="403">
                  <c:v>9.4001502000000983</c:v>
                </c:pt>
                <c:pt idx="404">
                  <c:v>9.4309679000002689</c:v>
                </c:pt>
                <c:pt idx="405">
                  <c:v>9.4623018000002048</c:v>
                </c:pt>
                <c:pt idx="406">
                  <c:v>9.4935661000004075</c:v>
                </c:pt>
                <c:pt idx="407">
                  <c:v>9.5246996000000763</c:v>
                </c:pt>
                <c:pt idx="408">
                  <c:v>9.5554276000002574</c:v>
                </c:pt>
                <c:pt idx="409">
                  <c:v>9.5555276000002571</c:v>
                </c:pt>
                <c:pt idx="410">
                  <c:v>9.5856540000004316</c:v>
                </c:pt>
                <c:pt idx="411">
                  <c:v>9.6167265000003681</c:v>
                </c:pt>
                <c:pt idx="412">
                  <c:v>9.6474853000004259</c:v>
                </c:pt>
                <c:pt idx="413">
                  <c:v>9.6789674999999988</c:v>
                </c:pt>
                <c:pt idx="414">
                  <c:v>9.7094308000000638</c:v>
                </c:pt>
                <c:pt idx="415">
                  <c:v>9.7403956000002836</c:v>
                </c:pt>
                <c:pt idx="416">
                  <c:v>9.7720160000003489</c:v>
                </c:pt>
                <c:pt idx="417">
                  <c:v>9.8176916000002166</c:v>
                </c:pt>
                <c:pt idx="418">
                  <c:v>9.8488786000002619</c:v>
                </c:pt>
                <c:pt idx="419">
                  <c:v>9.8793074000000161</c:v>
                </c:pt>
                <c:pt idx="420">
                  <c:v>9.9106115000004138</c:v>
                </c:pt>
                <c:pt idx="421">
                  <c:v>9.9409724000001916</c:v>
                </c:pt>
                <c:pt idx="422">
                  <c:v>9.9728406000003815</c:v>
                </c:pt>
                <c:pt idx="423">
                  <c:v>10.004080200000317</c:v>
                </c:pt>
                <c:pt idx="424">
                  <c:v>10.052269700000124</c:v>
                </c:pt>
                <c:pt idx="425">
                  <c:v>10.067612800000006</c:v>
                </c:pt>
                <c:pt idx="426">
                  <c:v>10.098507600000175</c:v>
                </c:pt>
                <c:pt idx="427">
                  <c:v>10.129110700000183</c:v>
                </c:pt>
                <c:pt idx="428">
                  <c:v>10.159869600000093</c:v>
                </c:pt>
                <c:pt idx="429">
                  <c:v>10.191697800000384</c:v>
                </c:pt>
                <c:pt idx="430">
                  <c:v>10.223350500000379</c:v>
                </c:pt>
                <c:pt idx="431">
                  <c:v>10.317478700000265</c:v>
                </c:pt>
                <c:pt idx="432">
                  <c:v>10.333174900000358</c:v>
                </c:pt>
                <c:pt idx="433">
                  <c:v>10.348560300000372</c:v>
                </c:pt>
                <c:pt idx="434">
                  <c:v>10.36367700000028</c:v>
                </c:pt>
                <c:pt idx="435">
                  <c:v>10.410301700000218</c:v>
                </c:pt>
                <c:pt idx="436">
                  <c:v>10.58332960000007</c:v>
                </c:pt>
                <c:pt idx="437">
                  <c:v>10.598769900000207</c:v>
                </c:pt>
                <c:pt idx="438">
                  <c:v>10.614560700000311</c:v>
                </c:pt>
                <c:pt idx="439">
                  <c:v>10.63024680000035</c:v>
                </c:pt>
                <c:pt idx="440">
                  <c:v>10.645605100000012</c:v>
                </c:pt>
                <c:pt idx="441">
                  <c:v>10.661888300000101</c:v>
                </c:pt>
                <c:pt idx="442">
                  <c:v>10.67790260000038</c:v>
                </c:pt>
                <c:pt idx="443">
                  <c:v>10.693193000000065</c:v>
                </c:pt>
                <c:pt idx="444">
                  <c:v>10.709016600000268</c:v>
                </c:pt>
                <c:pt idx="445">
                  <c:v>10.724044000000049</c:v>
                </c:pt>
                <c:pt idx="446">
                  <c:v>10.756220200000371</c:v>
                </c:pt>
                <c:pt idx="447">
                  <c:v>10.787308800000119</c:v>
                </c:pt>
                <c:pt idx="448">
                  <c:v>10.833230000000185</c:v>
                </c:pt>
                <c:pt idx="449">
                  <c:v>10.848908600000414</c:v>
                </c:pt>
                <c:pt idx="450">
                  <c:v>10.895104500000343</c:v>
                </c:pt>
                <c:pt idx="451">
                  <c:v>10.926145600000382</c:v>
                </c:pt>
                <c:pt idx="452">
                  <c:v>10.942143000000215</c:v>
                </c:pt>
                <c:pt idx="453">
                  <c:v>10.973500700000386</c:v>
                </c:pt>
                <c:pt idx="454">
                  <c:v>11.019185500000276</c:v>
                </c:pt>
                <c:pt idx="455">
                  <c:v>11.034989600000245</c:v>
                </c:pt>
                <c:pt idx="456">
                  <c:v>11.082045999999991</c:v>
                </c:pt>
                <c:pt idx="457">
                  <c:v>11.1128262000002</c:v>
                </c:pt>
                <c:pt idx="458">
                  <c:v>11.143854800000099</c:v>
                </c:pt>
                <c:pt idx="459">
                  <c:v>11.175350700000308</c:v>
                </c:pt>
                <c:pt idx="460">
                  <c:v>11.206693400000404</c:v>
                </c:pt>
                <c:pt idx="461">
                  <c:v>11.237335799999983</c:v>
                </c:pt>
                <c:pt idx="462">
                  <c:v>11.284025600000405</c:v>
                </c:pt>
                <c:pt idx="463">
                  <c:v>11.314848700000312</c:v>
                </c:pt>
                <c:pt idx="464">
                  <c:v>11.345894600000065</c:v>
                </c:pt>
                <c:pt idx="465">
                  <c:v>11.377582900000107</c:v>
                </c:pt>
                <c:pt idx="466">
                  <c:v>11.408712500000092</c:v>
                </c:pt>
                <c:pt idx="467">
                  <c:v>11.424737800000003</c:v>
                </c:pt>
                <c:pt idx="468">
                  <c:v>11.47156490000043</c:v>
                </c:pt>
                <c:pt idx="469">
                  <c:v>11.502535600000101</c:v>
                </c:pt>
                <c:pt idx="470">
                  <c:v>11.534924500000216</c:v>
                </c:pt>
                <c:pt idx="471">
                  <c:v>11.565958300000148</c:v>
                </c:pt>
                <c:pt idx="472">
                  <c:v>11.59783920000018</c:v>
                </c:pt>
                <c:pt idx="473">
                  <c:v>11.644704600000296</c:v>
                </c:pt>
                <c:pt idx="474">
                  <c:v>11.675825900000291</c:v>
                </c:pt>
                <c:pt idx="475">
                  <c:v>11.706475600000431</c:v>
                </c:pt>
                <c:pt idx="476">
                  <c:v>11.737749000000349</c:v>
                </c:pt>
                <c:pt idx="477">
                  <c:v>11.76921160000029</c:v>
                </c:pt>
                <c:pt idx="478">
                  <c:v>11.800858600000083</c:v>
                </c:pt>
                <c:pt idx="479">
                  <c:v>11.832110300000295</c:v>
                </c:pt>
                <c:pt idx="480">
                  <c:v>11.847406900000351</c:v>
                </c:pt>
                <c:pt idx="481">
                  <c:v>11.894228900000144</c:v>
                </c:pt>
                <c:pt idx="482">
                  <c:v>11.92492110000012</c:v>
                </c:pt>
                <c:pt idx="483">
                  <c:v>11.955142800000431</c:v>
                </c:pt>
                <c:pt idx="484">
                  <c:v>12.000833200000216</c:v>
                </c:pt>
                <c:pt idx="485">
                  <c:v>12.016915900000186</c:v>
                </c:pt>
                <c:pt idx="486">
                  <c:v>12.063823899999988</c:v>
                </c:pt>
                <c:pt idx="487">
                  <c:v>12.094814100000349</c:v>
                </c:pt>
                <c:pt idx="488">
                  <c:v>12.125114600000416</c:v>
                </c:pt>
                <c:pt idx="489">
                  <c:v>12.15568790000043</c:v>
                </c:pt>
                <c:pt idx="490">
                  <c:v>12.186626400000023</c:v>
                </c:pt>
                <c:pt idx="491">
                  <c:v>12.218306000000211</c:v>
                </c:pt>
                <c:pt idx="492">
                  <c:v>12.249259600000187</c:v>
                </c:pt>
                <c:pt idx="493">
                  <c:v>12.296085400000266</c:v>
                </c:pt>
                <c:pt idx="494">
                  <c:v>12.326275300000361</c:v>
                </c:pt>
                <c:pt idx="495">
                  <c:v>12.357014600000184</c:v>
                </c:pt>
                <c:pt idx="496">
                  <c:v>12.388153500000044</c:v>
                </c:pt>
                <c:pt idx="497">
                  <c:v>12.4197750000003</c:v>
                </c:pt>
                <c:pt idx="498">
                  <c:v>12.451095400000213</c:v>
                </c:pt>
                <c:pt idx="499">
                  <c:v>12.482295500000419</c:v>
                </c:pt>
                <c:pt idx="500">
                  <c:v>12.513406000000032</c:v>
                </c:pt>
                <c:pt idx="501">
                  <c:v>12.545510300000387</c:v>
                </c:pt>
                <c:pt idx="502">
                  <c:v>12.576301700000386</c:v>
                </c:pt>
                <c:pt idx="503">
                  <c:v>12.607888900000034</c:v>
                </c:pt>
                <c:pt idx="504">
                  <c:v>12.638797200000226</c:v>
                </c:pt>
                <c:pt idx="505">
                  <c:v>12.670864300000176</c:v>
                </c:pt>
                <c:pt idx="506">
                  <c:v>12.702406300000348</c:v>
                </c:pt>
                <c:pt idx="507">
                  <c:v>12.748906799999986</c:v>
                </c:pt>
                <c:pt idx="508">
                  <c:v>12.780055300000186</c:v>
                </c:pt>
                <c:pt idx="509">
                  <c:v>12.810586700000385</c:v>
                </c:pt>
                <c:pt idx="510">
                  <c:v>12.840667400000257</c:v>
                </c:pt>
                <c:pt idx="511">
                  <c:v>12.87273660000028</c:v>
                </c:pt>
                <c:pt idx="512">
                  <c:v>12.919059700000162</c:v>
                </c:pt>
                <c:pt idx="513">
                  <c:v>12.950166000000081</c:v>
                </c:pt>
                <c:pt idx="514">
                  <c:v>12.965575600000193</c:v>
                </c:pt>
                <c:pt idx="515">
                  <c:v>12.996916700000384</c:v>
                </c:pt>
                <c:pt idx="516">
                  <c:v>13.027586500000325</c:v>
                </c:pt>
                <c:pt idx="517">
                  <c:v>13.058944500000052</c:v>
                </c:pt>
                <c:pt idx="518">
                  <c:v>13.089599500000077</c:v>
                </c:pt>
                <c:pt idx="519">
                  <c:v>13.136956600000303</c:v>
                </c:pt>
                <c:pt idx="520">
                  <c:v>13.167147800000294</c:v>
                </c:pt>
                <c:pt idx="521">
                  <c:v>13.197788200000105</c:v>
                </c:pt>
                <c:pt idx="522">
                  <c:v>13.243707000000086</c:v>
                </c:pt>
                <c:pt idx="523">
                  <c:v>13.30562800000007</c:v>
                </c:pt>
                <c:pt idx="524">
                  <c:v>13.320852300000297</c:v>
                </c:pt>
                <c:pt idx="525">
                  <c:v>13.336251400000037</c:v>
                </c:pt>
                <c:pt idx="526">
                  <c:v>13.367295000000013</c:v>
                </c:pt>
                <c:pt idx="527">
                  <c:v>13.397435500000029</c:v>
                </c:pt>
                <c:pt idx="528">
                  <c:v>13.429170900000372</c:v>
                </c:pt>
                <c:pt idx="529">
                  <c:v>13.460952700000234</c:v>
                </c:pt>
                <c:pt idx="530">
                  <c:v>13.492381000000023</c:v>
                </c:pt>
                <c:pt idx="531">
                  <c:v>13.523081499999989</c:v>
                </c:pt>
                <c:pt idx="532">
                  <c:v>13.555078700000195</c:v>
                </c:pt>
                <c:pt idx="533">
                  <c:v>13.587006100000053</c:v>
                </c:pt>
                <c:pt idx="534">
                  <c:v>13.619073000000299</c:v>
                </c:pt>
                <c:pt idx="535">
                  <c:v>13.650212200000169</c:v>
                </c:pt>
                <c:pt idx="536">
                  <c:v>13.681003300000157</c:v>
                </c:pt>
                <c:pt idx="537">
                  <c:v>13.712306100000205</c:v>
                </c:pt>
                <c:pt idx="538">
                  <c:v>13.758961900000031</c:v>
                </c:pt>
                <c:pt idx="539">
                  <c:v>13.789472500000102</c:v>
                </c:pt>
                <c:pt idx="540">
                  <c:v>13.822084700000232</c:v>
                </c:pt>
                <c:pt idx="541">
                  <c:v>13.852689600000303</c:v>
                </c:pt>
                <c:pt idx="542">
                  <c:v>13.883946300000389</c:v>
                </c:pt>
                <c:pt idx="543">
                  <c:v>13.914673300000231</c:v>
                </c:pt>
                <c:pt idx="544">
                  <c:v>13.945167700000184</c:v>
                </c:pt>
                <c:pt idx="545">
                  <c:v>13.992031400000087</c:v>
                </c:pt>
                <c:pt idx="546">
                  <c:v>14.023872700000084</c:v>
                </c:pt>
                <c:pt idx="547">
                  <c:v>14.054001299999982</c:v>
                </c:pt>
                <c:pt idx="548">
                  <c:v>14.069429500000297</c:v>
                </c:pt>
                <c:pt idx="549">
                  <c:v>14.100932499999999</c:v>
                </c:pt>
                <c:pt idx="550">
                  <c:v>14.14680670000007</c:v>
                </c:pt>
                <c:pt idx="551">
                  <c:v>14.17827780000016</c:v>
                </c:pt>
                <c:pt idx="552">
                  <c:v>14.209291300000132</c:v>
                </c:pt>
                <c:pt idx="553">
                  <c:v>14.240556100000049</c:v>
                </c:pt>
                <c:pt idx="554">
                  <c:v>14.271950000000288</c:v>
                </c:pt>
                <c:pt idx="555">
                  <c:v>14.303397800000312</c:v>
                </c:pt>
                <c:pt idx="556">
                  <c:v>14.333667700000206</c:v>
                </c:pt>
                <c:pt idx="557">
                  <c:v>14.380823100000271</c:v>
                </c:pt>
              </c:numCache>
            </c:numRef>
          </c:xVal>
          <c:yVal>
            <c:numRef>
              <c:f>'Maju 0.1'!$AE$7:$AE$564</c:f>
              <c:numCache>
                <c:formatCode>General</c:formatCode>
                <c:ptCount val="55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-2.3162192516145703</c:v>
                </c:pt>
                <c:pt idx="173">
                  <c:v>-4.8387558682523046</c:v>
                </c:pt>
                <c:pt idx="174">
                  <c:v>-7.33245435089467</c:v>
                </c:pt>
                <c:pt idx="175">
                  <c:v>-8.1471715009940784</c:v>
                </c:pt>
                <c:pt idx="176">
                  <c:v>-8.1471715009940784</c:v>
                </c:pt>
                <c:pt idx="177">
                  <c:v>-8.1471715009940784</c:v>
                </c:pt>
                <c:pt idx="178">
                  <c:v>-8.1471715009940784</c:v>
                </c:pt>
                <c:pt idx="179">
                  <c:v>-8.1471715009940784</c:v>
                </c:pt>
                <c:pt idx="180">
                  <c:v>-8.1471715009940784</c:v>
                </c:pt>
                <c:pt idx="181">
                  <c:v>-8.1471715009940784</c:v>
                </c:pt>
                <c:pt idx="182">
                  <c:v>-8.1471715009940784</c:v>
                </c:pt>
                <c:pt idx="183">
                  <c:v>-8.1471715009940784</c:v>
                </c:pt>
                <c:pt idx="184">
                  <c:v>-9.3688859565200424</c:v>
                </c:pt>
                <c:pt idx="185">
                  <c:v>-4.6129649309153917</c:v>
                </c:pt>
                <c:pt idx="186">
                  <c:v>0.14295609468925768</c:v>
                </c:pt>
                <c:pt idx="187">
                  <c:v>4.5954346818832983</c:v>
                </c:pt>
                <c:pt idx="188">
                  <c:v>7.505132468599891</c:v>
                </c:pt>
                <c:pt idx="189">
                  <c:v>10.414830255316486</c:v>
                </c:pt>
                <c:pt idx="190">
                  <c:v>13.324528042033077</c:v>
                </c:pt>
                <c:pt idx="191">
                  <c:v>13.1865511625317</c:v>
                </c:pt>
                <c:pt idx="192">
                  <c:v>13.079235811808408</c:v>
                </c:pt>
                <c:pt idx="193">
                  <c:v>12.993383531229773</c:v>
                </c:pt>
                <c:pt idx="194">
                  <c:v>15.885372100799563</c:v>
                </c:pt>
                <c:pt idx="195">
                  <c:v>11.407613364463579</c:v>
                </c:pt>
                <c:pt idx="196">
                  <c:v>7.0721719019611466</c:v>
                </c:pt>
                <c:pt idx="197">
                  <c:v>3.1220443348139386</c:v>
                </c:pt>
                <c:pt idx="198">
                  <c:v>0.28451727423894901</c:v>
                </c:pt>
                <c:pt idx="199">
                  <c:v>-2.4859133940244895</c:v>
                </c:pt>
                <c:pt idx="200">
                  <c:v>-5.0815531140004859</c:v>
                </c:pt>
                <c:pt idx="201">
                  <c:v>-2.0835870037665751</c:v>
                </c:pt>
                <c:pt idx="202">
                  <c:v>1.0275097669871549</c:v>
                </c:pt>
                <c:pt idx="203">
                  <c:v>1.130662753210514</c:v>
                </c:pt>
                <c:pt idx="204">
                  <c:v>3.7079612135585762</c:v>
                </c:pt>
                <c:pt idx="205">
                  <c:v>12.412423671541465</c:v>
                </c:pt>
                <c:pt idx="206">
                  <c:v>15.813777178462335</c:v>
                </c:pt>
                <c:pt idx="207">
                  <c:v>22.115391993854754</c:v>
                </c:pt>
                <c:pt idx="208">
                  <c:v>24.298826832372818</c:v>
                </c:pt>
                <c:pt idx="209">
                  <c:v>28.951119560819478</c:v>
                </c:pt>
                <c:pt idx="210">
                  <c:v>33.357751631409585</c:v>
                </c:pt>
                <c:pt idx="211">
                  <c:v>31.88387784088831</c:v>
                </c:pt>
                <c:pt idx="212">
                  <c:v>28.783281730735546</c:v>
                </c:pt>
                <c:pt idx="213">
                  <c:v>29.07755326124515</c:v>
                </c:pt>
                <c:pt idx="214">
                  <c:v>29.054368105209495</c:v>
                </c:pt>
                <c:pt idx="215">
                  <c:v>25.914656903910338</c:v>
                </c:pt>
                <c:pt idx="216">
                  <c:v>27.916115429504924</c:v>
                </c:pt>
                <c:pt idx="217">
                  <c:v>24.357252999424439</c:v>
                </c:pt>
                <c:pt idx="218">
                  <c:v>29.993851257053745</c:v>
                </c:pt>
                <c:pt idx="219">
                  <c:v>32.979050419024723</c:v>
                </c:pt>
                <c:pt idx="220">
                  <c:v>35.46347322721725</c:v>
                </c:pt>
                <c:pt idx="221">
                  <c:v>38.169848785630677</c:v>
                </c:pt>
                <c:pt idx="222">
                  <c:v>38.022388456037177</c:v>
                </c:pt>
                <c:pt idx="223">
                  <c:v>41.834719408418252</c:v>
                </c:pt>
                <c:pt idx="224">
                  <c:v>43.59290437922381</c:v>
                </c:pt>
                <c:pt idx="225">
                  <c:v>45.536563082056958</c:v>
                </c:pt>
                <c:pt idx="226">
                  <c:v>41.959609318690241</c:v>
                </c:pt>
                <c:pt idx="227">
                  <c:v>41.045756163454378</c:v>
                </c:pt>
                <c:pt idx="228">
                  <c:v>36.482950329826494</c:v>
                </c:pt>
                <c:pt idx="229">
                  <c:v>33.492877441588014</c:v>
                </c:pt>
                <c:pt idx="230">
                  <c:v>29.827222162315884</c:v>
                </c:pt>
                <c:pt idx="231">
                  <c:v>24.904416990724858</c:v>
                </c:pt>
                <c:pt idx="232">
                  <c:v>24.492016717301304</c:v>
                </c:pt>
                <c:pt idx="233">
                  <c:v>19.806697906489067</c:v>
                </c:pt>
                <c:pt idx="234">
                  <c:v>15.153861129933285</c:v>
                </c:pt>
                <c:pt idx="235">
                  <c:v>10.307921025372085</c:v>
                </c:pt>
                <c:pt idx="236">
                  <c:v>11.565976107351037</c:v>
                </c:pt>
                <c:pt idx="237">
                  <c:v>12.777023065204828</c:v>
                </c:pt>
                <c:pt idx="238">
                  <c:v>12.656832228850094</c:v>
                </c:pt>
                <c:pt idx="239">
                  <c:v>11.184130091712255</c:v>
                </c:pt>
                <c:pt idx="240">
                  <c:v>11.110044616135903</c:v>
                </c:pt>
                <c:pt idx="241">
                  <c:v>10.918578077887</c:v>
                </c:pt>
                <c:pt idx="242">
                  <c:v>10.584134188589237</c:v>
                </c:pt>
                <c:pt idx="243">
                  <c:v>10.93069581076136</c:v>
                </c:pt>
                <c:pt idx="244">
                  <c:v>9.2622038603058741</c:v>
                </c:pt>
                <c:pt idx="245">
                  <c:v>10.40812977834597</c:v>
                </c:pt>
                <c:pt idx="246">
                  <c:v>11.51248267976594</c:v>
                </c:pt>
                <c:pt idx="247">
                  <c:v>12.557956999125274</c:v>
                </c:pt>
                <c:pt idx="248">
                  <c:v>12.574189968992178</c:v>
                </c:pt>
                <c:pt idx="249">
                  <c:v>13.28926109175133</c:v>
                </c:pt>
                <c:pt idx="250">
                  <c:v>13.801447498625466</c:v>
                </c:pt>
                <c:pt idx="251">
                  <c:v>15.941253337265273</c:v>
                </c:pt>
                <c:pt idx="252">
                  <c:v>18.058170348295622</c:v>
                </c:pt>
                <c:pt idx="253">
                  <c:v>18.622929355631069</c:v>
                </c:pt>
                <c:pt idx="254">
                  <c:v>19.388325785732732</c:v>
                </c:pt>
                <c:pt idx="255">
                  <c:v>17.421724288090974</c:v>
                </c:pt>
                <c:pt idx="256">
                  <c:v>15.062826646841893</c:v>
                </c:pt>
                <c:pt idx="257">
                  <c:v>12.730063277699635</c:v>
                </c:pt>
                <c:pt idx="258">
                  <c:v>11.330394377573864</c:v>
                </c:pt>
                <c:pt idx="259">
                  <c:v>9.1915289781070584</c:v>
                </c:pt>
                <c:pt idx="260">
                  <c:v>7.124780602383912</c:v>
                </c:pt>
                <c:pt idx="261">
                  <c:v>5.0459504411533969</c:v>
                </c:pt>
                <c:pt idx="262">
                  <c:v>3.0056470375492914</c:v>
                </c:pt>
                <c:pt idx="263">
                  <c:v>0.85086938925270172</c:v>
                </c:pt>
                <c:pt idx="264">
                  <c:v>-0.36124693419026377</c:v>
                </c:pt>
                <c:pt idx="265">
                  <c:v>-1.1919472988150062</c:v>
                </c:pt>
                <c:pt idx="266">
                  <c:v>-2.5979728378295306</c:v>
                </c:pt>
                <c:pt idx="267">
                  <c:v>-3.5091632101670882</c:v>
                </c:pt>
                <c:pt idx="268">
                  <c:v>-3.2281228831104491</c:v>
                </c:pt>
                <c:pt idx="269">
                  <c:v>-2.9715389576682698</c:v>
                </c:pt>
                <c:pt idx="270">
                  <c:v>-4.17161147740467</c:v>
                </c:pt>
                <c:pt idx="271">
                  <c:v>-5.3849814645507994</c:v>
                </c:pt>
                <c:pt idx="272">
                  <c:v>-7.2137629492936899</c:v>
                </c:pt>
                <c:pt idx="273">
                  <c:v>-7.7361494545305618</c:v>
                </c:pt>
                <c:pt idx="274">
                  <c:v>-6.4831384821078712</c:v>
                </c:pt>
                <c:pt idx="275">
                  <c:v>-5.2512068617733858</c:v>
                </c:pt>
                <c:pt idx="276">
                  <c:v>-3.6428581135955396</c:v>
                </c:pt>
                <c:pt idx="277">
                  <c:v>-2.7316677412581925</c:v>
                </c:pt>
                <c:pt idx="278">
                  <c:v>-3.28244335489032</c:v>
                </c:pt>
                <c:pt idx="279">
                  <c:v>-4.478048406544807</c:v>
                </c:pt>
                <c:pt idx="280">
                  <c:v>-3.9142418406886166</c:v>
                </c:pt>
                <c:pt idx="281">
                  <c:v>-3.5774717824275299</c:v>
                </c:pt>
                <c:pt idx="282">
                  <c:v>-2.8405267994867116</c:v>
                </c:pt>
                <c:pt idx="283">
                  <c:v>-1.0699061101338678</c:v>
                </c:pt>
                <c:pt idx="284">
                  <c:v>3.9289609516341709E-2</c:v>
                </c:pt>
                <c:pt idx="285">
                  <c:v>0.55082252997812087</c:v>
                </c:pt>
                <c:pt idx="286">
                  <c:v>1.2049324893598938</c:v>
                </c:pt>
                <c:pt idx="287">
                  <c:v>1.6733107638055684</c:v>
                </c:pt>
                <c:pt idx="288">
                  <c:v>1.9828441033868891</c:v>
                </c:pt>
                <c:pt idx="289">
                  <c:v>6.6307565587849551</c:v>
                </c:pt>
                <c:pt idx="290">
                  <c:v>11.826800965063295</c:v>
                </c:pt>
                <c:pt idx="291">
                  <c:v>16.979230862175999</c:v>
                </c:pt>
                <c:pt idx="292">
                  <c:v>22.132779165828982</c:v>
                </c:pt>
                <c:pt idx="293">
                  <c:v>23.3234106407917</c:v>
                </c:pt>
                <c:pt idx="294">
                  <c:v>25.749277647924167</c:v>
                </c:pt>
                <c:pt idx="295">
                  <c:v>32.008204262356116</c:v>
                </c:pt>
                <c:pt idx="296">
                  <c:v>37.140093443621033</c:v>
                </c:pt>
                <c:pt idx="297">
                  <c:v>42.567196273567291</c:v>
                </c:pt>
                <c:pt idx="298">
                  <c:v>45.887389244472757</c:v>
                </c:pt>
                <c:pt idx="299">
                  <c:v>43.980796663351882</c:v>
                </c:pt>
                <c:pt idx="300">
                  <c:v>43.246479392088851</c:v>
                </c:pt>
                <c:pt idx="301">
                  <c:v>44.178244832372656</c:v>
                </c:pt>
                <c:pt idx="302">
                  <c:v>45.062135269392293</c:v>
                </c:pt>
                <c:pt idx="303">
                  <c:v>47.424719661827808</c:v>
                </c:pt>
                <c:pt idx="304">
                  <c:v>49.05355913487962</c:v>
                </c:pt>
                <c:pt idx="305">
                  <c:v>45.257968594229027</c:v>
                </c:pt>
                <c:pt idx="306">
                  <c:v>46.670494509364367</c:v>
                </c:pt>
                <c:pt idx="307">
                  <c:v>47.596257675618816</c:v>
                </c:pt>
                <c:pt idx="308">
                  <c:v>48.14711176184727</c:v>
                </c:pt>
                <c:pt idx="309">
                  <c:v>52.751490674456605</c:v>
                </c:pt>
                <c:pt idx="310">
                  <c:v>54.915957934575502</c:v>
                </c:pt>
                <c:pt idx="311">
                  <c:v>53.533627737594806</c:v>
                </c:pt>
                <c:pt idx="312">
                  <c:v>54.28372625557212</c:v>
                </c:pt>
                <c:pt idx="313">
                  <c:v>57.667186938275201</c:v>
                </c:pt>
                <c:pt idx="314">
                  <c:v>58.130115128449866</c:v>
                </c:pt>
                <c:pt idx="315">
                  <c:v>60.710915845209485</c:v>
                </c:pt>
                <c:pt idx="316">
                  <c:v>58.855980536930588</c:v>
                </c:pt>
                <c:pt idx="317">
                  <c:v>57.279187819252421</c:v>
                </c:pt>
                <c:pt idx="318">
                  <c:v>61.472147378360177</c:v>
                </c:pt>
                <c:pt idx="319">
                  <c:v>63.058263089914981</c:v>
                </c:pt>
                <c:pt idx="320">
                  <c:v>65.178712730540568</c:v>
                </c:pt>
                <c:pt idx="321">
                  <c:v>66.500645775056512</c:v>
                </c:pt>
                <c:pt idx="322">
                  <c:v>68.494768273656646</c:v>
                </c:pt>
                <c:pt idx="323">
                  <c:v>64.799020008810714</c:v>
                </c:pt>
                <c:pt idx="324">
                  <c:v>65.686872224777943</c:v>
                </c:pt>
                <c:pt idx="325">
                  <c:v>68.135734385472546</c:v>
                </c:pt>
                <c:pt idx="326">
                  <c:v>69.968503356534043</c:v>
                </c:pt>
                <c:pt idx="327">
                  <c:v>71.67901943374963</c:v>
                </c:pt>
                <c:pt idx="328">
                  <c:v>71.357576650302903</c:v>
                </c:pt>
                <c:pt idx="329">
                  <c:v>70.533125057876447</c:v>
                </c:pt>
                <c:pt idx="330">
                  <c:v>72.093507858572167</c:v>
                </c:pt>
                <c:pt idx="331">
                  <c:v>74.06129155413268</c:v>
                </c:pt>
                <c:pt idx="332">
                  <c:v>73.69144595648342</c:v>
                </c:pt>
                <c:pt idx="333">
                  <c:v>75.870198280274892</c:v>
                </c:pt>
                <c:pt idx="334">
                  <c:v>75.953329529015193</c:v>
                </c:pt>
                <c:pt idx="335">
                  <c:v>74.052938075614122</c:v>
                </c:pt>
                <c:pt idx="336">
                  <c:v>71.431724503094614</c:v>
                </c:pt>
                <c:pt idx="337">
                  <c:v>74.047116460898081</c:v>
                </c:pt>
                <c:pt idx="338">
                  <c:v>73.87214373075247</c:v>
                </c:pt>
                <c:pt idx="339">
                  <c:v>73.928191733929665</c:v>
                </c:pt>
                <c:pt idx="340">
                  <c:v>73.50572186408877</c:v>
                </c:pt>
                <c:pt idx="341">
                  <c:v>75.975200328820421</c:v>
                </c:pt>
                <c:pt idx="342">
                  <c:v>73.612149432799583</c:v>
                </c:pt>
                <c:pt idx="343">
                  <c:v>73.732068243648598</c:v>
                </c:pt>
                <c:pt idx="344">
                  <c:v>70.149244740592763</c:v>
                </c:pt>
                <c:pt idx="345">
                  <c:v>71.403947686456931</c:v>
                </c:pt>
                <c:pt idx="346">
                  <c:v>76.954868951124695</c:v>
                </c:pt>
                <c:pt idx="347">
                  <c:v>71.491063783023861</c:v>
                </c:pt>
                <c:pt idx="348">
                  <c:v>71.240337696754665</c:v>
                </c:pt>
                <c:pt idx="349">
                  <c:v>74.194852587504357</c:v>
                </c:pt>
                <c:pt idx="350">
                  <c:v>68.243610149943123</c:v>
                </c:pt>
                <c:pt idx="351">
                  <c:v>63.929488782648683</c:v>
                </c:pt>
                <c:pt idx="352">
                  <c:v>67.213437553211563</c:v>
                </c:pt>
                <c:pt idx="353">
                  <c:v>70.362009003386348</c:v>
                </c:pt>
                <c:pt idx="354">
                  <c:v>77.015933162925023</c:v>
                </c:pt>
                <c:pt idx="355">
                  <c:v>76.409464462606167</c:v>
                </c:pt>
                <c:pt idx="356">
                  <c:v>73.593737235085229</c:v>
                </c:pt>
                <c:pt idx="357">
                  <c:v>76.096710982877823</c:v>
                </c:pt>
                <c:pt idx="358">
                  <c:v>78.192758964804113</c:v>
                </c:pt>
                <c:pt idx="359">
                  <c:v>76.006810305446095</c:v>
                </c:pt>
                <c:pt idx="360">
                  <c:v>79.353839666643793</c:v>
                </c:pt>
                <c:pt idx="361">
                  <c:v>82.761538622109796</c:v>
                </c:pt>
                <c:pt idx="362">
                  <c:v>82.508602311216407</c:v>
                </c:pt>
                <c:pt idx="363">
                  <c:v>77.540908265938114</c:v>
                </c:pt>
                <c:pt idx="364">
                  <c:v>75.296667248593735</c:v>
                </c:pt>
                <c:pt idx="365">
                  <c:v>74.977557783353333</c:v>
                </c:pt>
                <c:pt idx="366">
                  <c:v>76.126849206030244</c:v>
                </c:pt>
                <c:pt idx="367">
                  <c:v>76.187084802717109</c:v>
                </c:pt>
                <c:pt idx="368">
                  <c:v>73.840327550529935</c:v>
                </c:pt>
                <c:pt idx="369">
                  <c:v>73.997971618243284</c:v>
                </c:pt>
                <c:pt idx="370">
                  <c:v>72.48567159394706</c:v>
                </c:pt>
                <c:pt idx="371">
                  <c:v>69.51735240984118</c:v>
                </c:pt>
                <c:pt idx="372">
                  <c:v>69.907449654165617</c:v>
                </c:pt>
                <c:pt idx="373">
                  <c:v>73.989946715811669</c:v>
                </c:pt>
                <c:pt idx="374">
                  <c:v>74.048689192797895</c:v>
                </c:pt>
                <c:pt idx="375">
                  <c:v>74.547602316210046</c:v>
                </c:pt>
                <c:pt idx="376">
                  <c:v>71.498392527054676</c:v>
                </c:pt>
                <c:pt idx="377">
                  <c:v>71.294609191003772</c:v>
                </c:pt>
                <c:pt idx="378">
                  <c:v>71.294609191003772</c:v>
                </c:pt>
                <c:pt idx="379">
                  <c:v>70.901441800786287</c:v>
                </c:pt>
                <c:pt idx="380">
                  <c:v>71.208087222079754</c:v>
                </c:pt>
                <c:pt idx="381">
                  <c:v>71.076868480597327</c:v>
                </c:pt>
                <c:pt idx="382">
                  <c:v>69.89243158107972</c:v>
                </c:pt>
                <c:pt idx="383">
                  <c:v>65.54150678655283</c:v>
                </c:pt>
                <c:pt idx="384">
                  <c:v>65.265586332616962</c:v>
                </c:pt>
                <c:pt idx="385">
                  <c:v>64.670233869117965</c:v>
                </c:pt>
                <c:pt idx="386">
                  <c:v>66.876541354161432</c:v>
                </c:pt>
                <c:pt idx="387">
                  <c:v>66.622650137634736</c:v>
                </c:pt>
                <c:pt idx="388">
                  <c:v>67.198065111605516</c:v>
                </c:pt>
                <c:pt idx="389">
                  <c:v>66.485013030379804</c:v>
                </c:pt>
                <c:pt idx="390">
                  <c:v>67.835166061210259</c:v>
                </c:pt>
                <c:pt idx="391">
                  <c:v>67.783848647101664</c:v>
                </c:pt>
                <c:pt idx="392">
                  <c:v>68.787171983176634</c:v>
                </c:pt>
                <c:pt idx="393">
                  <c:v>70.600237227022831</c:v>
                </c:pt>
                <c:pt idx="394">
                  <c:v>72.855210250989117</c:v>
                </c:pt>
                <c:pt idx="395">
                  <c:v>74.017999900097109</c:v>
                </c:pt>
                <c:pt idx="396">
                  <c:v>75.74688584450935</c:v>
                </c:pt>
                <c:pt idx="397">
                  <c:v>78.055260023616512</c:v>
                </c:pt>
                <c:pt idx="398">
                  <c:v>78.642539163265212</c:v>
                </c:pt>
                <c:pt idx="399">
                  <c:v>79.852951407536267</c:v>
                </c:pt>
                <c:pt idx="400">
                  <c:v>79.988124863056541</c:v>
                </c:pt>
                <c:pt idx="401">
                  <c:v>80.637825556346868</c:v>
                </c:pt>
                <c:pt idx="402">
                  <c:v>81.037984421744895</c:v>
                </c:pt>
                <c:pt idx="403">
                  <c:v>85.03617638304803</c:v>
                </c:pt>
                <c:pt idx="404">
                  <c:v>83.208684006609687</c:v>
                </c:pt>
                <c:pt idx="405">
                  <c:v>83.249635063045233</c:v>
                </c:pt>
                <c:pt idx="406">
                  <c:v>82.065140847966632</c:v>
                </c:pt>
                <c:pt idx="407">
                  <c:v>80.26816362802677</c:v>
                </c:pt>
                <c:pt idx="408">
                  <c:v>76.431025727968574</c:v>
                </c:pt>
                <c:pt idx="409">
                  <c:v>73.731186159940364</c:v>
                </c:pt>
                <c:pt idx="410">
                  <c:v>72.542603247014398</c:v>
                </c:pt>
                <c:pt idx="411">
                  <c:v>72.30407427325386</c:v>
                </c:pt>
                <c:pt idx="412">
                  <c:v>70.706857550705806</c:v>
                </c:pt>
                <c:pt idx="413">
                  <c:v>67.026584444100422</c:v>
                </c:pt>
                <c:pt idx="414">
                  <c:v>65.923100642124538</c:v>
                </c:pt>
                <c:pt idx="415">
                  <c:v>60.770025541661951</c:v>
                </c:pt>
                <c:pt idx="416">
                  <c:v>58.561538223123065</c:v>
                </c:pt>
                <c:pt idx="417">
                  <c:v>55.870777017577048</c:v>
                </c:pt>
                <c:pt idx="418">
                  <c:v>56.325610137572603</c:v>
                </c:pt>
                <c:pt idx="419">
                  <c:v>54.552839647144353</c:v>
                </c:pt>
                <c:pt idx="420">
                  <c:v>51.985073422171212</c:v>
                </c:pt>
                <c:pt idx="421">
                  <c:v>46.848062858256647</c:v>
                </c:pt>
                <c:pt idx="422">
                  <c:v>41.343529372447371</c:v>
                </c:pt>
                <c:pt idx="423">
                  <c:v>41.550572152537143</c:v>
                </c:pt>
                <c:pt idx="424">
                  <c:v>41.823924537327329</c:v>
                </c:pt>
                <c:pt idx="425">
                  <c:v>43.547520993728845</c:v>
                </c:pt>
                <c:pt idx="426">
                  <c:v>42.563149124578437</c:v>
                </c:pt>
                <c:pt idx="427">
                  <c:v>37.390260063267561</c:v>
                </c:pt>
                <c:pt idx="428">
                  <c:v>39.025707560695906</c:v>
                </c:pt>
                <c:pt idx="429">
                  <c:v>41.784442589597624</c:v>
                </c:pt>
                <c:pt idx="430">
                  <c:v>44.898535003421799</c:v>
                </c:pt>
                <c:pt idx="431">
                  <c:v>49.462607578081794</c:v>
                </c:pt>
                <c:pt idx="432">
                  <c:v>48.23128452906608</c:v>
                </c:pt>
                <c:pt idx="433">
                  <c:v>41.241583452937554</c:v>
                </c:pt>
                <c:pt idx="434">
                  <c:v>33.732258492014743</c:v>
                </c:pt>
                <c:pt idx="435">
                  <c:v>30.359032642813268</c:v>
                </c:pt>
                <c:pt idx="436">
                  <c:v>26.890215225675753</c:v>
                </c:pt>
                <c:pt idx="437">
                  <c:v>25.970637681078966</c:v>
                </c:pt>
                <c:pt idx="438">
                  <c:v>19.832933102861041</c:v>
                </c:pt>
                <c:pt idx="439">
                  <c:v>13.665544496871508</c:v>
                </c:pt>
                <c:pt idx="440">
                  <c:v>6.9893152238375205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655-4EFA-BC9E-C8AD233DD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104904"/>
        <c:axId val="461669760"/>
        <c:extLst/>
      </c:scatterChart>
      <c:scatterChart>
        <c:scatterStyle val="smoothMarker"/>
        <c:varyColors val="0"/>
        <c:ser>
          <c:idx val="9"/>
          <c:order val="2"/>
          <c:tx>
            <c:strRef>
              <c:f>'Maju 0.1'!$A$6</c:f>
              <c:strCache>
                <c:ptCount val="1"/>
                <c:pt idx="0">
                  <c:v>Input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'Maju 0.1'!$D$7:$D$565</c:f>
              <c:numCache>
                <c:formatCode>0.000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5.2989000000707165E-3</c:v>
                </c:pt>
                <c:pt idx="3">
                  <c:v>9.2048999999860825E-3</c:v>
                </c:pt>
                <c:pt idx="4">
                  <c:v>2.7168100000380946E-2</c:v>
                </c:pt>
                <c:pt idx="5">
                  <c:v>4.3313000000125612E-2</c:v>
                </c:pt>
                <c:pt idx="6">
                  <c:v>5.8556899999985035E-2</c:v>
                </c:pt>
                <c:pt idx="7">
                  <c:v>7.4511200000415556E-2</c:v>
                </c:pt>
                <c:pt idx="8">
                  <c:v>8.9335699999992357E-2</c:v>
                </c:pt>
                <c:pt idx="9">
                  <c:v>0.10529730000007476</c:v>
                </c:pt>
                <c:pt idx="10">
                  <c:v>0.12134990000004109</c:v>
                </c:pt>
                <c:pt idx="11">
                  <c:v>0.13719690000016271</c:v>
                </c:pt>
                <c:pt idx="12">
                  <c:v>0.15306950000012876</c:v>
                </c:pt>
                <c:pt idx="13">
                  <c:v>0.16923990000032063</c:v>
                </c:pt>
                <c:pt idx="14">
                  <c:v>0.18482170000015685</c:v>
                </c:pt>
                <c:pt idx="15">
                  <c:v>0.20079230000010284</c:v>
                </c:pt>
                <c:pt idx="16">
                  <c:v>0.21585990000039601</c:v>
                </c:pt>
                <c:pt idx="17">
                  <c:v>0.23115530000040962</c:v>
                </c:pt>
                <c:pt idx="18">
                  <c:v>0.24731440000005023</c:v>
                </c:pt>
                <c:pt idx="19">
                  <c:v>0.26257580000037706</c:v>
                </c:pt>
                <c:pt idx="20">
                  <c:v>0.2780137000004288</c:v>
                </c:pt>
                <c:pt idx="21">
                  <c:v>0.2941795000001548</c:v>
                </c:pt>
                <c:pt idx="22">
                  <c:v>0.30981510000037815</c:v>
                </c:pt>
                <c:pt idx="23">
                  <c:v>0.32596110000031331</c:v>
                </c:pt>
                <c:pt idx="24">
                  <c:v>0.34174560000019483</c:v>
                </c:pt>
                <c:pt idx="25">
                  <c:v>0.35752370000000155</c:v>
                </c:pt>
                <c:pt idx="26">
                  <c:v>0.37302320000026157</c:v>
                </c:pt>
                <c:pt idx="27">
                  <c:v>0.38870820000011008</c:v>
                </c:pt>
                <c:pt idx="28">
                  <c:v>0.40394320000041262</c:v>
                </c:pt>
                <c:pt idx="29">
                  <c:v>0.4197916000002806</c:v>
                </c:pt>
                <c:pt idx="30">
                  <c:v>0.43575710000004619</c:v>
                </c:pt>
                <c:pt idx="31">
                  <c:v>0.45149400000036621</c:v>
                </c:pt>
                <c:pt idx="32">
                  <c:v>0.46699660000012955</c:v>
                </c:pt>
                <c:pt idx="33">
                  <c:v>0.4830205000002934</c:v>
                </c:pt>
                <c:pt idx="34">
                  <c:v>0.49845470000036585</c:v>
                </c:pt>
                <c:pt idx="35">
                  <c:v>0.51411460000008447</c:v>
                </c:pt>
                <c:pt idx="36">
                  <c:v>0.52958090000038283</c:v>
                </c:pt>
                <c:pt idx="37">
                  <c:v>0.54471950000015568</c:v>
                </c:pt>
                <c:pt idx="38">
                  <c:v>0.55994790000022476</c:v>
                </c:pt>
                <c:pt idx="39">
                  <c:v>0.57620560000032128</c:v>
                </c:pt>
                <c:pt idx="40">
                  <c:v>0.59083770000006552</c:v>
                </c:pt>
                <c:pt idx="41">
                  <c:v>0.60626369999999952</c:v>
                </c:pt>
                <c:pt idx="42">
                  <c:v>0.6214124000002812</c:v>
                </c:pt>
                <c:pt idx="43">
                  <c:v>0.63753459999998086</c:v>
                </c:pt>
                <c:pt idx="44">
                  <c:v>0.65260699999998906</c:v>
                </c:pt>
                <c:pt idx="45">
                  <c:v>0.66794340000024022</c:v>
                </c:pt>
                <c:pt idx="46">
                  <c:v>0.68331380000017816</c:v>
                </c:pt>
                <c:pt idx="47">
                  <c:v>0.69856420000041908</c:v>
                </c:pt>
                <c:pt idx="48">
                  <c:v>0.7138716000004024</c:v>
                </c:pt>
                <c:pt idx="49">
                  <c:v>0.73025120000011157</c:v>
                </c:pt>
                <c:pt idx="50">
                  <c:v>0.74559630000021571</c:v>
                </c:pt>
                <c:pt idx="51">
                  <c:v>0.7610821000002943</c:v>
                </c:pt>
                <c:pt idx="52">
                  <c:v>0.77641560000029131</c:v>
                </c:pt>
                <c:pt idx="53">
                  <c:v>0.79153070000029402</c:v>
                </c:pt>
                <c:pt idx="54">
                  <c:v>0.80748250000033295</c:v>
                </c:pt>
                <c:pt idx="55">
                  <c:v>0.82297660000040196</c:v>
                </c:pt>
                <c:pt idx="56">
                  <c:v>0.83904410000013741</c:v>
                </c:pt>
                <c:pt idx="57">
                  <c:v>0.85417240000015227</c:v>
                </c:pt>
                <c:pt idx="58">
                  <c:v>0.86972920000016529</c:v>
                </c:pt>
                <c:pt idx="59">
                  <c:v>0.88524850000021615</c:v>
                </c:pt>
                <c:pt idx="60">
                  <c:v>0.90091920000031678</c:v>
                </c:pt>
                <c:pt idx="61">
                  <c:v>0.90367850000029648</c:v>
                </c:pt>
                <c:pt idx="62">
                  <c:v>0.91670670000030441</c:v>
                </c:pt>
                <c:pt idx="63">
                  <c:v>0.93219020000015007</c:v>
                </c:pt>
                <c:pt idx="64">
                  <c:v>0.94763220000004367</c:v>
                </c:pt>
                <c:pt idx="65">
                  <c:v>0.96272680000038235</c:v>
                </c:pt>
                <c:pt idx="66">
                  <c:v>0.97808190000023387</c:v>
                </c:pt>
                <c:pt idx="67">
                  <c:v>0.9934240000002319</c:v>
                </c:pt>
                <c:pt idx="68">
                  <c:v>1.0095186000003196</c:v>
                </c:pt>
                <c:pt idx="69">
                  <c:v>1.0249522000003708</c:v>
                </c:pt>
                <c:pt idx="70">
                  <c:v>1.0401796000001013</c:v>
                </c:pt>
                <c:pt idx="71">
                  <c:v>1.055965400000332</c:v>
                </c:pt>
                <c:pt idx="72">
                  <c:v>1.0718302000000222</c:v>
                </c:pt>
                <c:pt idx="73">
                  <c:v>1.0875557000003937</c:v>
                </c:pt>
                <c:pt idx="74">
                  <c:v>1.1028458000000683</c:v>
                </c:pt>
                <c:pt idx="75">
                  <c:v>1.1188025999999809</c:v>
                </c:pt>
                <c:pt idx="76">
                  <c:v>1.1348634000000857</c:v>
                </c:pt>
                <c:pt idx="77">
                  <c:v>1.1506616000001486</c:v>
                </c:pt>
                <c:pt idx="78">
                  <c:v>1.1660625000004075</c:v>
                </c:pt>
                <c:pt idx="79">
                  <c:v>1.1819746000001032</c:v>
                </c:pt>
                <c:pt idx="80">
                  <c:v>1.197920300000078</c:v>
                </c:pt>
                <c:pt idx="81">
                  <c:v>1.2132191000000603</c:v>
                </c:pt>
                <c:pt idx="82">
                  <c:v>1.2292172000002211</c:v>
                </c:pt>
                <c:pt idx="83">
                  <c:v>1.2446591000002627</c:v>
                </c:pt>
                <c:pt idx="84">
                  <c:v>1.2601951999999983</c:v>
                </c:pt>
                <c:pt idx="85">
                  <c:v>1.2756392000001142</c:v>
                </c:pt>
                <c:pt idx="86">
                  <c:v>1.2915996000001542</c:v>
                </c:pt>
                <c:pt idx="87">
                  <c:v>1.3068004000001565</c:v>
                </c:pt>
                <c:pt idx="88">
                  <c:v>1.3228144000004249</c:v>
                </c:pt>
                <c:pt idx="89">
                  <c:v>1.338255300000128</c:v>
                </c:pt>
                <c:pt idx="90">
                  <c:v>1.3536158000001706</c:v>
                </c:pt>
                <c:pt idx="91">
                  <c:v>1.3692170000003898</c:v>
                </c:pt>
                <c:pt idx="92">
                  <c:v>1.3851982000001044</c:v>
                </c:pt>
                <c:pt idx="93">
                  <c:v>1.4013238000002275</c:v>
                </c:pt>
                <c:pt idx="94">
                  <c:v>1.4175716000004286</c:v>
                </c:pt>
                <c:pt idx="95">
                  <c:v>1.433107000000291</c:v>
                </c:pt>
                <c:pt idx="96">
                  <c:v>1.4486382000000049</c:v>
                </c:pt>
                <c:pt idx="97">
                  <c:v>1.464110900000378</c:v>
                </c:pt>
                <c:pt idx="98">
                  <c:v>1.4797096000002057</c:v>
                </c:pt>
                <c:pt idx="99">
                  <c:v>1.4950284000001375</c:v>
                </c:pt>
                <c:pt idx="100">
                  <c:v>1.511221100000057</c:v>
                </c:pt>
                <c:pt idx="101">
                  <c:v>1.5267674000001534</c:v>
                </c:pt>
                <c:pt idx="102">
                  <c:v>1.542782200000147</c:v>
                </c:pt>
                <c:pt idx="103">
                  <c:v>1.5579615000001468</c:v>
                </c:pt>
                <c:pt idx="104">
                  <c:v>1.573585400000411</c:v>
                </c:pt>
                <c:pt idx="105">
                  <c:v>1.589252000000215</c:v>
                </c:pt>
                <c:pt idx="106">
                  <c:v>1.603999400000248</c:v>
                </c:pt>
                <c:pt idx="107">
                  <c:v>1.6198876000003111</c:v>
                </c:pt>
                <c:pt idx="108">
                  <c:v>1.6361267000002044</c:v>
                </c:pt>
                <c:pt idx="109">
                  <c:v>1.6512564000004204</c:v>
                </c:pt>
                <c:pt idx="110">
                  <c:v>1.6663169000003109</c:v>
                </c:pt>
                <c:pt idx="111">
                  <c:v>1.6817897000000812</c:v>
                </c:pt>
                <c:pt idx="112">
                  <c:v>1.6973350000002938</c:v>
                </c:pt>
                <c:pt idx="113">
                  <c:v>1.7125753000000259</c:v>
                </c:pt>
                <c:pt idx="114">
                  <c:v>1.7276518000003307</c:v>
                </c:pt>
                <c:pt idx="115">
                  <c:v>1.7429422000000159</c:v>
                </c:pt>
                <c:pt idx="116">
                  <c:v>1.7582855000000563</c:v>
                </c:pt>
                <c:pt idx="117">
                  <c:v>1.773996200000056</c:v>
                </c:pt>
                <c:pt idx="118">
                  <c:v>1.7897581000001992</c:v>
                </c:pt>
                <c:pt idx="119">
                  <c:v>1.8050165000004199</c:v>
                </c:pt>
                <c:pt idx="120">
                  <c:v>1.8200581000000966</c:v>
                </c:pt>
                <c:pt idx="121">
                  <c:v>1.8358427000002848</c:v>
                </c:pt>
                <c:pt idx="122">
                  <c:v>1.8507931000003737</c:v>
                </c:pt>
                <c:pt idx="123">
                  <c:v>1.8669764000001123</c:v>
                </c:pt>
                <c:pt idx="124">
                  <c:v>1.8826533000001291</c:v>
                </c:pt>
                <c:pt idx="125">
                  <c:v>1.8972933000000012</c:v>
                </c:pt>
                <c:pt idx="126">
                  <c:v>1.9133269000003565</c:v>
                </c:pt>
                <c:pt idx="127">
                  <c:v>1.9296000000003914</c:v>
                </c:pt>
                <c:pt idx="128">
                  <c:v>1.9452049000001352</c:v>
                </c:pt>
                <c:pt idx="129">
                  <c:v>1.9606398000000809</c:v>
                </c:pt>
                <c:pt idx="130">
                  <c:v>1.9759725000003527</c:v>
                </c:pt>
                <c:pt idx="131">
                  <c:v>1.9914278000001104</c:v>
                </c:pt>
                <c:pt idx="132">
                  <c:v>2.0069760000001224</c:v>
                </c:pt>
                <c:pt idx="133">
                  <c:v>2.0227060000001984</c:v>
                </c:pt>
                <c:pt idx="134">
                  <c:v>2.0380438000001959</c:v>
                </c:pt>
                <c:pt idx="135">
                  <c:v>2.0530307000003631</c:v>
                </c:pt>
                <c:pt idx="136">
                  <c:v>2.0684856000002583</c:v>
                </c:pt>
                <c:pt idx="137">
                  <c:v>2.0836755000000267</c:v>
                </c:pt>
                <c:pt idx="138">
                  <c:v>2.0990962000000764</c:v>
                </c:pt>
                <c:pt idx="139">
                  <c:v>2.1141289000001962</c:v>
                </c:pt>
                <c:pt idx="140">
                  <c:v>2.1296484000004057</c:v>
                </c:pt>
                <c:pt idx="141">
                  <c:v>2.1453720000004068</c:v>
                </c:pt>
                <c:pt idx="142">
                  <c:v>2.1608561000002737</c:v>
                </c:pt>
                <c:pt idx="143">
                  <c:v>2.1762023000001136</c:v>
                </c:pt>
                <c:pt idx="144">
                  <c:v>2.191330999999991</c:v>
                </c:pt>
                <c:pt idx="145">
                  <c:v>2.2065747000001465</c:v>
                </c:pt>
                <c:pt idx="146">
                  <c:v>2.2223314000002574</c:v>
                </c:pt>
                <c:pt idx="147">
                  <c:v>2.2377394000000095</c:v>
                </c:pt>
                <c:pt idx="148">
                  <c:v>2.2529523000002882</c:v>
                </c:pt>
                <c:pt idx="149">
                  <c:v>2.2684573999999884</c:v>
                </c:pt>
                <c:pt idx="150">
                  <c:v>2.2840030000002116</c:v>
                </c:pt>
                <c:pt idx="151">
                  <c:v>2.2868802000002688</c:v>
                </c:pt>
                <c:pt idx="152">
                  <c:v>2.2995488000001387</c:v>
                </c:pt>
                <c:pt idx="153">
                  <c:v>2.3149207999999817</c:v>
                </c:pt>
                <c:pt idx="154">
                  <c:v>2.3300423000000592</c:v>
                </c:pt>
                <c:pt idx="155">
                  <c:v>2.3454623000002357</c:v>
                </c:pt>
                <c:pt idx="156">
                  <c:v>2.3615370000002258</c:v>
                </c:pt>
                <c:pt idx="157">
                  <c:v>2.3767136000001301</c:v>
                </c:pt>
                <c:pt idx="158">
                  <c:v>2.3927026000001206</c:v>
                </c:pt>
                <c:pt idx="159">
                  <c:v>2.4083026000002974</c:v>
                </c:pt>
                <c:pt idx="160">
                  <c:v>2.4243546000002425</c:v>
                </c:pt>
                <c:pt idx="161">
                  <c:v>2.4402967000000899</c:v>
                </c:pt>
                <c:pt idx="162">
                  <c:v>2.4554897000002711</c:v>
                </c:pt>
                <c:pt idx="163">
                  <c:v>2.4712208000000828</c:v>
                </c:pt>
                <c:pt idx="164">
                  <c:v>2.4867932000001929</c:v>
                </c:pt>
                <c:pt idx="165">
                  <c:v>2.5027567000001909</c:v>
                </c:pt>
                <c:pt idx="166">
                  <c:v>2.5181257000003825</c:v>
                </c:pt>
                <c:pt idx="167">
                  <c:v>2.5331108000000313</c:v>
                </c:pt>
                <c:pt idx="168">
                  <c:v>2.5489589000003434</c:v>
                </c:pt>
                <c:pt idx="169">
                  <c:v>2.5650508000003356</c:v>
                </c:pt>
                <c:pt idx="170">
                  <c:v>2.5803182000004199</c:v>
                </c:pt>
                <c:pt idx="171">
                  <c:v>2.5957627000002503</c:v>
                </c:pt>
                <c:pt idx="172">
                  <c:v>2.6111039000002165</c:v>
                </c:pt>
                <c:pt idx="173">
                  <c:v>2.6267086000002564</c:v>
                </c:pt>
                <c:pt idx="174">
                  <c:v>2.6419436000001042</c:v>
                </c:pt>
                <c:pt idx="175">
                  <c:v>2.6580228000002535</c:v>
                </c:pt>
                <c:pt idx="176">
                  <c:v>2.6738740000000689</c:v>
                </c:pt>
                <c:pt idx="177">
                  <c:v>2.6894137000003866</c:v>
                </c:pt>
                <c:pt idx="178">
                  <c:v>2.7046626000001197</c:v>
                </c:pt>
                <c:pt idx="179">
                  <c:v>2.7199347000000671</c:v>
                </c:pt>
                <c:pt idx="180">
                  <c:v>2.7358025000003181</c:v>
                </c:pt>
                <c:pt idx="181">
                  <c:v>2.7508734000002733</c:v>
                </c:pt>
                <c:pt idx="182">
                  <c:v>2.7659552000000076</c:v>
                </c:pt>
                <c:pt idx="183">
                  <c:v>2.7808774000000085</c:v>
                </c:pt>
                <c:pt idx="184">
                  <c:v>2.7956675000000359</c:v>
                </c:pt>
                <c:pt idx="185">
                  <c:v>2.811707800000022</c:v>
                </c:pt>
                <c:pt idx="186">
                  <c:v>2.8270329000001766</c:v>
                </c:pt>
                <c:pt idx="187">
                  <c:v>2.8423720000000685</c:v>
                </c:pt>
                <c:pt idx="188">
                  <c:v>2.858502700000372</c:v>
                </c:pt>
                <c:pt idx="189">
                  <c:v>2.8740185000001475</c:v>
                </c:pt>
                <c:pt idx="190">
                  <c:v>2.8900909000003594</c:v>
                </c:pt>
                <c:pt idx="191">
                  <c:v>2.9053735000002234</c:v>
                </c:pt>
                <c:pt idx="192">
                  <c:v>2.921306100000038</c:v>
                </c:pt>
                <c:pt idx="193">
                  <c:v>2.9369955000001937</c:v>
                </c:pt>
                <c:pt idx="194">
                  <c:v>2.9526253000003635</c:v>
                </c:pt>
                <c:pt idx="195">
                  <c:v>2.9675974000001588</c:v>
                </c:pt>
                <c:pt idx="196">
                  <c:v>2.9831733000000895</c:v>
                </c:pt>
                <c:pt idx="197">
                  <c:v>2.9984130000002551</c:v>
                </c:pt>
                <c:pt idx="198">
                  <c:v>3.0135693000001993</c:v>
                </c:pt>
                <c:pt idx="199">
                  <c:v>3.0290494000000763</c:v>
                </c:pt>
                <c:pt idx="200">
                  <c:v>3.0444785000004231</c:v>
                </c:pt>
                <c:pt idx="201">
                  <c:v>3.0598500000000968</c:v>
                </c:pt>
                <c:pt idx="202">
                  <c:v>3.0750644000004286</c:v>
                </c:pt>
                <c:pt idx="203">
                  <c:v>3.0904241000002912</c:v>
                </c:pt>
                <c:pt idx="204">
                  <c:v>3.1064377000002423</c:v>
                </c:pt>
                <c:pt idx="205">
                  <c:v>3.1225518000001102</c:v>
                </c:pt>
                <c:pt idx="206">
                  <c:v>3.138448800000333</c:v>
                </c:pt>
                <c:pt idx="207">
                  <c:v>3.1540184000000409</c:v>
                </c:pt>
                <c:pt idx="208">
                  <c:v>3.1689089999999851</c:v>
                </c:pt>
                <c:pt idx="209">
                  <c:v>3.1849315000004026</c:v>
                </c:pt>
                <c:pt idx="210">
                  <c:v>3.2003816000001279</c:v>
                </c:pt>
                <c:pt idx="211">
                  <c:v>3.2153074000002562</c:v>
                </c:pt>
                <c:pt idx="212">
                  <c:v>3.2629249999999956</c:v>
                </c:pt>
                <c:pt idx="213">
                  <c:v>3.2789824000001317</c:v>
                </c:pt>
                <c:pt idx="214">
                  <c:v>3.2943454000001111</c:v>
                </c:pt>
                <c:pt idx="215">
                  <c:v>3.3418642999999975</c:v>
                </c:pt>
                <c:pt idx="216">
                  <c:v>3.357551400000375</c:v>
                </c:pt>
                <c:pt idx="217">
                  <c:v>3.4502027000003181</c:v>
                </c:pt>
                <c:pt idx="218">
                  <c:v>3.466481400000248</c:v>
                </c:pt>
                <c:pt idx="219">
                  <c:v>3.4815856000000167</c:v>
                </c:pt>
                <c:pt idx="220">
                  <c:v>3.496932100000322</c:v>
                </c:pt>
                <c:pt idx="221">
                  <c:v>3.5277230000001509</c:v>
                </c:pt>
                <c:pt idx="222">
                  <c:v>3.5595329000002494</c:v>
                </c:pt>
                <c:pt idx="223">
                  <c:v>3.590596000000005</c:v>
                </c:pt>
                <c:pt idx="224">
                  <c:v>3.6220025000002352</c:v>
                </c:pt>
                <c:pt idx="225">
                  <c:v>3.6521181000002798</c:v>
                </c:pt>
                <c:pt idx="226">
                  <c:v>3.7453942000001916</c:v>
                </c:pt>
                <c:pt idx="227">
                  <c:v>3.7610059000003275</c:v>
                </c:pt>
                <c:pt idx="228">
                  <c:v>3.7763112000002366</c:v>
                </c:pt>
                <c:pt idx="229">
                  <c:v>3.7926324000000022</c:v>
                </c:pt>
                <c:pt idx="230">
                  <c:v>3.8087636000000202</c:v>
                </c:pt>
                <c:pt idx="231">
                  <c:v>3.8874061999999867</c:v>
                </c:pt>
                <c:pt idx="232">
                  <c:v>3.9030201000000488</c:v>
                </c:pt>
                <c:pt idx="233">
                  <c:v>3.9183447000000342</c:v>
                </c:pt>
                <c:pt idx="234">
                  <c:v>3.9338287000000491</c:v>
                </c:pt>
                <c:pt idx="235">
                  <c:v>3.9800678999999946</c:v>
                </c:pt>
                <c:pt idx="236">
                  <c:v>3.995798900000409</c:v>
                </c:pt>
                <c:pt idx="237">
                  <c:v>4.0423875999999836</c:v>
                </c:pt>
                <c:pt idx="238">
                  <c:v>4.0739817000003313</c:v>
                </c:pt>
                <c:pt idx="239">
                  <c:v>4.1044402000002265</c:v>
                </c:pt>
                <c:pt idx="240">
                  <c:v>4.1355275000000802</c:v>
                </c:pt>
                <c:pt idx="241">
                  <c:v>4.1654601000000184</c:v>
                </c:pt>
                <c:pt idx="242">
                  <c:v>4.1966453000000001</c:v>
                </c:pt>
                <c:pt idx="243">
                  <c:v>4.2278092000001379</c:v>
                </c:pt>
                <c:pt idx="244">
                  <c:v>4.2745982000001277</c:v>
                </c:pt>
                <c:pt idx="245">
                  <c:v>4.3050646000001507</c:v>
                </c:pt>
                <c:pt idx="246">
                  <c:v>4.3357205000002068</c:v>
                </c:pt>
                <c:pt idx="247">
                  <c:v>4.3668618000001516</c:v>
                </c:pt>
                <c:pt idx="248">
                  <c:v>4.3979300000000876</c:v>
                </c:pt>
                <c:pt idx="249">
                  <c:v>4.4284158000000389</c:v>
                </c:pt>
                <c:pt idx="250">
                  <c:v>4.4752190000003793</c:v>
                </c:pt>
                <c:pt idx="251">
                  <c:v>4.5070405000001301</c:v>
                </c:pt>
                <c:pt idx="252">
                  <c:v>4.5080405000001305</c:v>
                </c:pt>
                <c:pt idx="253">
                  <c:v>4.537615900000219</c:v>
                </c:pt>
                <c:pt idx="254">
                  <c:v>4.5528210000002218</c:v>
                </c:pt>
                <c:pt idx="255">
                  <c:v>4.5840331000003971</c:v>
                </c:pt>
                <c:pt idx="256">
                  <c:v>4.6146783000003779</c:v>
                </c:pt>
                <c:pt idx="257">
                  <c:v>4.6612142000003587</c:v>
                </c:pt>
                <c:pt idx="258">
                  <c:v>4.6927078000003348</c:v>
                </c:pt>
                <c:pt idx="259">
                  <c:v>4.7241723000001912</c:v>
                </c:pt>
                <c:pt idx="260">
                  <c:v>4.7552841000001536</c:v>
                </c:pt>
                <c:pt idx="261">
                  <c:v>4.7871487000002162</c:v>
                </c:pt>
                <c:pt idx="262">
                  <c:v>4.8184103000003233</c:v>
                </c:pt>
                <c:pt idx="263">
                  <c:v>4.8648840000000746</c:v>
                </c:pt>
                <c:pt idx="264">
                  <c:v>4.8959517000002961</c:v>
                </c:pt>
                <c:pt idx="265">
                  <c:v>4.9267509000001155</c:v>
                </c:pt>
                <c:pt idx="266">
                  <c:v>4.9738620000002811</c:v>
                </c:pt>
                <c:pt idx="267">
                  <c:v>4.9892149000002064</c:v>
                </c:pt>
                <c:pt idx="268">
                  <c:v>5.0212012000001778</c:v>
                </c:pt>
                <c:pt idx="269">
                  <c:v>5.0516725000002225</c:v>
                </c:pt>
                <c:pt idx="270">
                  <c:v>5.0827851000003648</c:v>
                </c:pt>
                <c:pt idx="271">
                  <c:v>5.1137316000003921</c:v>
                </c:pt>
                <c:pt idx="272">
                  <c:v>5.1452981000002183</c:v>
                </c:pt>
                <c:pt idx="273">
                  <c:v>5.1763471000003847</c:v>
                </c:pt>
                <c:pt idx="274">
                  <c:v>5.206453700000111</c:v>
                </c:pt>
                <c:pt idx="275">
                  <c:v>5.2538562000004276</c:v>
                </c:pt>
                <c:pt idx="276">
                  <c:v>5.2850330000001122</c:v>
                </c:pt>
                <c:pt idx="277">
                  <c:v>5.3151507000002312</c:v>
                </c:pt>
                <c:pt idx="278">
                  <c:v>5.3462414000000535</c:v>
                </c:pt>
                <c:pt idx="279">
                  <c:v>5.3769308000000819</c:v>
                </c:pt>
                <c:pt idx="280">
                  <c:v>5.4089211000000432</c:v>
                </c:pt>
                <c:pt idx="281">
                  <c:v>5.4551541000000725</c:v>
                </c:pt>
                <c:pt idx="282">
                  <c:v>5.4857228000000759</c:v>
                </c:pt>
                <c:pt idx="283">
                  <c:v>5.5166819000000942</c:v>
                </c:pt>
                <c:pt idx="284">
                  <c:v>5.5484199000002263</c:v>
                </c:pt>
                <c:pt idx="285">
                  <c:v>5.5797838000003139</c:v>
                </c:pt>
                <c:pt idx="286">
                  <c:v>5.6095580000001064</c:v>
                </c:pt>
                <c:pt idx="287">
                  <c:v>5.6410262000003968</c:v>
                </c:pt>
                <c:pt idx="288">
                  <c:v>5.6720820000000458</c:v>
                </c:pt>
                <c:pt idx="289">
                  <c:v>5.7036822000000029</c:v>
                </c:pt>
                <c:pt idx="290">
                  <c:v>5.7347582000002149</c:v>
                </c:pt>
                <c:pt idx="291">
                  <c:v>5.7660101999999824</c:v>
                </c:pt>
                <c:pt idx="292">
                  <c:v>5.7983756000003268</c:v>
                </c:pt>
                <c:pt idx="293">
                  <c:v>5.8292917000003399</c:v>
                </c:pt>
                <c:pt idx="294">
                  <c:v>5.8760879999999815</c:v>
                </c:pt>
                <c:pt idx="295">
                  <c:v>5.9069489000003159</c:v>
                </c:pt>
                <c:pt idx="296">
                  <c:v>5.9376335000001745</c:v>
                </c:pt>
                <c:pt idx="297">
                  <c:v>5.9686227000001963</c:v>
                </c:pt>
                <c:pt idx="298">
                  <c:v>5.999062700000195</c:v>
                </c:pt>
                <c:pt idx="299">
                  <c:v>6.0304338000000826</c:v>
                </c:pt>
                <c:pt idx="300">
                  <c:v>6.0618288000000575</c:v>
                </c:pt>
                <c:pt idx="301">
                  <c:v>6.0927022000000761</c:v>
                </c:pt>
                <c:pt idx="302">
                  <c:v>6.1397364000004018</c:v>
                </c:pt>
                <c:pt idx="303">
                  <c:v>6.1711775000003399</c:v>
                </c:pt>
                <c:pt idx="304">
                  <c:v>6.1872160000002623</c:v>
                </c:pt>
                <c:pt idx="305">
                  <c:v>6.2184366000001319</c:v>
                </c:pt>
                <c:pt idx="306">
                  <c:v>6.2489861000003657</c:v>
                </c:pt>
                <c:pt idx="307">
                  <c:v>6.2801828999999998</c:v>
                </c:pt>
                <c:pt idx="308">
                  <c:v>6.3263348000000406</c:v>
                </c:pt>
                <c:pt idx="309">
                  <c:v>6.3577290000002904</c:v>
                </c:pt>
                <c:pt idx="310">
                  <c:v>6.3879193000002488</c:v>
                </c:pt>
                <c:pt idx="311">
                  <c:v>6.4188283000003139</c:v>
                </c:pt>
                <c:pt idx="312">
                  <c:v>6.4498166000003039</c:v>
                </c:pt>
                <c:pt idx="313">
                  <c:v>6.4810206000001926</c:v>
                </c:pt>
                <c:pt idx="314">
                  <c:v>6.5271981000000778</c:v>
                </c:pt>
                <c:pt idx="315">
                  <c:v>6.5573610000001281</c:v>
                </c:pt>
                <c:pt idx="316">
                  <c:v>6.5885600000001432</c:v>
                </c:pt>
                <c:pt idx="317">
                  <c:v>6.6192061000001559</c:v>
                </c:pt>
                <c:pt idx="318">
                  <c:v>6.6495939999999791</c:v>
                </c:pt>
                <c:pt idx="319">
                  <c:v>6.6809850000004189</c:v>
                </c:pt>
                <c:pt idx="320">
                  <c:v>6.7279085000000123</c:v>
                </c:pt>
                <c:pt idx="321">
                  <c:v>6.7590113000001111</c:v>
                </c:pt>
                <c:pt idx="322">
                  <c:v>6.7899225000001024</c:v>
                </c:pt>
                <c:pt idx="323">
                  <c:v>6.8056283000000803</c:v>
                </c:pt>
                <c:pt idx="324">
                  <c:v>6.8376799000002393</c:v>
                </c:pt>
                <c:pt idx="325">
                  <c:v>6.8684104000003572</c:v>
                </c:pt>
                <c:pt idx="326">
                  <c:v>6.9149276000002828</c:v>
                </c:pt>
                <c:pt idx="327">
                  <c:v>6.946722900000168</c:v>
                </c:pt>
                <c:pt idx="328">
                  <c:v>6.9777452000002995</c:v>
                </c:pt>
                <c:pt idx="329">
                  <c:v>7.0080390000002808</c:v>
                </c:pt>
                <c:pt idx="330">
                  <c:v>7.039289700000154</c:v>
                </c:pt>
                <c:pt idx="331">
                  <c:v>7.0705900000002657</c:v>
                </c:pt>
                <c:pt idx="332">
                  <c:v>7.1177352000004248</c:v>
                </c:pt>
                <c:pt idx="333">
                  <c:v>7.149779700000181</c:v>
                </c:pt>
                <c:pt idx="334">
                  <c:v>7.1810393000000659</c:v>
                </c:pt>
                <c:pt idx="335">
                  <c:v>7.2121169000001828</c:v>
                </c:pt>
                <c:pt idx="336">
                  <c:v>7.2427593000002162</c:v>
                </c:pt>
                <c:pt idx="337">
                  <c:v>7.2730527000003349</c:v>
                </c:pt>
                <c:pt idx="338">
                  <c:v>7.3046481000001222</c:v>
                </c:pt>
                <c:pt idx="339">
                  <c:v>7.3364228000000367</c:v>
                </c:pt>
                <c:pt idx="340">
                  <c:v>7.367167000000336</c:v>
                </c:pt>
                <c:pt idx="341">
                  <c:v>7.3981877000001077</c:v>
                </c:pt>
                <c:pt idx="342">
                  <c:v>7.4297265000000152</c:v>
                </c:pt>
                <c:pt idx="343">
                  <c:v>7.4607101999999941</c:v>
                </c:pt>
                <c:pt idx="344">
                  <c:v>7.4922096000000238</c:v>
                </c:pt>
                <c:pt idx="345">
                  <c:v>7.5385995000001458</c:v>
                </c:pt>
                <c:pt idx="346">
                  <c:v>7.570056200000181</c:v>
                </c:pt>
                <c:pt idx="347">
                  <c:v>7.6007871000001614</c:v>
                </c:pt>
                <c:pt idx="348">
                  <c:v>7.6318452000000434</c:v>
                </c:pt>
                <c:pt idx="349">
                  <c:v>7.6628080000000409</c:v>
                </c:pt>
                <c:pt idx="350">
                  <c:v>7.693853300000228</c:v>
                </c:pt>
                <c:pt idx="351">
                  <c:v>7.740906300000006</c:v>
                </c:pt>
                <c:pt idx="352">
                  <c:v>7.7560024000003978</c:v>
                </c:pt>
                <c:pt idx="353">
                  <c:v>7.8027047000000493</c:v>
                </c:pt>
                <c:pt idx="354">
                  <c:v>7.818170800000189</c:v>
                </c:pt>
                <c:pt idx="355">
                  <c:v>7.849333900000147</c:v>
                </c:pt>
                <c:pt idx="356">
                  <c:v>7.8953836000000592</c:v>
                </c:pt>
                <c:pt idx="357">
                  <c:v>7.9105360000003202</c:v>
                </c:pt>
                <c:pt idx="358">
                  <c:v>7.9416419000003771</c:v>
                </c:pt>
                <c:pt idx="359">
                  <c:v>7.988133000000289</c:v>
                </c:pt>
                <c:pt idx="360">
                  <c:v>8.0195339000001695</c:v>
                </c:pt>
                <c:pt idx="361">
                  <c:v>8.0499366000003647</c:v>
                </c:pt>
                <c:pt idx="362">
                  <c:v>8.0813528000003316</c:v>
                </c:pt>
                <c:pt idx="363">
                  <c:v>8.1119710000002669</c:v>
                </c:pt>
                <c:pt idx="364">
                  <c:v>8.1418160000002899</c:v>
                </c:pt>
                <c:pt idx="365">
                  <c:v>8.1884018000000651</c:v>
                </c:pt>
                <c:pt idx="366">
                  <c:v>8.2195125000002918</c:v>
                </c:pt>
                <c:pt idx="367">
                  <c:v>8.2505235000003267</c:v>
                </c:pt>
                <c:pt idx="368">
                  <c:v>8.2813416000003599</c:v>
                </c:pt>
                <c:pt idx="369">
                  <c:v>8.3130092000001241</c:v>
                </c:pt>
                <c:pt idx="370">
                  <c:v>8.3439578000002257</c:v>
                </c:pt>
                <c:pt idx="371">
                  <c:v>8.3752976000000672</c:v>
                </c:pt>
                <c:pt idx="372">
                  <c:v>8.4216149000003497</c:v>
                </c:pt>
                <c:pt idx="373">
                  <c:v>8.435135100000025</c:v>
                </c:pt>
                <c:pt idx="374">
                  <c:v>8.4680778000001737</c:v>
                </c:pt>
                <c:pt idx="375">
                  <c:v>8.4993426000000909</c:v>
                </c:pt>
                <c:pt idx="376">
                  <c:v>8.5301843000002009</c:v>
                </c:pt>
                <c:pt idx="377">
                  <c:v>8.5311843000002003</c:v>
                </c:pt>
                <c:pt idx="378">
                  <c:v>8.5615048000004208</c:v>
                </c:pt>
                <c:pt idx="379">
                  <c:v>8.6084997000002659</c:v>
                </c:pt>
                <c:pt idx="380">
                  <c:v>8.6396508000002541</c:v>
                </c:pt>
                <c:pt idx="381">
                  <c:v>8.6708717999999863</c:v>
                </c:pt>
                <c:pt idx="382">
                  <c:v>8.7026233000001412</c:v>
                </c:pt>
                <c:pt idx="383">
                  <c:v>8.7334623000001557</c:v>
                </c:pt>
                <c:pt idx="384">
                  <c:v>8.7646595000001071</c:v>
                </c:pt>
                <c:pt idx="385">
                  <c:v>8.8111308000002282</c:v>
                </c:pt>
                <c:pt idx="386">
                  <c:v>8.8430741000001944</c:v>
                </c:pt>
                <c:pt idx="387">
                  <c:v>8.8728994000002785</c:v>
                </c:pt>
                <c:pt idx="388">
                  <c:v>8.9049598000001424</c:v>
                </c:pt>
                <c:pt idx="389">
                  <c:v>8.920539700000063</c:v>
                </c:pt>
                <c:pt idx="390">
                  <c:v>8.9517083000000639</c:v>
                </c:pt>
                <c:pt idx="391">
                  <c:v>8.9822482000004129</c:v>
                </c:pt>
                <c:pt idx="392">
                  <c:v>9.0298377000003711</c:v>
                </c:pt>
                <c:pt idx="393">
                  <c:v>9.0611833000002662</c:v>
                </c:pt>
                <c:pt idx="394">
                  <c:v>9.0922832000001108</c:v>
                </c:pt>
                <c:pt idx="395">
                  <c:v>9.12239610000006</c:v>
                </c:pt>
                <c:pt idx="396">
                  <c:v>9.1532780000002276</c:v>
                </c:pt>
                <c:pt idx="397">
                  <c:v>9.1842184000001907</c:v>
                </c:pt>
                <c:pt idx="398">
                  <c:v>9.2300111000004108</c:v>
                </c:pt>
                <c:pt idx="399">
                  <c:v>9.2606885000000148</c:v>
                </c:pt>
                <c:pt idx="400">
                  <c:v>9.291738500000065</c:v>
                </c:pt>
                <c:pt idx="401">
                  <c:v>9.3234608000002481</c:v>
                </c:pt>
                <c:pt idx="402">
                  <c:v>9.3695388000001003</c:v>
                </c:pt>
                <c:pt idx="403">
                  <c:v>9.4001502000000983</c:v>
                </c:pt>
                <c:pt idx="404">
                  <c:v>9.4309679000002689</c:v>
                </c:pt>
                <c:pt idx="405">
                  <c:v>9.4623018000002048</c:v>
                </c:pt>
                <c:pt idx="406">
                  <c:v>9.4935661000004075</c:v>
                </c:pt>
                <c:pt idx="407">
                  <c:v>9.5246996000000763</c:v>
                </c:pt>
                <c:pt idx="408">
                  <c:v>9.5554276000002574</c:v>
                </c:pt>
                <c:pt idx="409">
                  <c:v>9.5555276000002571</c:v>
                </c:pt>
                <c:pt idx="410">
                  <c:v>9.5856540000004316</c:v>
                </c:pt>
                <c:pt idx="411">
                  <c:v>9.6167265000003681</c:v>
                </c:pt>
                <c:pt idx="412">
                  <c:v>9.6474853000004259</c:v>
                </c:pt>
                <c:pt idx="413">
                  <c:v>9.6789674999999988</c:v>
                </c:pt>
                <c:pt idx="414">
                  <c:v>9.7094308000000638</c:v>
                </c:pt>
                <c:pt idx="415">
                  <c:v>9.7403956000002836</c:v>
                </c:pt>
                <c:pt idx="416">
                  <c:v>9.7720160000003489</c:v>
                </c:pt>
                <c:pt idx="417">
                  <c:v>9.8176916000002166</c:v>
                </c:pt>
                <c:pt idx="418">
                  <c:v>9.8488786000002619</c:v>
                </c:pt>
                <c:pt idx="419">
                  <c:v>9.8793074000000161</c:v>
                </c:pt>
                <c:pt idx="420">
                  <c:v>9.9106115000004138</c:v>
                </c:pt>
                <c:pt idx="421">
                  <c:v>9.9409724000001916</c:v>
                </c:pt>
                <c:pt idx="422">
                  <c:v>9.9728406000003815</c:v>
                </c:pt>
                <c:pt idx="423">
                  <c:v>10.004080200000317</c:v>
                </c:pt>
                <c:pt idx="424">
                  <c:v>10.052269700000124</c:v>
                </c:pt>
                <c:pt idx="425">
                  <c:v>10.067612800000006</c:v>
                </c:pt>
                <c:pt idx="426">
                  <c:v>10.098507600000175</c:v>
                </c:pt>
                <c:pt idx="427">
                  <c:v>10.129110700000183</c:v>
                </c:pt>
                <c:pt idx="428">
                  <c:v>10.159869600000093</c:v>
                </c:pt>
                <c:pt idx="429">
                  <c:v>10.191697800000384</c:v>
                </c:pt>
                <c:pt idx="430">
                  <c:v>10.223350500000379</c:v>
                </c:pt>
                <c:pt idx="431">
                  <c:v>10.317478700000265</c:v>
                </c:pt>
                <c:pt idx="432">
                  <c:v>10.333174900000358</c:v>
                </c:pt>
                <c:pt idx="433">
                  <c:v>10.348560300000372</c:v>
                </c:pt>
                <c:pt idx="434">
                  <c:v>10.36367700000028</c:v>
                </c:pt>
                <c:pt idx="435">
                  <c:v>10.410301700000218</c:v>
                </c:pt>
                <c:pt idx="436">
                  <c:v>10.58332960000007</c:v>
                </c:pt>
                <c:pt idx="437">
                  <c:v>10.598769900000207</c:v>
                </c:pt>
                <c:pt idx="438">
                  <c:v>10.614560700000311</c:v>
                </c:pt>
                <c:pt idx="439">
                  <c:v>10.63024680000035</c:v>
                </c:pt>
                <c:pt idx="440">
                  <c:v>10.645605100000012</c:v>
                </c:pt>
                <c:pt idx="441">
                  <c:v>10.661888300000101</c:v>
                </c:pt>
                <c:pt idx="442">
                  <c:v>10.67790260000038</c:v>
                </c:pt>
                <c:pt idx="443">
                  <c:v>10.693193000000065</c:v>
                </c:pt>
                <c:pt idx="444">
                  <c:v>10.709016600000268</c:v>
                </c:pt>
                <c:pt idx="445">
                  <c:v>10.724044000000049</c:v>
                </c:pt>
                <c:pt idx="446">
                  <c:v>10.756220200000371</c:v>
                </c:pt>
                <c:pt idx="447">
                  <c:v>10.787308800000119</c:v>
                </c:pt>
                <c:pt idx="448">
                  <c:v>10.833230000000185</c:v>
                </c:pt>
                <c:pt idx="449">
                  <c:v>10.848908600000414</c:v>
                </c:pt>
                <c:pt idx="450">
                  <c:v>10.895104500000343</c:v>
                </c:pt>
                <c:pt idx="451">
                  <c:v>10.926145600000382</c:v>
                </c:pt>
                <c:pt idx="452">
                  <c:v>10.942143000000215</c:v>
                </c:pt>
                <c:pt idx="453">
                  <c:v>10.973500700000386</c:v>
                </c:pt>
                <c:pt idx="454">
                  <c:v>11.019185500000276</c:v>
                </c:pt>
                <c:pt idx="455">
                  <c:v>11.034989600000245</c:v>
                </c:pt>
                <c:pt idx="456">
                  <c:v>11.082045999999991</c:v>
                </c:pt>
                <c:pt idx="457">
                  <c:v>11.1128262000002</c:v>
                </c:pt>
                <c:pt idx="458">
                  <c:v>11.143854800000099</c:v>
                </c:pt>
                <c:pt idx="459">
                  <c:v>11.175350700000308</c:v>
                </c:pt>
                <c:pt idx="460">
                  <c:v>11.206693400000404</c:v>
                </c:pt>
                <c:pt idx="461">
                  <c:v>11.237335799999983</c:v>
                </c:pt>
                <c:pt idx="462">
                  <c:v>11.284025600000405</c:v>
                </c:pt>
                <c:pt idx="463">
                  <c:v>11.314848700000312</c:v>
                </c:pt>
                <c:pt idx="464">
                  <c:v>11.345894600000065</c:v>
                </c:pt>
                <c:pt idx="465">
                  <c:v>11.377582900000107</c:v>
                </c:pt>
                <c:pt idx="466">
                  <c:v>11.408712500000092</c:v>
                </c:pt>
                <c:pt idx="467">
                  <c:v>11.424737800000003</c:v>
                </c:pt>
                <c:pt idx="468">
                  <c:v>11.47156490000043</c:v>
                </c:pt>
                <c:pt idx="469">
                  <c:v>11.502535600000101</c:v>
                </c:pt>
                <c:pt idx="470">
                  <c:v>11.534924500000216</c:v>
                </c:pt>
                <c:pt idx="471">
                  <c:v>11.565958300000148</c:v>
                </c:pt>
                <c:pt idx="472">
                  <c:v>11.59783920000018</c:v>
                </c:pt>
                <c:pt idx="473">
                  <c:v>11.644704600000296</c:v>
                </c:pt>
                <c:pt idx="474">
                  <c:v>11.675825900000291</c:v>
                </c:pt>
                <c:pt idx="475">
                  <c:v>11.706475600000431</c:v>
                </c:pt>
                <c:pt idx="476">
                  <c:v>11.737749000000349</c:v>
                </c:pt>
                <c:pt idx="477">
                  <c:v>11.76921160000029</c:v>
                </c:pt>
                <c:pt idx="478">
                  <c:v>11.800858600000083</c:v>
                </c:pt>
                <c:pt idx="479">
                  <c:v>11.832110300000295</c:v>
                </c:pt>
                <c:pt idx="480">
                  <c:v>11.847406900000351</c:v>
                </c:pt>
                <c:pt idx="481">
                  <c:v>11.894228900000144</c:v>
                </c:pt>
                <c:pt idx="482">
                  <c:v>11.92492110000012</c:v>
                </c:pt>
                <c:pt idx="483">
                  <c:v>11.955142800000431</c:v>
                </c:pt>
                <c:pt idx="484">
                  <c:v>12.000833200000216</c:v>
                </c:pt>
                <c:pt idx="485">
                  <c:v>12.016915900000186</c:v>
                </c:pt>
                <c:pt idx="486">
                  <c:v>12.063823899999988</c:v>
                </c:pt>
                <c:pt idx="487">
                  <c:v>12.094814100000349</c:v>
                </c:pt>
                <c:pt idx="488">
                  <c:v>12.125114600000416</c:v>
                </c:pt>
                <c:pt idx="489">
                  <c:v>12.15568790000043</c:v>
                </c:pt>
                <c:pt idx="490">
                  <c:v>12.186626400000023</c:v>
                </c:pt>
                <c:pt idx="491">
                  <c:v>12.218306000000211</c:v>
                </c:pt>
                <c:pt idx="492">
                  <c:v>12.249259600000187</c:v>
                </c:pt>
                <c:pt idx="493">
                  <c:v>12.296085400000266</c:v>
                </c:pt>
                <c:pt idx="494">
                  <c:v>12.326275300000361</c:v>
                </c:pt>
                <c:pt idx="495">
                  <c:v>12.357014600000184</c:v>
                </c:pt>
                <c:pt idx="496">
                  <c:v>12.388153500000044</c:v>
                </c:pt>
                <c:pt idx="497">
                  <c:v>12.4197750000003</c:v>
                </c:pt>
                <c:pt idx="498">
                  <c:v>12.451095400000213</c:v>
                </c:pt>
                <c:pt idx="499">
                  <c:v>12.482295500000419</c:v>
                </c:pt>
                <c:pt idx="500">
                  <c:v>12.513406000000032</c:v>
                </c:pt>
                <c:pt idx="501">
                  <c:v>12.545510300000387</c:v>
                </c:pt>
                <c:pt idx="502">
                  <c:v>12.576301700000386</c:v>
                </c:pt>
                <c:pt idx="503">
                  <c:v>12.607888900000034</c:v>
                </c:pt>
                <c:pt idx="504">
                  <c:v>12.638797200000226</c:v>
                </c:pt>
                <c:pt idx="505">
                  <c:v>12.670864300000176</c:v>
                </c:pt>
                <c:pt idx="506">
                  <c:v>12.702406300000348</c:v>
                </c:pt>
                <c:pt idx="507">
                  <c:v>12.748906799999986</c:v>
                </c:pt>
                <c:pt idx="508">
                  <c:v>12.780055300000186</c:v>
                </c:pt>
                <c:pt idx="509">
                  <c:v>12.810586700000385</c:v>
                </c:pt>
                <c:pt idx="510">
                  <c:v>12.840667400000257</c:v>
                </c:pt>
                <c:pt idx="511">
                  <c:v>12.87273660000028</c:v>
                </c:pt>
                <c:pt idx="512">
                  <c:v>12.919059700000162</c:v>
                </c:pt>
                <c:pt idx="513">
                  <c:v>12.950166000000081</c:v>
                </c:pt>
                <c:pt idx="514">
                  <c:v>12.965575600000193</c:v>
                </c:pt>
                <c:pt idx="515">
                  <c:v>12.996916700000384</c:v>
                </c:pt>
                <c:pt idx="516">
                  <c:v>13.027586500000325</c:v>
                </c:pt>
                <c:pt idx="517">
                  <c:v>13.058944500000052</c:v>
                </c:pt>
                <c:pt idx="518">
                  <c:v>13.089599500000077</c:v>
                </c:pt>
                <c:pt idx="519">
                  <c:v>13.136956600000303</c:v>
                </c:pt>
                <c:pt idx="520">
                  <c:v>13.167147800000294</c:v>
                </c:pt>
                <c:pt idx="521">
                  <c:v>13.197788200000105</c:v>
                </c:pt>
                <c:pt idx="522">
                  <c:v>13.243707000000086</c:v>
                </c:pt>
                <c:pt idx="523">
                  <c:v>13.30562800000007</c:v>
                </c:pt>
                <c:pt idx="524">
                  <c:v>13.320852300000297</c:v>
                </c:pt>
                <c:pt idx="525">
                  <c:v>13.336251400000037</c:v>
                </c:pt>
                <c:pt idx="526">
                  <c:v>13.367295000000013</c:v>
                </c:pt>
                <c:pt idx="527">
                  <c:v>13.397435500000029</c:v>
                </c:pt>
                <c:pt idx="528">
                  <c:v>13.429170900000372</c:v>
                </c:pt>
                <c:pt idx="529">
                  <c:v>13.460952700000234</c:v>
                </c:pt>
                <c:pt idx="530">
                  <c:v>13.492381000000023</c:v>
                </c:pt>
                <c:pt idx="531">
                  <c:v>13.523081499999989</c:v>
                </c:pt>
                <c:pt idx="532">
                  <c:v>13.555078700000195</c:v>
                </c:pt>
                <c:pt idx="533">
                  <c:v>13.587006100000053</c:v>
                </c:pt>
                <c:pt idx="534">
                  <c:v>13.619073000000299</c:v>
                </c:pt>
                <c:pt idx="535">
                  <c:v>13.650212200000169</c:v>
                </c:pt>
                <c:pt idx="536">
                  <c:v>13.681003300000157</c:v>
                </c:pt>
                <c:pt idx="537">
                  <c:v>13.712306100000205</c:v>
                </c:pt>
                <c:pt idx="538">
                  <c:v>13.758961900000031</c:v>
                </c:pt>
                <c:pt idx="539">
                  <c:v>13.789472500000102</c:v>
                </c:pt>
                <c:pt idx="540">
                  <c:v>13.822084700000232</c:v>
                </c:pt>
                <c:pt idx="541">
                  <c:v>13.852689600000303</c:v>
                </c:pt>
                <c:pt idx="542">
                  <c:v>13.883946300000389</c:v>
                </c:pt>
                <c:pt idx="543">
                  <c:v>13.914673300000231</c:v>
                </c:pt>
                <c:pt idx="544">
                  <c:v>13.945167700000184</c:v>
                </c:pt>
                <c:pt idx="545">
                  <c:v>13.992031400000087</c:v>
                </c:pt>
                <c:pt idx="546">
                  <c:v>14.023872700000084</c:v>
                </c:pt>
                <c:pt idx="547">
                  <c:v>14.054001299999982</c:v>
                </c:pt>
                <c:pt idx="548">
                  <c:v>14.069429500000297</c:v>
                </c:pt>
                <c:pt idx="549">
                  <c:v>14.100932499999999</c:v>
                </c:pt>
                <c:pt idx="550">
                  <c:v>14.14680670000007</c:v>
                </c:pt>
                <c:pt idx="551">
                  <c:v>14.17827780000016</c:v>
                </c:pt>
                <c:pt idx="552">
                  <c:v>14.209291300000132</c:v>
                </c:pt>
                <c:pt idx="553">
                  <c:v>14.240556100000049</c:v>
                </c:pt>
                <c:pt idx="554">
                  <c:v>14.271950000000288</c:v>
                </c:pt>
                <c:pt idx="555">
                  <c:v>14.303397800000312</c:v>
                </c:pt>
                <c:pt idx="556">
                  <c:v>14.333667700000206</c:v>
                </c:pt>
                <c:pt idx="557">
                  <c:v>14.380823100000271</c:v>
                </c:pt>
                <c:pt idx="558">
                  <c:v>14.411975400000301</c:v>
                </c:pt>
              </c:numCache>
            </c:numRef>
          </c:xVal>
          <c:yVal>
            <c:numRef>
              <c:f>'Maju 0.1'!$A$7:$A$565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655-4EFA-BC9E-C8AD233DD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928320"/>
        <c:axId val="1114430856"/>
      </c:scatterChart>
      <c:valAx>
        <c:axId val="809104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69760"/>
        <c:crosses val="autoZero"/>
        <c:crossBetween val="midCat"/>
      </c:valAx>
      <c:valAx>
        <c:axId val="46166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104904"/>
        <c:crosses val="autoZero"/>
        <c:crossBetween val="midCat"/>
      </c:valAx>
      <c:valAx>
        <c:axId val="1114430856"/>
        <c:scaling>
          <c:orientation val="minMax"/>
          <c:max val="12"/>
          <c:min val="-4.8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928320"/>
        <c:crosses val="max"/>
        <c:crossBetween val="midCat"/>
      </c:valAx>
      <c:valAx>
        <c:axId val="1297928320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1114430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'Maju 0.1'!$AL$6</c:f>
              <c:strCache>
                <c:ptCount val="1"/>
                <c:pt idx="0">
                  <c:v>Ouput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'Maju 0.1'!$AH$7:$AH$281</c:f>
              <c:numCache>
                <c:formatCode>0.000</c:formatCode>
                <c:ptCount val="275"/>
                <c:pt idx="0">
                  <c:v>0</c:v>
                </c:pt>
                <c:pt idx="1">
                  <c:v>4.6469800000068062E-2</c:v>
                </c:pt>
                <c:pt idx="2">
                  <c:v>7.7852299999904062E-2</c:v>
                </c:pt>
                <c:pt idx="3">
                  <c:v>9.4231900000067981E-2</c:v>
                </c:pt>
                <c:pt idx="4">
                  <c:v>0.14150169999993523</c:v>
                </c:pt>
                <c:pt idx="5">
                  <c:v>0.17293789999985165</c:v>
                </c:pt>
                <c:pt idx="6">
                  <c:v>0.18861689999994269</c:v>
                </c:pt>
                <c:pt idx="7">
                  <c:v>0.21978579999995418</c:v>
                </c:pt>
                <c:pt idx="8">
                  <c:v>0.25131430000010369</c:v>
                </c:pt>
                <c:pt idx="9">
                  <c:v>0.29707890000008774</c:v>
                </c:pt>
                <c:pt idx="10">
                  <c:v>0.32772759999988921</c:v>
                </c:pt>
                <c:pt idx="11">
                  <c:v>0.35926770000014585</c:v>
                </c:pt>
                <c:pt idx="12">
                  <c:v>0.39053250000006301</c:v>
                </c:pt>
                <c:pt idx="13">
                  <c:v>0.42212909999989279</c:v>
                </c:pt>
                <c:pt idx="14">
                  <c:v>0.45332139999982246</c:v>
                </c:pt>
                <c:pt idx="15">
                  <c:v>0.50003530000003593</c:v>
                </c:pt>
                <c:pt idx="16">
                  <c:v>0.52990460000000894</c:v>
                </c:pt>
                <c:pt idx="17">
                  <c:v>0.56111069999997198</c:v>
                </c:pt>
                <c:pt idx="18">
                  <c:v>0.59210650000022724</c:v>
                </c:pt>
                <c:pt idx="19">
                  <c:v>0.62388689999988856</c:v>
                </c:pt>
                <c:pt idx="20">
                  <c:v>0.65538250000008702</c:v>
                </c:pt>
                <c:pt idx="21">
                  <c:v>0.70138069999984509</c:v>
                </c:pt>
                <c:pt idx="22">
                  <c:v>0.73292600000013408</c:v>
                </c:pt>
                <c:pt idx="23">
                  <c:v>0.74824519999992845</c:v>
                </c:pt>
                <c:pt idx="24">
                  <c:v>0.79398609999998371</c:v>
                </c:pt>
                <c:pt idx="25">
                  <c:v>0.80959780000011961</c:v>
                </c:pt>
                <c:pt idx="26">
                  <c:v>0.84044600000015635</c:v>
                </c:pt>
                <c:pt idx="27">
                  <c:v>0.87168070000006992</c:v>
                </c:pt>
                <c:pt idx="28">
                  <c:v>0.9190481999999065</c:v>
                </c:pt>
                <c:pt idx="29">
                  <c:v>0.95023020000007818</c:v>
                </c:pt>
                <c:pt idx="30">
                  <c:v>0.98096369999984745</c:v>
                </c:pt>
                <c:pt idx="31">
                  <c:v>1.0274758000000475</c:v>
                </c:pt>
                <c:pt idx="32">
                  <c:v>1.0433778000001439</c:v>
                </c:pt>
                <c:pt idx="33">
                  <c:v>1.0741189000000304</c:v>
                </c:pt>
                <c:pt idx="34">
                  <c:v>1.1050556000000142</c:v>
                </c:pt>
                <c:pt idx="35">
                  <c:v>1.1504346000001533</c:v>
                </c:pt>
                <c:pt idx="36">
                  <c:v>1.1817449999998644</c:v>
                </c:pt>
                <c:pt idx="37">
                  <c:v>1.2133214999998927</c:v>
                </c:pt>
                <c:pt idx="38">
                  <c:v>1.2439577999998619</c:v>
                </c:pt>
                <c:pt idx="39">
                  <c:v>1.2752057000002424</c:v>
                </c:pt>
                <c:pt idx="40">
                  <c:v>1.307228799999848</c:v>
                </c:pt>
                <c:pt idx="41">
                  <c:v>1.3539307000000917</c:v>
                </c:pt>
                <c:pt idx="42">
                  <c:v>1.369579000000158</c:v>
                </c:pt>
                <c:pt idx="43">
                  <c:v>1.4005013999999392</c:v>
                </c:pt>
                <c:pt idx="44">
                  <c:v>1.4480591000001368</c:v>
                </c:pt>
                <c:pt idx="45">
                  <c:v>1.4633317000002535</c:v>
                </c:pt>
                <c:pt idx="46">
                  <c:v>1.5099764000001414</c:v>
                </c:pt>
                <c:pt idx="47">
                  <c:v>1.5410950000000412</c:v>
                </c:pt>
                <c:pt idx="48">
                  <c:v>1.5728069000001597</c:v>
                </c:pt>
                <c:pt idx="49">
                  <c:v>1.6049176999999872</c:v>
                </c:pt>
                <c:pt idx="50">
                  <c:v>1.6359381000002031</c:v>
                </c:pt>
                <c:pt idx="51">
                  <c:v>1.666913200000181</c:v>
                </c:pt>
                <c:pt idx="52">
                  <c:v>1.6978994999999486</c:v>
                </c:pt>
                <c:pt idx="53">
                  <c:v>1.7454100999998445</c:v>
                </c:pt>
                <c:pt idx="54">
                  <c:v>1.7615832000001319</c:v>
                </c:pt>
                <c:pt idx="55">
                  <c:v>1.7935683999999128</c:v>
                </c:pt>
                <c:pt idx="56">
                  <c:v>1.824997600000188</c:v>
                </c:pt>
                <c:pt idx="57">
                  <c:v>1.8568582000002607</c:v>
                </c:pt>
                <c:pt idx="58">
                  <c:v>1.888017199999922</c:v>
                </c:pt>
                <c:pt idx="59">
                  <c:v>1.9337639000000308</c:v>
                </c:pt>
                <c:pt idx="60">
                  <c:v>1.9651656000000912</c:v>
                </c:pt>
                <c:pt idx="61">
                  <c:v>1.9969618000000082</c:v>
                </c:pt>
                <c:pt idx="62">
                  <c:v>2.027914900000269</c:v>
                </c:pt>
                <c:pt idx="63">
                  <c:v>2.0590366000001268</c:v>
                </c:pt>
                <c:pt idx="64">
                  <c:v>2.0897423000001254</c:v>
                </c:pt>
                <c:pt idx="65">
                  <c:v>2.121407900000122</c:v>
                </c:pt>
                <c:pt idx="66">
                  <c:v>2.1681177999998908</c:v>
                </c:pt>
                <c:pt idx="67">
                  <c:v>2.1839257000001453</c:v>
                </c:pt>
                <c:pt idx="68">
                  <c:v>2.215086600000177</c:v>
                </c:pt>
                <c:pt idx="69">
                  <c:v>2.245915800000148</c:v>
                </c:pt>
                <c:pt idx="70">
                  <c:v>2.2767589000000044</c:v>
                </c:pt>
                <c:pt idx="71">
                  <c:v>2.3554048999999395</c:v>
                </c:pt>
                <c:pt idx="72">
                  <c:v>2.3712682000000314</c:v>
                </c:pt>
                <c:pt idx="73">
                  <c:v>2.3861381000001529</c:v>
                </c:pt>
                <c:pt idx="74">
                  <c:v>2.4169950999998946</c:v>
                </c:pt>
                <c:pt idx="75">
                  <c:v>2.4483733000001848</c:v>
                </c:pt>
                <c:pt idx="76">
                  <c:v>2.4946175000000039</c:v>
                </c:pt>
                <c:pt idx="77">
                  <c:v>2.5103517000002284</c:v>
                </c:pt>
                <c:pt idx="78">
                  <c:v>2.5412317999998777</c:v>
                </c:pt>
                <c:pt idx="79">
                  <c:v>2.5879121000002669</c:v>
                </c:pt>
                <c:pt idx="80">
                  <c:v>2.6191321999999673</c:v>
                </c:pt>
                <c:pt idx="81">
                  <c:v>2.6509202000002006</c:v>
                </c:pt>
                <c:pt idx="82">
                  <c:v>2.681750600000214</c:v>
                </c:pt>
                <c:pt idx="83">
                  <c:v>2.6971093000001929</c:v>
                </c:pt>
                <c:pt idx="84">
                  <c:v>2.7429284999998345</c:v>
                </c:pt>
                <c:pt idx="85">
                  <c:v>2.7741995999999745</c:v>
                </c:pt>
                <c:pt idx="86">
                  <c:v>2.8046932000002016</c:v>
                </c:pt>
                <c:pt idx="87">
                  <c:v>2.8356305000002067</c:v>
                </c:pt>
                <c:pt idx="88">
                  <c:v>2.8662721000000602</c:v>
                </c:pt>
                <c:pt idx="89">
                  <c:v>2.8966549000001578</c:v>
                </c:pt>
                <c:pt idx="90">
                  <c:v>2.927453400000104</c:v>
                </c:pt>
                <c:pt idx="91">
                  <c:v>2.9737550999998348</c:v>
                </c:pt>
                <c:pt idx="92">
                  <c:v>3.0047061000000213</c:v>
                </c:pt>
                <c:pt idx="93">
                  <c:v>3.034881999999925</c:v>
                </c:pt>
                <c:pt idx="94">
                  <c:v>3.0657074999999168</c:v>
                </c:pt>
                <c:pt idx="95">
                  <c:v>3.0963956999999027</c:v>
                </c:pt>
                <c:pt idx="96">
                  <c:v>3.1267480000001342</c:v>
                </c:pt>
                <c:pt idx="97">
                  <c:v>3.1583092000000761</c:v>
                </c:pt>
                <c:pt idx="98">
                  <c:v>3.1900107000001299</c:v>
                </c:pt>
                <c:pt idx="99">
                  <c:v>3.2355640000000676</c:v>
                </c:pt>
                <c:pt idx="100">
                  <c:v>3.2667058000001816</c:v>
                </c:pt>
                <c:pt idx="101">
                  <c:v>3.2979309000002104</c:v>
                </c:pt>
                <c:pt idx="102">
                  <c:v>3.3143915000000561</c:v>
                </c:pt>
                <c:pt idx="103">
                  <c:v>3.3594730999998319</c:v>
                </c:pt>
                <c:pt idx="104">
                  <c:v>3.4063584000000446</c:v>
                </c:pt>
                <c:pt idx="105">
                  <c:v>3.4222961000000396</c:v>
                </c:pt>
                <c:pt idx="106">
                  <c:v>3.4523109000001568</c:v>
                </c:pt>
                <c:pt idx="107">
                  <c:v>3.4835891000002448</c:v>
                </c:pt>
                <c:pt idx="108">
                  <c:v>3.5146688999998332</c:v>
                </c:pt>
                <c:pt idx="109">
                  <c:v>3.5613435000000209</c:v>
                </c:pt>
                <c:pt idx="110">
                  <c:v>3.5765463000002455</c:v>
                </c:pt>
                <c:pt idx="111">
                  <c:v>3.6385973000001286</c:v>
                </c:pt>
                <c:pt idx="112">
                  <c:v>3.6546696999998858</c:v>
                </c:pt>
                <c:pt idx="113">
                  <c:v>3.6853205000002163</c:v>
                </c:pt>
                <c:pt idx="114">
                  <c:v>3.7154801000001498</c:v>
                </c:pt>
                <c:pt idx="115">
                  <c:v>3.7463053999999829</c:v>
                </c:pt>
                <c:pt idx="116">
                  <c:v>3.7765804000000571</c:v>
                </c:pt>
                <c:pt idx="117">
                  <c:v>3.8235494000000472</c:v>
                </c:pt>
                <c:pt idx="118">
                  <c:v>3.855959200000143</c:v>
                </c:pt>
                <c:pt idx="119">
                  <c:v>3.8874160000000302</c:v>
                </c:pt>
                <c:pt idx="120">
                  <c:v>3.9188499000001684</c:v>
                </c:pt>
                <c:pt idx="121">
                  <c:v>3.9656927999999425</c:v>
                </c:pt>
                <c:pt idx="122">
                  <c:v>3.9969046000001072</c:v>
                </c:pt>
                <c:pt idx="123">
                  <c:v>4.0130294999999023</c:v>
                </c:pt>
                <c:pt idx="124">
                  <c:v>4.0450654999999642</c:v>
                </c:pt>
                <c:pt idx="125">
                  <c:v>4.0759108000002016</c:v>
                </c:pt>
                <c:pt idx="126">
                  <c:v>4.1069501000001765</c:v>
                </c:pt>
                <c:pt idx="127">
                  <c:v>4.138668300000063</c:v>
                </c:pt>
                <c:pt idx="128">
                  <c:v>4.1692874999998821</c:v>
                </c:pt>
                <c:pt idx="129">
                  <c:v>4.2156368000000839</c:v>
                </c:pt>
                <c:pt idx="130">
                  <c:v>4.2469062999998641</c:v>
                </c:pt>
                <c:pt idx="131">
                  <c:v>4.2777743999999984</c:v>
                </c:pt>
                <c:pt idx="132">
                  <c:v>4.3090989000002082</c:v>
                </c:pt>
                <c:pt idx="133">
                  <c:v>4.3403845000002548</c:v>
                </c:pt>
                <c:pt idx="134">
                  <c:v>4.3710399999999936</c:v>
                </c:pt>
                <c:pt idx="135">
                  <c:v>4.4171341000001121</c:v>
                </c:pt>
                <c:pt idx="136">
                  <c:v>4.4476101000000199</c:v>
                </c:pt>
                <c:pt idx="137">
                  <c:v>4.4793479999998453</c:v>
                </c:pt>
                <c:pt idx="138">
                  <c:v>4.5098818999999821</c:v>
                </c:pt>
                <c:pt idx="139">
                  <c:v>4.5256804000000557</c:v>
                </c:pt>
                <c:pt idx="140">
                  <c:v>4.5578450000002704</c:v>
                </c:pt>
                <c:pt idx="141">
                  <c:v>4.5895076000001609</c:v>
                </c:pt>
                <c:pt idx="142">
                  <c:v>4.6351328999999168</c:v>
                </c:pt>
                <c:pt idx="143">
                  <c:v>4.6667075000000295</c:v>
                </c:pt>
                <c:pt idx="144">
                  <c:v>4.6973170000001119</c:v>
                </c:pt>
                <c:pt idx="145">
                  <c:v>4.7279305000001841</c:v>
                </c:pt>
                <c:pt idx="146">
                  <c:v>4.7597414000001663</c:v>
                </c:pt>
                <c:pt idx="147">
                  <c:v>4.7908545000000231</c:v>
                </c:pt>
                <c:pt idx="148">
                  <c:v>4.8372150000000147</c:v>
                </c:pt>
                <c:pt idx="149">
                  <c:v>4.8688990000000558</c:v>
                </c:pt>
                <c:pt idx="150">
                  <c:v>4.9000504000000547</c:v>
                </c:pt>
                <c:pt idx="151">
                  <c:v>4.9310412999998334</c:v>
                </c:pt>
                <c:pt idx="152">
                  <c:v>4.9627012999999351</c:v>
                </c:pt>
                <c:pt idx="153">
                  <c:v>4.9933851000000686</c:v>
                </c:pt>
                <c:pt idx="154">
                  <c:v>5.0244375000002037</c:v>
                </c:pt>
                <c:pt idx="155">
                  <c:v>5.0564386999999442</c:v>
                </c:pt>
                <c:pt idx="156">
                  <c:v>5.087730300000203</c:v>
                </c:pt>
                <c:pt idx="157">
                  <c:v>5.1190780000001723</c:v>
                </c:pt>
                <c:pt idx="158">
                  <c:v>5.1503078999999161</c:v>
                </c:pt>
                <c:pt idx="159">
                  <c:v>5.1808774000000994</c:v>
                </c:pt>
                <c:pt idx="160">
                  <c:v>5.2269455999999082</c:v>
                </c:pt>
                <c:pt idx="161">
                  <c:v>5.2424138999999741</c:v>
                </c:pt>
                <c:pt idx="162">
                  <c:v>5.2880860999998731</c:v>
                </c:pt>
                <c:pt idx="163">
                  <c:v>5.3192776999999296</c:v>
                </c:pt>
                <c:pt idx="164">
                  <c:v>5.3503872000001138</c:v>
                </c:pt>
                <c:pt idx="165">
                  <c:v>5.381358900000123</c:v>
                </c:pt>
                <c:pt idx="166">
                  <c:v>5.4274018999999498</c:v>
                </c:pt>
                <c:pt idx="167">
                  <c:v>5.5048436000001857</c:v>
                </c:pt>
                <c:pt idx="168">
                  <c:v>5.5210603000000447</c:v>
                </c:pt>
                <c:pt idx="169">
                  <c:v>5.5527351000000635</c:v>
                </c:pt>
                <c:pt idx="170">
                  <c:v>5.5682078999998339</c:v>
                </c:pt>
                <c:pt idx="171">
                  <c:v>5.5995965000001888</c:v>
                </c:pt>
                <c:pt idx="172">
                  <c:v>5.6303763999999319</c:v>
                </c:pt>
                <c:pt idx="173">
                  <c:v>5.6762059000002409</c:v>
                </c:pt>
                <c:pt idx="174">
                  <c:v>5.7069228999998813</c:v>
                </c:pt>
                <c:pt idx="175">
                  <c:v>5.7384043000001839</c:v>
                </c:pt>
                <c:pt idx="176">
                  <c:v>5.7701198999998269</c:v>
                </c:pt>
                <c:pt idx="177">
                  <c:v>5.8006375999998454</c:v>
                </c:pt>
                <c:pt idx="178">
                  <c:v>5.8310596999999689</c:v>
                </c:pt>
                <c:pt idx="179">
                  <c:v>5.8535784000000604</c:v>
                </c:pt>
                <c:pt idx="180">
                  <c:v>5.9091207999999824</c:v>
                </c:pt>
                <c:pt idx="181">
                  <c:v>5.9387451000002329</c:v>
                </c:pt>
                <c:pt idx="182">
                  <c:v>5.9700742999998511</c:v>
                </c:pt>
                <c:pt idx="183">
                  <c:v>6.0011484000001474</c:v>
                </c:pt>
                <c:pt idx="184">
                  <c:v>6.0319017000001622</c:v>
                </c:pt>
                <c:pt idx="185">
                  <c:v>6.06295050000017</c:v>
                </c:pt>
                <c:pt idx="186">
                  <c:v>6.0940009000000828</c:v>
                </c:pt>
                <c:pt idx="187">
                  <c:v>6.140916500000003</c:v>
                </c:pt>
                <c:pt idx="188">
                  <c:v>6.1722528000000239</c:v>
                </c:pt>
                <c:pt idx="189">
                  <c:v>6.1876345000000583</c:v>
                </c:pt>
                <c:pt idx="190">
                  <c:v>6.2347376000002441</c:v>
                </c:pt>
                <c:pt idx="191">
                  <c:v>6.2657075000001896</c:v>
                </c:pt>
                <c:pt idx="192">
                  <c:v>6.29658900000004</c:v>
                </c:pt>
                <c:pt idx="193">
                  <c:v>6.3283738999998604</c:v>
                </c:pt>
                <c:pt idx="194">
                  <c:v>6.3601717999999892</c:v>
                </c:pt>
                <c:pt idx="195">
                  <c:v>6.3914264999998522</c:v>
                </c:pt>
                <c:pt idx="196">
                  <c:v>6.4378710000000865</c:v>
                </c:pt>
                <c:pt idx="197">
                  <c:v>6.4687715000000026</c:v>
                </c:pt>
                <c:pt idx="198">
                  <c:v>6.4993058999998539</c:v>
                </c:pt>
                <c:pt idx="199">
                  <c:v>6.5302740000001904</c:v>
                </c:pt>
                <c:pt idx="200">
                  <c:v>6.5614295999998831</c:v>
                </c:pt>
                <c:pt idx="201">
                  <c:v>6.5920375999999123</c:v>
                </c:pt>
              </c:numCache>
            </c:numRef>
          </c:xVal>
          <c:yVal>
            <c:numRef>
              <c:f>'Maju 0.1'!$AL$7:$AL$281</c:f>
              <c:numCache>
                <c:formatCode>0.000</c:formatCode>
                <c:ptCount val="275"/>
                <c:pt idx="0">
                  <c:v>5.9798057142856997</c:v>
                </c:pt>
                <c:pt idx="1">
                  <c:v>5.6297999999999995</c:v>
                </c:pt>
                <c:pt idx="2">
                  <c:v>5.1297599999999974</c:v>
                </c:pt>
                <c:pt idx="3">
                  <c:v>4.6087600000000002</c:v>
                </c:pt>
                <c:pt idx="4">
                  <c:v>4.0667999999999971</c:v>
                </c:pt>
                <c:pt idx="5">
                  <c:v>3.6604799999999997</c:v>
                </c:pt>
                <c:pt idx="6">
                  <c:v>3.2332000000000001</c:v>
                </c:pt>
                <c:pt idx="7">
                  <c:v>2.7849599999999981</c:v>
                </c:pt>
                <c:pt idx="8">
                  <c:v>2.3105199999999968</c:v>
                </c:pt>
                <c:pt idx="9">
                  <c:v>1.8203599999999973</c:v>
                </c:pt>
                <c:pt idx="10">
                  <c:v>1.3092399999999991</c:v>
                </c:pt>
                <c:pt idx="11">
                  <c:v>0.78763999999999967</c:v>
                </c:pt>
                <c:pt idx="12">
                  <c:v>0.24507999999999797</c:v>
                </c:pt>
                <c:pt idx="13">
                  <c:v>0</c:v>
                </c:pt>
                <c:pt idx="14">
                  <c:v>0.20375999999999905</c:v>
                </c:pt>
                <c:pt idx="15">
                  <c:v>0.37607999999999819</c:v>
                </c:pt>
                <c:pt idx="16">
                  <c:v>0.51695999999999742</c:v>
                </c:pt>
                <c:pt idx="17">
                  <c:v>0.63163999999999731</c:v>
                </c:pt>
                <c:pt idx="18">
                  <c:v>0.72535999999999845</c:v>
                </c:pt>
                <c:pt idx="19">
                  <c:v>0.79811999999999728</c:v>
                </c:pt>
                <c:pt idx="20">
                  <c:v>0.8603999999999985</c:v>
                </c:pt>
                <c:pt idx="21">
                  <c:v>0.92267999999999972</c:v>
                </c:pt>
                <c:pt idx="22">
                  <c:v>1.0998399999999968</c:v>
                </c:pt>
                <c:pt idx="23">
                  <c:v>1.2769999999999975</c:v>
                </c:pt>
                <c:pt idx="24">
                  <c:v>1.351285714285698</c:v>
                </c:pt>
                <c:pt idx="25">
                  <c:v>1.4412914285714002</c:v>
                </c:pt>
                <c:pt idx="26">
                  <c:v>1.4203314285713979</c:v>
                </c:pt>
                <c:pt idx="27">
                  <c:v>1.4308114285713991</c:v>
                </c:pt>
                <c:pt idx="28">
                  <c:v>1.4727314285714002</c:v>
                </c:pt>
                <c:pt idx="29">
                  <c:v>1.540851428571397</c:v>
                </c:pt>
                <c:pt idx="30">
                  <c:v>1.4733314285713988</c:v>
                </c:pt>
                <c:pt idx="31">
                  <c:v>1.4267714285713993</c:v>
                </c:pt>
                <c:pt idx="32">
                  <c:v>1.2930571428571973</c:v>
                </c:pt>
                <c:pt idx="33">
                  <c:v>1.169822857142897</c:v>
                </c:pt>
                <c:pt idx="34">
                  <c:v>1.1756628571428998</c:v>
                </c:pt>
                <c:pt idx="35">
                  <c:v>1.1762628571428984</c:v>
                </c:pt>
                <c:pt idx="36">
                  <c:v>1.1559028571428982</c:v>
                </c:pt>
                <c:pt idx="37">
                  <c:v>1.1198228571428999</c:v>
                </c:pt>
                <c:pt idx="38">
                  <c:v>1.0575428571428986</c:v>
                </c:pt>
                <c:pt idx="39">
                  <c:v>0.97954285714289924</c:v>
                </c:pt>
                <c:pt idx="40">
                  <c:v>0.89106285714289868</c:v>
                </c:pt>
                <c:pt idx="41">
                  <c:v>0.79734285714289754</c:v>
                </c:pt>
                <c:pt idx="42">
                  <c:v>0.69314285714289881</c:v>
                </c:pt>
                <c:pt idx="43">
                  <c:v>0.57322285714289833</c:v>
                </c:pt>
                <c:pt idx="44">
                  <c:v>0.44806285714289729</c:v>
                </c:pt>
                <c:pt idx="45">
                  <c:v>0.30718285714289806</c:v>
                </c:pt>
                <c:pt idx="46">
                  <c:v>0.1401028571428995</c:v>
                </c:pt>
                <c:pt idx="47">
                  <c:v>0.23654285714289713</c:v>
                </c:pt>
                <c:pt idx="48">
                  <c:v>0.31202285714289957</c:v>
                </c:pt>
                <c:pt idx="49">
                  <c:v>0.36130285714289911</c:v>
                </c:pt>
                <c:pt idx="50">
                  <c:v>0.78898285714289784</c:v>
                </c:pt>
                <c:pt idx="51">
                  <c:v>1.3381085714285987</c:v>
                </c:pt>
                <c:pt idx="52">
                  <c:v>1.9901085714285998</c:v>
                </c:pt>
                <c:pt idx="53">
                  <c:v>2.6263885714285991</c:v>
                </c:pt>
                <c:pt idx="54">
                  <c:v>3.2417085714285996</c:v>
                </c:pt>
                <c:pt idx="55">
                  <c:v>3.8360685714285978</c:v>
                </c:pt>
                <c:pt idx="56">
                  <c:v>4.4042285714286002</c:v>
                </c:pt>
                <c:pt idx="57">
                  <c:v>5.0385828571428988</c:v>
                </c:pt>
                <c:pt idx="58">
                  <c:v>5.6362571428571009</c:v>
                </c:pt>
                <c:pt idx="59">
                  <c:v>6.0681771428571984</c:v>
                </c:pt>
                <c:pt idx="60">
                  <c:v>6.4634171428571001</c:v>
                </c:pt>
                <c:pt idx="61">
                  <c:v>6.8219771428571967</c:v>
                </c:pt>
                <c:pt idx="62">
                  <c:v>7.5432171428570989</c:v>
                </c:pt>
                <c:pt idx="63">
                  <c:v>8.4757771428571012</c:v>
                </c:pt>
                <c:pt idx="64">
                  <c:v>9.5230171428571957</c:v>
                </c:pt>
                <c:pt idx="65">
                  <c:v>10.694091428571401</c:v>
                </c:pt>
                <c:pt idx="66">
                  <c:v>11.828485714285701</c:v>
                </c:pt>
                <c:pt idx="67">
                  <c:v>12.957640000000001</c:v>
                </c:pt>
                <c:pt idx="68">
                  <c:v>14.081554285714301</c:v>
                </c:pt>
                <c:pt idx="69">
                  <c:v>15.092114285714299</c:v>
                </c:pt>
                <c:pt idx="70">
                  <c:v>16.107914285714298</c:v>
                </c:pt>
                <c:pt idx="71">
                  <c:v>17.123714285714296</c:v>
                </c:pt>
                <c:pt idx="72">
                  <c:v>17.7349142857143</c:v>
                </c:pt>
                <c:pt idx="73">
                  <c:v>18.346114285714297</c:v>
                </c:pt>
                <c:pt idx="74">
                  <c:v>18.967794285714302</c:v>
                </c:pt>
                <c:pt idx="75">
                  <c:v>19.195354285714298</c:v>
                </c:pt>
                <c:pt idx="76">
                  <c:v>19.422914285714295</c:v>
                </c:pt>
                <c:pt idx="77">
                  <c:v>19.650474285714299</c:v>
                </c:pt>
                <c:pt idx="78">
                  <c:v>19.867554285714295</c:v>
                </c:pt>
                <c:pt idx="79">
                  <c:v>19.966039999999996</c:v>
                </c:pt>
                <c:pt idx="80">
                  <c:v>20.172639999999998</c:v>
                </c:pt>
                <c:pt idx="81">
                  <c:v>20.363519999999998</c:v>
                </c:pt>
                <c:pt idx="82">
                  <c:v>20.711000000000002</c:v>
                </c:pt>
                <c:pt idx="83">
                  <c:v>21.290759999999995</c:v>
                </c:pt>
                <c:pt idx="84">
                  <c:v>22.248920000000002</c:v>
                </c:pt>
                <c:pt idx="85">
                  <c:v>23.222799999999996</c:v>
                </c:pt>
                <c:pt idx="86">
                  <c:v>24.196679999999997</c:v>
                </c:pt>
                <c:pt idx="87">
                  <c:v>24.771199999999997</c:v>
                </c:pt>
                <c:pt idx="88">
                  <c:v>25.102959999999999</c:v>
                </c:pt>
                <c:pt idx="89">
                  <c:v>25.283359999999998</c:v>
                </c:pt>
                <c:pt idx="90">
                  <c:v>25.313725714285699</c:v>
                </c:pt>
                <c:pt idx="91">
                  <c:v>25.3493314285714</c:v>
                </c:pt>
                <c:pt idx="92">
                  <c:v>25.995617142857196</c:v>
                </c:pt>
                <c:pt idx="93">
                  <c:v>26.782782857142902</c:v>
                </c:pt>
                <c:pt idx="94">
                  <c:v>27.646622857142898</c:v>
                </c:pt>
                <c:pt idx="95">
                  <c:v>28.463302857142896</c:v>
                </c:pt>
                <c:pt idx="96">
                  <c:v>29.248542857142898</c:v>
                </c:pt>
                <c:pt idx="97">
                  <c:v>29.981382857142901</c:v>
                </c:pt>
                <c:pt idx="98">
                  <c:v>30.667062857142898</c:v>
                </c:pt>
                <c:pt idx="99">
                  <c:v>31.300342857142898</c:v>
                </c:pt>
                <c:pt idx="100">
                  <c:v>32.0483028571429</c:v>
                </c:pt>
                <c:pt idx="101">
                  <c:v>33.375502857142905</c:v>
                </c:pt>
                <c:pt idx="102">
                  <c:v>34.660782857142905</c:v>
                </c:pt>
                <c:pt idx="103">
                  <c:v>35.904142857142901</c:v>
                </c:pt>
                <c:pt idx="104">
                  <c:v>37.224177142857201</c:v>
                </c:pt>
                <c:pt idx="105">
                  <c:v>38.388937142857202</c:v>
                </c:pt>
                <c:pt idx="106">
                  <c:v>40.15389714285719</c:v>
                </c:pt>
                <c:pt idx="107">
                  <c:v>41.89789714285719</c:v>
                </c:pt>
                <c:pt idx="108">
                  <c:v>43.491531428571392</c:v>
                </c:pt>
                <c:pt idx="109">
                  <c:v>44.567211428571397</c:v>
                </c:pt>
                <c:pt idx="110">
                  <c:v>45.600971428571398</c:v>
                </c:pt>
                <c:pt idx="111">
                  <c:v>46.619011428571397</c:v>
                </c:pt>
                <c:pt idx="112">
                  <c:v>47.621331428571395</c:v>
                </c:pt>
                <c:pt idx="113">
                  <c:v>48.7265257142857</c:v>
                </c:pt>
                <c:pt idx="114">
                  <c:v>49.974125714285691</c:v>
                </c:pt>
                <c:pt idx="115">
                  <c:v>51.7227657142857</c:v>
                </c:pt>
                <c:pt idx="116">
                  <c:v>53.450445714285692</c:v>
                </c:pt>
                <c:pt idx="117">
                  <c:v>54.520285714285691</c:v>
                </c:pt>
                <c:pt idx="118">
                  <c:v>55.704805714285698</c:v>
                </c:pt>
                <c:pt idx="119">
                  <c:v>57.082405714285798</c:v>
                </c:pt>
                <c:pt idx="120">
                  <c:v>58.618131428571388</c:v>
                </c:pt>
                <c:pt idx="121">
                  <c:v>60.13813714285719</c:v>
                </c:pt>
                <c:pt idx="122">
                  <c:v>61.64766285714289</c:v>
                </c:pt>
                <c:pt idx="123">
                  <c:v>63.14670857142859</c:v>
                </c:pt>
                <c:pt idx="124">
                  <c:v>64.759108571428598</c:v>
                </c:pt>
                <c:pt idx="125">
                  <c:v>66.193948571428592</c:v>
                </c:pt>
                <c:pt idx="126">
                  <c:v>67.785388571428598</c:v>
                </c:pt>
                <c:pt idx="127">
                  <c:v>69.361108571428602</c:v>
                </c:pt>
                <c:pt idx="128">
                  <c:v>70.926348571428591</c:v>
                </c:pt>
                <c:pt idx="129">
                  <c:v>72.475868571428592</c:v>
                </c:pt>
                <c:pt idx="130">
                  <c:v>74.409028571428195</c:v>
                </c:pt>
                <c:pt idx="131">
                  <c:v>76.078468571428189</c:v>
                </c:pt>
                <c:pt idx="132">
                  <c:v>77.570348571428198</c:v>
                </c:pt>
                <c:pt idx="133">
                  <c:v>78.969834285714199</c:v>
                </c:pt>
                <c:pt idx="134">
                  <c:v>80.42503428571419</c:v>
                </c:pt>
                <c:pt idx="135">
                  <c:v>81.906434285714198</c:v>
                </c:pt>
                <c:pt idx="136">
                  <c:v>83.497274285714198</c:v>
                </c:pt>
                <c:pt idx="137">
                  <c:v>85.704034285714201</c:v>
                </c:pt>
                <c:pt idx="138">
                  <c:v>87.760759999999195</c:v>
                </c:pt>
                <c:pt idx="139">
                  <c:v>89.638399999999194</c:v>
                </c:pt>
                <c:pt idx="140">
                  <c:v>90.994039999999188</c:v>
                </c:pt>
                <c:pt idx="141">
                  <c:v>93.008845714285201</c:v>
                </c:pt>
                <c:pt idx="142">
                  <c:v>95.126525714285194</c:v>
                </c:pt>
                <c:pt idx="143">
                  <c:v>96.925765714285191</c:v>
                </c:pt>
                <c:pt idx="144">
                  <c:v>98.490005714285189</c:v>
                </c:pt>
                <c:pt idx="145">
                  <c:v>99.864679999999197</c:v>
                </c:pt>
                <c:pt idx="146">
                  <c:v>101.71963428571421</c:v>
                </c:pt>
                <c:pt idx="147">
                  <c:v>103.8668285714282</c:v>
                </c:pt>
                <c:pt idx="148">
                  <c:v>106.00878285714221</c:v>
                </c:pt>
                <c:pt idx="149">
                  <c:v>108.01642285714219</c:v>
                </c:pt>
                <c:pt idx="150">
                  <c:v>110.01882285714218</c:v>
                </c:pt>
                <c:pt idx="151">
                  <c:v>111.63758285714219</c:v>
                </c:pt>
                <c:pt idx="152">
                  <c:v>113.6661828571422</c:v>
                </c:pt>
                <c:pt idx="153">
                  <c:v>115.6790628571422</c:v>
                </c:pt>
                <c:pt idx="154">
                  <c:v>117.68146285714219</c:v>
                </c:pt>
                <c:pt idx="155">
                  <c:v>119.2792628571422</c:v>
                </c:pt>
                <c:pt idx="156">
                  <c:v>120.9137428571422</c:v>
                </c:pt>
                <c:pt idx="157">
                  <c:v>122.93186285714221</c:v>
                </c:pt>
                <c:pt idx="158">
                  <c:v>124.9133028571422</c:v>
                </c:pt>
                <c:pt idx="159">
                  <c:v>126.92618285714219</c:v>
                </c:pt>
                <c:pt idx="160">
                  <c:v>128.89190285714221</c:v>
                </c:pt>
                <c:pt idx="161">
                  <c:v>131.34838285714221</c:v>
                </c:pt>
                <c:pt idx="162">
                  <c:v>133.32458285714222</c:v>
                </c:pt>
                <c:pt idx="163">
                  <c:v>135.30602285714221</c:v>
                </c:pt>
                <c:pt idx="164">
                  <c:v>137.28222285714222</c:v>
                </c:pt>
                <c:pt idx="165">
                  <c:v>139.2322228571422</c:v>
                </c:pt>
                <c:pt idx="166">
                  <c:v>140.5020971428572</c:v>
                </c:pt>
                <c:pt idx="167">
                  <c:v>142.45209714285622</c:v>
                </c:pt>
                <c:pt idx="168">
                  <c:v>144.39685714285721</c:v>
                </c:pt>
                <c:pt idx="169">
                  <c:v>146.3363771428572</c:v>
                </c:pt>
                <c:pt idx="170">
                  <c:v>148.27589714285622</c:v>
                </c:pt>
                <c:pt idx="171">
                  <c:v>150.52337714285721</c:v>
                </c:pt>
                <c:pt idx="172">
                  <c:v>152.46813714285722</c:v>
                </c:pt>
                <c:pt idx="173">
                  <c:v>154.4076571428572</c:v>
                </c:pt>
                <c:pt idx="174">
                  <c:v>156.34717714285722</c:v>
                </c:pt>
                <c:pt idx="175">
                  <c:v>158.28145714285722</c:v>
                </c:pt>
                <c:pt idx="176">
                  <c:v>160.20001714285721</c:v>
                </c:pt>
                <c:pt idx="177">
                  <c:v>162.09761714285722</c:v>
                </c:pt>
                <c:pt idx="178">
                  <c:v>164.00045714285721</c:v>
                </c:pt>
                <c:pt idx="179">
                  <c:v>165.92425714285721</c:v>
                </c:pt>
                <c:pt idx="180">
                  <c:v>168.32289714285722</c:v>
                </c:pt>
                <c:pt idx="181">
                  <c:v>170.5884171428572</c:v>
                </c:pt>
                <c:pt idx="182">
                  <c:v>172.46505714285721</c:v>
                </c:pt>
                <c:pt idx="183">
                  <c:v>174.35217714285722</c:v>
                </c:pt>
                <c:pt idx="184">
                  <c:v>176.2497771428572</c:v>
                </c:pt>
                <c:pt idx="185">
                  <c:v>178.15785714285721</c:v>
                </c:pt>
                <c:pt idx="186">
                  <c:v>179.5738514285712</c:v>
                </c:pt>
                <c:pt idx="187">
                  <c:v>181.52909142857121</c:v>
                </c:pt>
                <c:pt idx="188">
                  <c:v>183.49481142857121</c:v>
                </c:pt>
                <c:pt idx="189">
                  <c:v>185.4762514285712</c:v>
                </c:pt>
                <c:pt idx="190">
                  <c:v>187.47341142857121</c:v>
                </c:pt>
                <c:pt idx="191">
                  <c:v>189.48105142857122</c:v>
                </c:pt>
                <c:pt idx="192">
                  <c:v>191.38057714285722</c:v>
                </c:pt>
                <c:pt idx="193">
                  <c:v>193.41441714285722</c:v>
                </c:pt>
                <c:pt idx="194">
                  <c:v>195.4639771428572</c:v>
                </c:pt>
                <c:pt idx="195">
                  <c:v>197.5292571428572</c:v>
                </c:pt>
                <c:pt idx="196">
                  <c:v>198.81153714285722</c:v>
                </c:pt>
                <c:pt idx="197">
                  <c:v>200.12001714285722</c:v>
                </c:pt>
                <c:pt idx="198">
                  <c:v>201.74713714285721</c:v>
                </c:pt>
                <c:pt idx="199">
                  <c:v>203.6249771428572</c:v>
                </c:pt>
                <c:pt idx="200">
                  <c:v>205.8579371428572</c:v>
                </c:pt>
                <c:pt idx="201">
                  <c:v>207.72297714285722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C7-41EF-BBA8-D6E3C3B7039C}"/>
            </c:ext>
          </c:extLst>
        </c:ser>
        <c:ser>
          <c:idx val="2"/>
          <c:order val="1"/>
          <c:tx>
            <c:strRef>
              <c:f>'Maju 0.1'!$AM$6</c:f>
              <c:strCache>
                <c:ptCount val="1"/>
                <c:pt idx="0">
                  <c:v>Model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'Maju 0.1'!$AH$7:$AH$281</c:f>
              <c:numCache>
                <c:formatCode>0.000</c:formatCode>
                <c:ptCount val="275"/>
                <c:pt idx="0">
                  <c:v>0</c:v>
                </c:pt>
                <c:pt idx="1">
                  <c:v>4.6469800000068062E-2</c:v>
                </c:pt>
                <c:pt idx="2">
                  <c:v>7.7852299999904062E-2</c:v>
                </c:pt>
                <c:pt idx="3">
                  <c:v>9.4231900000067981E-2</c:v>
                </c:pt>
                <c:pt idx="4">
                  <c:v>0.14150169999993523</c:v>
                </c:pt>
                <c:pt idx="5">
                  <c:v>0.17293789999985165</c:v>
                </c:pt>
                <c:pt idx="6">
                  <c:v>0.18861689999994269</c:v>
                </c:pt>
                <c:pt idx="7">
                  <c:v>0.21978579999995418</c:v>
                </c:pt>
                <c:pt idx="8">
                  <c:v>0.25131430000010369</c:v>
                </c:pt>
                <c:pt idx="9">
                  <c:v>0.29707890000008774</c:v>
                </c:pt>
                <c:pt idx="10">
                  <c:v>0.32772759999988921</c:v>
                </c:pt>
                <c:pt idx="11">
                  <c:v>0.35926770000014585</c:v>
                </c:pt>
                <c:pt idx="12">
                  <c:v>0.39053250000006301</c:v>
                </c:pt>
                <c:pt idx="13">
                  <c:v>0.42212909999989279</c:v>
                </c:pt>
                <c:pt idx="14">
                  <c:v>0.45332139999982246</c:v>
                </c:pt>
                <c:pt idx="15">
                  <c:v>0.50003530000003593</c:v>
                </c:pt>
                <c:pt idx="16">
                  <c:v>0.52990460000000894</c:v>
                </c:pt>
                <c:pt idx="17">
                  <c:v>0.56111069999997198</c:v>
                </c:pt>
                <c:pt idx="18">
                  <c:v>0.59210650000022724</c:v>
                </c:pt>
                <c:pt idx="19">
                  <c:v>0.62388689999988856</c:v>
                </c:pt>
                <c:pt idx="20">
                  <c:v>0.65538250000008702</c:v>
                </c:pt>
                <c:pt idx="21">
                  <c:v>0.70138069999984509</c:v>
                </c:pt>
                <c:pt idx="22">
                  <c:v>0.73292600000013408</c:v>
                </c:pt>
                <c:pt idx="23">
                  <c:v>0.74824519999992845</c:v>
                </c:pt>
                <c:pt idx="24">
                  <c:v>0.79398609999998371</c:v>
                </c:pt>
                <c:pt idx="25">
                  <c:v>0.80959780000011961</c:v>
                </c:pt>
                <c:pt idx="26">
                  <c:v>0.84044600000015635</c:v>
                </c:pt>
                <c:pt idx="27">
                  <c:v>0.87168070000006992</c:v>
                </c:pt>
                <c:pt idx="28">
                  <c:v>0.9190481999999065</c:v>
                </c:pt>
                <c:pt idx="29">
                  <c:v>0.95023020000007818</c:v>
                </c:pt>
                <c:pt idx="30">
                  <c:v>0.98096369999984745</c:v>
                </c:pt>
                <c:pt idx="31">
                  <c:v>1.0274758000000475</c:v>
                </c:pt>
                <c:pt idx="32">
                  <c:v>1.0433778000001439</c:v>
                </c:pt>
                <c:pt idx="33">
                  <c:v>1.0741189000000304</c:v>
                </c:pt>
                <c:pt idx="34">
                  <c:v>1.1050556000000142</c:v>
                </c:pt>
                <c:pt idx="35">
                  <c:v>1.1504346000001533</c:v>
                </c:pt>
                <c:pt idx="36">
                  <c:v>1.1817449999998644</c:v>
                </c:pt>
                <c:pt idx="37">
                  <c:v>1.2133214999998927</c:v>
                </c:pt>
                <c:pt idx="38">
                  <c:v>1.2439577999998619</c:v>
                </c:pt>
                <c:pt idx="39">
                  <c:v>1.2752057000002424</c:v>
                </c:pt>
                <c:pt idx="40">
                  <c:v>1.307228799999848</c:v>
                </c:pt>
                <c:pt idx="41">
                  <c:v>1.3539307000000917</c:v>
                </c:pt>
                <c:pt idx="42">
                  <c:v>1.369579000000158</c:v>
                </c:pt>
                <c:pt idx="43">
                  <c:v>1.4005013999999392</c:v>
                </c:pt>
                <c:pt idx="44">
                  <c:v>1.4480591000001368</c:v>
                </c:pt>
                <c:pt idx="45">
                  <c:v>1.4633317000002535</c:v>
                </c:pt>
                <c:pt idx="46">
                  <c:v>1.5099764000001414</c:v>
                </c:pt>
                <c:pt idx="47">
                  <c:v>1.5410950000000412</c:v>
                </c:pt>
                <c:pt idx="48">
                  <c:v>1.5728069000001597</c:v>
                </c:pt>
                <c:pt idx="49">
                  <c:v>1.6049176999999872</c:v>
                </c:pt>
                <c:pt idx="50">
                  <c:v>1.6359381000002031</c:v>
                </c:pt>
                <c:pt idx="51">
                  <c:v>1.666913200000181</c:v>
                </c:pt>
                <c:pt idx="52">
                  <c:v>1.6978994999999486</c:v>
                </c:pt>
                <c:pt idx="53">
                  <c:v>1.7454100999998445</c:v>
                </c:pt>
                <c:pt idx="54">
                  <c:v>1.7615832000001319</c:v>
                </c:pt>
                <c:pt idx="55">
                  <c:v>1.7935683999999128</c:v>
                </c:pt>
                <c:pt idx="56">
                  <c:v>1.824997600000188</c:v>
                </c:pt>
                <c:pt idx="57">
                  <c:v>1.8568582000002607</c:v>
                </c:pt>
                <c:pt idx="58">
                  <c:v>1.888017199999922</c:v>
                </c:pt>
                <c:pt idx="59">
                  <c:v>1.9337639000000308</c:v>
                </c:pt>
                <c:pt idx="60">
                  <c:v>1.9651656000000912</c:v>
                </c:pt>
                <c:pt idx="61">
                  <c:v>1.9969618000000082</c:v>
                </c:pt>
                <c:pt idx="62">
                  <c:v>2.027914900000269</c:v>
                </c:pt>
                <c:pt idx="63">
                  <c:v>2.0590366000001268</c:v>
                </c:pt>
                <c:pt idx="64">
                  <c:v>2.0897423000001254</c:v>
                </c:pt>
                <c:pt idx="65">
                  <c:v>2.121407900000122</c:v>
                </c:pt>
                <c:pt idx="66">
                  <c:v>2.1681177999998908</c:v>
                </c:pt>
                <c:pt idx="67">
                  <c:v>2.1839257000001453</c:v>
                </c:pt>
                <c:pt idx="68">
                  <c:v>2.215086600000177</c:v>
                </c:pt>
                <c:pt idx="69">
                  <c:v>2.245915800000148</c:v>
                </c:pt>
                <c:pt idx="70">
                  <c:v>2.2767589000000044</c:v>
                </c:pt>
                <c:pt idx="71">
                  <c:v>2.3554048999999395</c:v>
                </c:pt>
                <c:pt idx="72">
                  <c:v>2.3712682000000314</c:v>
                </c:pt>
                <c:pt idx="73">
                  <c:v>2.3861381000001529</c:v>
                </c:pt>
                <c:pt idx="74">
                  <c:v>2.4169950999998946</c:v>
                </c:pt>
                <c:pt idx="75">
                  <c:v>2.4483733000001848</c:v>
                </c:pt>
                <c:pt idx="76">
                  <c:v>2.4946175000000039</c:v>
                </c:pt>
                <c:pt idx="77">
                  <c:v>2.5103517000002284</c:v>
                </c:pt>
                <c:pt idx="78">
                  <c:v>2.5412317999998777</c:v>
                </c:pt>
                <c:pt idx="79">
                  <c:v>2.5879121000002669</c:v>
                </c:pt>
                <c:pt idx="80">
                  <c:v>2.6191321999999673</c:v>
                </c:pt>
                <c:pt idx="81">
                  <c:v>2.6509202000002006</c:v>
                </c:pt>
                <c:pt idx="82">
                  <c:v>2.681750600000214</c:v>
                </c:pt>
                <c:pt idx="83">
                  <c:v>2.6971093000001929</c:v>
                </c:pt>
                <c:pt idx="84">
                  <c:v>2.7429284999998345</c:v>
                </c:pt>
                <c:pt idx="85">
                  <c:v>2.7741995999999745</c:v>
                </c:pt>
                <c:pt idx="86">
                  <c:v>2.8046932000002016</c:v>
                </c:pt>
                <c:pt idx="87">
                  <c:v>2.8356305000002067</c:v>
                </c:pt>
                <c:pt idx="88">
                  <c:v>2.8662721000000602</c:v>
                </c:pt>
                <c:pt idx="89">
                  <c:v>2.8966549000001578</c:v>
                </c:pt>
                <c:pt idx="90">
                  <c:v>2.927453400000104</c:v>
                </c:pt>
                <c:pt idx="91">
                  <c:v>2.9737550999998348</c:v>
                </c:pt>
                <c:pt idx="92">
                  <c:v>3.0047061000000213</c:v>
                </c:pt>
                <c:pt idx="93">
                  <c:v>3.034881999999925</c:v>
                </c:pt>
                <c:pt idx="94">
                  <c:v>3.0657074999999168</c:v>
                </c:pt>
                <c:pt idx="95">
                  <c:v>3.0963956999999027</c:v>
                </c:pt>
                <c:pt idx="96">
                  <c:v>3.1267480000001342</c:v>
                </c:pt>
                <c:pt idx="97">
                  <c:v>3.1583092000000761</c:v>
                </c:pt>
                <c:pt idx="98">
                  <c:v>3.1900107000001299</c:v>
                </c:pt>
                <c:pt idx="99">
                  <c:v>3.2355640000000676</c:v>
                </c:pt>
                <c:pt idx="100">
                  <c:v>3.2667058000001816</c:v>
                </c:pt>
                <c:pt idx="101">
                  <c:v>3.2979309000002104</c:v>
                </c:pt>
                <c:pt idx="102">
                  <c:v>3.3143915000000561</c:v>
                </c:pt>
                <c:pt idx="103">
                  <c:v>3.3594730999998319</c:v>
                </c:pt>
                <c:pt idx="104">
                  <c:v>3.4063584000000446</c:v>
                </c:pt>
                <c:pt idx="105">
                  <c:v>3.4222961000000396</c:v>
                </c:pt>
                <c:pt idx="106">
                  <c:v>3.4523109000001568</c:v>
                </c:pt>
                <c:pt idx="107">
                  <c:v>3.4835891000002448</c:v>
                </c:pt>
                <c:pt idx="108">
                  <c:v>3.5146688999998332</c:v>
                </c:pt>
                <c:pt idx="109">
                  <c:v>3.5613435000000209</c:v>
                </c:pt>
                <c:pt idx="110">
                  <c:v>3.5765463000002455</c:v>
                </c:pt>
                <c:pt idx="111">
                  <c:v>3.6385973000001286</c:v>
                </c:pt>
                <c:pt idx="112">
                  <c:v>3.6546696999998858</c:v>
                </c:pt>
                <c:pt idx="113">
                  <c:v>3.6853205000002163</c:v>
                </c:pt>
                <c:pt idx="114">
                  <c:v>3.7154801000001498</c:v>
                </c:pt>
                <c:pt idx="115">
                  <c:v>3.7463053999999829</c:v>
                </c:pt>
                <c:pt idx="116">
                  <c:v>3.7765804000000571</c:v>
                </c:pt>
                <c:pt idx="117">
                  <c:v>3.8235494000000472</c:v>
                </c:pt>
                <c:pt idx="118">
                  <c:v>3.855959200000143</c:v>
                </c:pt>
                <c:pt idx="119">
                  <c:v>3.8874160000000302</c:v>
                </c:pt>
                <c:pt idx="120">
                  <c:v>3.9188499000001684</c:v>
                </c:pt>
                <c:pt idx="121">
                  <c:v>3.9656927999999425</c:v>
                </c:pt>
                <c:pt idx="122">
                  <c:v>3.9969046000001072</c:v>
                </c:pt>
                <c:pt idx="123">
                  <c:v>4.0130294999999023</c:v>
                </c:pt>
                <c:pt idx="124">
                  <c:v>4.0450654999999642</c:v>
                </c:pt>
                <c:pt idx="125">
                  <c:v>4.0759108000002016</c:v>
                </c:pt>
                <c:pt idx="126">
                  <c:v>4.1069501000001765</c:v>
                </c:pt>
                <c:pt idx="127">
                  <c:v>4.138668300000063</c:v>
                </c:pt>
                <c:pt idx="128">
                  <c:v>4.1692874999998821</c:v>
                </c:pt>
                <c:pt idx="129">
                  <c:v>4.2156368000000839</c:v>
                </c:pt>
                <c:pt idx="130">
                  <c:v>4.2469062999998641</c:v>
                </c:pt>
                <c:pt idx="131">
                  <c:v>4.2777743999999984</c:v>
                </c:pt>
                <c:pt idx="132">
                  <c:v>4.3090989000002082</c:v>
                </c:pt>
                <c:pt idx="133">
                  <c:v>4.3403845000002548</c:v>
                </c:pt>
                <c:pt idx="134">
                  <c:v>4.3710399999999936</c:v>
                </c:pt>
                <c:pt idx="135">
                  <c:v>4.4171341000001121</c:v>
                </c:pt>
                <c:pt idx="136">
                  <c:v>4.4476101000000199</c:v>
                </c:pt>
                <c:pt idx="137">
                  <c:v>4.4793479999998453</c:v>
                </c:pt>
                <c:pt idx="138">
                  <c:v>4.5098818999999821</c:v>
                </c:pt>
                <c:pt idx="139">
                  <c:v>4.5256804000000557</c:v>
                </c:pt>
                <c:pt idx="140">
                  <c:v>4.5578450000002704</c:v>
                </c:pt>
                <c:pt idx="141">
                  <c:v>4.5895076000001609</c:v>
                </c:pt>
                <c:pt idx="142">
                  <c:v>4.6351328999999168</c:v>
                </c:pt>
                <c:pt idx="143">
                  <c:v>4.6667075000000295</c:v>
                </c:pt>
                <c:pt idx="144">
                  <c:v>4.6973170000001119</c:v>
                </c:pt>
                <c:pt idx="145">
                  <c:v>4.7279305000001841</c:v>
                </c:pt>
                <c:pt idx="146">
                  <c:v>4.7597414000001663</c:v>
                </c:pt>
                <c:pt idx="147">
                  <c:v>4.7908545000000231</c:v>
                </c:pt>
                <c:pt idx="148">
                  <c:v>4.8372150000000147</c:v>
                </c:pt>
                <c:pt idx="149">
                  <c:v>4.8688990000000558</c:v>
                </c:pt>
                <c:pt idx="150">
                  <c:v>4.9000504000000547</c:v>
                </c:pt>
                <c:pt idx="151">
                  <c:v>4.9310412999998334</c:v>
                </c:pt>
                <c:pt idx="152">
                  <c:v>4.9627012999999351</c:v>
                </c:pt>
                <c:pt idx="153">
                  <c:v>4.9933851000000686</c:v>
                </c:pt>
                <c:pt idx="154">
                  <c:v>5.0244375000002037</c:v>
                </c:pt>
                <c:pt idx="155">
                  <c:v>5.0564386999999442</c:v>
                </c:pt>
                <c:pt idx="156">
                  <c:v>5.087730300000203</c:v>
                </c:pt>
                <c:pt idx="157">
                  <c:v>5.1190780000001723</c:v>
                </c:pt>
                <c:pt idx="158">
                  <c:v>5.1503078999999161</c:v>
                </c:pt>
                <c:pt idx="159">
                  <c:v>5.1808774000000994</c:v>
                </c:pt>
                <c:pt idx="160">
                  <c:v>5.2269455999999082</c:v>
                </c:pt>
                <c:pt idx="161">
                  <c:v>5.2424138999999741</c:v>
                </c:pt>
                <c:pt idx="162">
                  <c:v>5.2880860999998731</c:v>
                </c:pt>
                <c:pt idx="163">
                  <c:v>5.3192776999999296</c:v>
                </c:pt>
                <c:pt idx="164">
                  <c:v>5.3503872000001138</c:v>
                </c:pt>
                <c:pt idx="165">
                  <c:v>5.381358900000123</c:v>
                </c:pt>
                <c:pt idx="166">
                  <c:v>5.4274018999999498</c:v>
                </c:pt>
                <c:pt idx="167">
                  <c:v>5.5048436000001857</c:v>
                </c:pt>
                <c:pt idx="168">
                  <c:v>5.5210603000000447</c:v>
                </c:pt>
                <c:pt idx="169">
                  <c:v>5.5527351000000635</c:v>
                </c:pt>
                <c:pt idx="170">
                  <c:v>5.5682078999998339</c:v>
                </c:pt>
                <c:pt idx="171">
                  <c:v>5.5995965000001888</c:v>
                </c:pt>
                <c:pt idx="172">
                  <c:v>5.6303763999999319</c:v>
                </c:pt>
                <c:pt idx="173">
                  <c:v>5.6762059000002409</c:v>
                </c:pt>
                <c:pt idx="174">
                  <c:v>5.7069228999998813</c:v>
                </c:pt>
                <c:pt idx="175">
                  <c:v>5.7384043000001839</c:v>
                </c:pt>
                <c:pt idx="176">
                  <c:v>5.7701198999998269</c:v>
                </c:pt>
                <c:pt idx="177">
                  <c:v>5.8006375999998454</c:v>
                </c:pt>
                <c:pt idx="178">
                  <c:v>5.8310596999999689</c:v>
                </c:pt>
                <c:pt idx="179">
                  <c:v>5.8535784000000604</c:v>
                </c:pt>
                <c:pt idx="180">
                  <c:v>5.9091207999999824</c:v>
                </c:pt>
                <c:pt idx="181">
                  <c:v>5.9387451000002329</c:v>
                </c:pt>
                <c:pt idx="182">
                  <c:v>5.9700742999998511</c:v>
                </c:pt>
                <c:pt idx="183">
                  <c:v>6.0011484000001474</c:v>
                </c:pt>
                <c:pt idx="184">
                  <c:v>6.0319017000001622</c:v>
                </c:pt>
                <c:pt idx="185">
                  <c:v>6.06295050000017</c:v>
                </c:pt>
                <c:pt idx="186">
                  <c:v>6.0940009000000828</c:v>
                </c:pt>
                <c:pt idx="187">
                  <c:v>6.140916500000003</c:v>
                </c:pt>
                <c:pt idx="188">
                  <c:v>6.1722528000000239</c:v>
                </c:pt>
                <c:pt idx="189">
                  <c:v>6.1876345000000583</c:v>
                </c:pt>
                <c:pt idx="190">
                  <c:v>6.2347376000002441</c:v>
                </c:pt>
                <c:pt idx="191">
                  <c:v>6.2657075000001896</c:v>
                </c:pt>
                <c:pt idx="192">
                  <c:v>6.29658900000004</c:v>
                </c:pt>
                <c:pt idx="193">
                  <c:v>6.3283738999998604</c:v>
                </c:pt>
                <c:pt idx="194">
                  <c:v>6.3601717999999892</c:v>
                </c:pt>
                <c:pt idx="195">
                  <c:v>6.3914264999998522</c:v>
                </c:pt>
                <c:pt idx="196">
                  <c:v>6.4378710000000865</c:v>
                </c:pt>
                <c:pt idx="197">
                  <c:v>6.4687715000000026</c:v>
                </c:pt>
                <c:pt idx="198">
                  <c:v>6.4993058999998539</c:v>
                </c:pt>
                <c:pt idx="199">
                  <c:v>6.5302740000001904</c:v>
                </c:pt>
                <c:pt idx="200">
                  <c:v>6.5614295999998831</c:v>
                </c:pt>
                <c:pt idx="201">
                  <c:v>6.5920375999999123</c:v>
                </c:pt>
              </c:numCache>
            </c:numRef>
          </c:xVal>
          <c:yVal>
            <c:numRef>
              <c:f>'Maju 0.1'!$AM$7:$AM$281</c:f>
              <c:numCache>
                <c:formatCode>0.000</c:formatCode>
                <c:ptCount val="27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6.4653915286677251E-3</c:v>
                </c:pt>
                <c:pt idx="41">
                  <c:v>7.1735473712489173E-2</c:v>
                </c:pt>
                <c:pt idx="42">
                  <c:v>0.10908933392427418</c:v>
                </c:pt>
                <c:pt idx="43">
                  <c:v>0.20537814998363305</c:v>
                </c:pt>
                <c:pt idx="44">
                  <c:v>0.41074097566191592</c:v>
                </c:pt>
                <c:pt idx="45">
                  <c:v>0.49116998793824318</c:v>
                </c:pt>
                <c:pt idx="46">
                  <c:v>0.77954243818703417</c:v>
                </c:pt>
                <c:pt idx="47">
                  <c:v>1.0071382126495199</c:v>
                </c:pt>
                <c:pt idx="48">
                  <c:v>1.2675003615065847</c:v>
                </c:pt>
                <c:pt idx="49">
                  <c:v>1.559882768963387</c:v>
                </c:pt>
                <c:pt idx="50">
                  <c:v>1.8693411716710933</c:v>
                </c:pt>
                <c:pt idx="51">
                  <c:v>2.2043841362876182</c:v>
                </c:pt>
                <c:pt idx="52">
                  <c:v>2.5651489570080619</c:v>
                </c:pt>
                <c:pt idx="53">
                  <c:v>3.1670630499712482</c:v>
                </c:pt>
                <c:pt idx="54">
                  <c:v>3.3852003097367236</c:v>
                </c:pt>
                <c:pt idx="55">
                  <c:v>3.8360686365249506</c:v>
                </c:pt>
                <c:pt idx="56">
                  <c:v>4.3039255542701955</c:v>
                </c:pt>
                <c:pt idx="57">
                  <c:v>4.802895799837982</c:v>
                </c:pt>
                <c:pt idx="58">
                  <c:v>5.3145187224191091</c:v>
                </c:pt>
                <c:pt idx="59">
                  <c:v>6.1072056408099327</c:v>
                </c:pt>
                <c:pt idx="60">
                  <c:v>6.6793779391449224</c:v>
                </c:pt>
                <c:pt idx="61">
                  <c:v>7.2815555652696062</c:v>
                </c:pt>
                <c:pt idx="62">
                  <c:v>7.8894508563132844</c:v>
                </c:pt>
                <c:pt idx="63">
                  <c:v>8.5218655519733879</c:v>
                </c:pt>
                <c:pt idx="64">
                  <c:v>9.166323973178331</c:v>
                </c:pt>
                <c:pt idx="65">
                  <c:v>9.8518980077597558</c:v>
                </c:pt>
                <c:pt idx="66">
                  <c:v>10.90130283388395</c:v>
                </c:pt>
                <c:pt idx="67">
                  <c:v>11.266566661334116</c:v>
                </c:pt>
                <c:pt idx="68">
                  <c:v>12.00131559605583</c:v>
                </c:pt>
                <c:pt idx="69">
                  <c:v>12.747213767245489</c:v>
                </c:pt>
                <c:pt idx="70">
                  <c:v>13.512017931786298</c:v>
                </c:pt>
                <c:pt idx="71">
                  <c:v>15.544148194374598</c:v>
                </c:pt>
                <c:pt idx="72">
                  <c:v>15.967994312709223</c:v>
                </c:pt>
                <c:pt idx="73">
                  <c:v>16.369469003701056</c:v>
                </c:pt>
                <c:pt idx="74">
                  <c:v>17.215318054415352</c:v>
                </c:pt>
                <c:pt idx="75">
                  <c:v>18.092839119871382</c:v>
                </c:pt>
                <c:pt idx="76">
                  <c:v>19.417442220985436</c:v>
                </c:pt>
                <c:pt idx="77">
                  <c:v>19.876499894833188</c:v>
                </c:pt>
                <c:pt idx="78">
                  <c:v>20.789605435478467</c:v>
                </c:pt>
                <c:pt idx="79">
                  <c:v>22.199976941977138</c:v>
                </c:pt>
                <c:pt idx="80">
                  <c:v>23.163047454089995</c:v>
                </c:pt>
                <c:pt idx="81">
                  <c:v>24.159628082053345</c:v>
                </c:pt>
                <c:pt idx="82">
                  <c:v>25.141343685472098</c:v>
                </c:pt>
                <c:pt idx="83">
                  <c:v>25.635894381931084</c:v>
                </c:pt>
                <c:pt idx="84">
                  <c:v>27.132619993744086</c:v>
                </c:pt>
                <c:pt idx="85">
                  <c:v>28.172174279751278</c:v>
                </c:pt>
                <c:pt idx="86">
                  <c:v>29.199718332289063</c:v>
                </c:pt>
                <c:pt idx="87">
                  <c:v>30.255945252096719</c:v>
                </c:pt>
                <c:pt idx="88">
                  <c:v>31.315486270894283</c:v>
                </c:pt>
                <c:pt idx="89">
                  <c:v>32.379039224578165</c:v>
                </c:pt>
                <c:pt idx="90">
                  <c:v>33.47010045060734</c:v>
                </c:pt>
                <c:pt idx="91">
                  <c:v>35.134453020359381</c:v>
                </c:pt>
                <c:pt idx="92">
                  <c:v>36.262829579384011</c:v>
                </c:pt>
                <c:pt idx="93">
                  <c:v>37.374917514432767</c:v>
                </c:pt>
                <c:pt idx="94">
                  <c:v>38.52294741059896</c:v>
                </c:pt>
                <c:pt idx="95">
                  <c:v>39.677716000640274</c:v>
                </c:pt>
                <c:pt idx="96">
                  <c:v>40.831286980860611</c:v>
                </c:pt>
                <c:pt idx="97">
                  <c:v>42.042672434483407</c:v>
                </c:pt>
                <c:pt idx="98">
                  <c:v>43.271421449676787</c:v>
                </c:pt>
                <c:pt idx="99">
                  <c:v>45.057678917418066</c:v>
                </c:pt>
                <c:pt idx="100">
                  <c:v>46.29254607077592</c:v>
                </c:pt>
                <c:pt idx="101">
                  <c:v>47.541688416580591</c:v>
                </c:pt>
                <c:pt idx="102">
                  <c:v>48.20454564803331</c:v>
                </c:pt>
                <c:pt idx="103">
                  <c:v>50.03510871210014</c:v>
                </c:pt>
                <c:pt idx="104">
                  <c:v>51.96201579560973</c:v>
                </c:pt>
                <c:pt idx="105">
                  <c:v>52.622290328649562</c:v>
                </c:pt>
                <c:pt idx="106">
                  <c:v>53.872886026900218</c:v>
                </c:pt>
                <c:pt idx="107">
                  <c:v>55.185894579909693</c:v>
                </c:pt>
                <c:pt idx="108">
                  <c:v>56.50029098898473</c:v>
                </c:pt>
                <c:pt idx="109">
                  <c:v>58.492049467617605</c:v>
                </c:pt>
                <c:pt idx="110">
                  <c:v>59.145351125342252</c:v>
                </c:pt>
                <c:pt idx="111">
                  <c:v>61.834502496809051</c:v>
                </c:pt>
                <c:pt idx="112">
                  <c:v>62.536883095320555</c:v>
                </c:pt>
                <c:pt idx="113">
                  <c:v>63.882885390918211</c:v>
                </c:pt>
                <c:pt idx="114">
                  <c:v>65.215565731062625</c:v>
                </c:pt>
                <c:pt idx="115">
                  <c:v>66.585978741240623</c:v>
                </c:pt>
                <c:pt idx="116">
                  <c:v>67.939977839148085</c:v>
                </c:pt>
                <c:pt idx="117">
                  <c:v>70.056075825251469</c:v>
                </c:pt>
                <c:pt idx="118">
                  <c:v>71.527005124267149</c:v>
                </c:pt>
                <c:pt idx="119">
                  <c:v>72.962925480169957</c:v>
                </c:pt>
                <c:pt idx="120">
                  <c:v>74.405774336334233</c:v>
                </c:pt>
                <c:pt idx="121">
                  <c:v>76.570413820236325</c:v>
                </c:pt>
                <c:pt idx="122">
                  <c:v>78.022177968275088</c:v>
                </c:pt>
                <c:pt idx="123">
                  <c:v>78.775110780468594</c:v>
                </c:pt>
                <c:pt idx="124">
                  <c:v>80.276792803911306</c:v>
                </c:pt>
                <c:pt idx="125">
                  <c:v>81.729849099343284</c:v>
                </c:pt>
                <c:pt idx="126">
                  <c:v>83.19904400268112</c:v>
                </c:pt>
                <c:pt idx="127">
                  <c:v>84.707506362379306</c:v>
                </c:pt>
                <c:pt idx="128">
                  <c:v>86.170428103698285</c:v>
                </c:pt>
                <c:pt idx="129">
                  <c:v>88.397229476793328</c:v>
                </c:pt>
                <c:pt idx="130">
                  <c:v>89.907764435530282</c:v>
                </c:pt>
                <c:pt idx="131">
                  <c:v>91.405284353525445</c:v>
                </c:pt>
                <c:pt idx="132">
                  <c:v>92.93131348392096</c:v>
                </c:pt>
                <c:pt idx="133">
                  <c:v>94.461743436496064</c:v>
                </c:pt>
                <c:pt idx="134">
                  <c:v>95.967352001096572</c:v>
                </c:pt>
                <c:pt idx="135">
                  <c:v>98.242176527774944</c:v>
                </c:pt>
                <c:pt idx="136">
                  <c:v>99.753316932148238</c:v>
                </c:pt>
                <c:pt idx="137">
                  <c:v>101.33291714752843</c:v>
                </c:pt>
                <c:pt idx="138">
                  <c:v>102.85817133958653</c:v>
                </c:pt>
                <c:pt idx="139">
                  <c:v>103.64946802676536</c:v>
                </c:pt>
                <c:pt idx="140">
                  <c:v>105.26489037754581</c:v>
                </c:pt>
                <c:pt idx="141">
                  <c:v>106.86078228884449</c:v>
                </c:pt>
                <c:pt idx="142">
                  <c:v>109.17015831025076</c:v>
                </c:pt>
                <c:pt idx="143">
                  <c:v>110.77493216133357</c:v>
                </c:pt>
                <c:pt idx="144">
                  <c:v>112.33570212717322</c:v>
                </c:pt>
                <c:pt idx="145">
                  <c:v>113.90156375986227</c:v>
                </c:pt>
                <c:pt idx="146">
                  <c:v>115.53376445800946</c:v>
                </c:pt>
                <c:pt idx="147">
                  <c:v>117.13509875385068</c:v>
                </c:pt>
                <c:pt idx="148">
                  <c:v>119.53007106060276</c:v>
                </c:pt>
                <c:pt idx="149">
                  <c:v>121.17285535180829</c:v>
                </c:pt>
                <c:pt idx="150">
                  <c:v>122.79267938949705</c:v>
                </c:pt>
                <c:pt idx="151">
                  <c:v>124.40866067367594</c:v>
                </c:pt>
                <c:pt idx="152">
                  <c:v>126.06409176574266</c:v>
                </c:pt>
                <c:pt idx="153">
                  <c:v>127.67280461259843</c:v>
                </c:pt>
                <c:pt idx="154">
                  <c:v>129.30510501703054</c:v>
                </c:pt>
                <c:pt idx="155">
                  <c:v>130.99169148748769</c:v>
                </c:pt>
                <c:pt idx="156">
                  <c:v>132.64513658928604</c:v>
                </c:pt>
                <c:pt idx="157">
                  <c:v>134.30569579287328</c:v>
                </c:pt>
                <c:pt idx="158">
                  <c:v>135.96407597359357</c:v>
                </c:pt>
                <c:pt idx="159">
                  <c:v>137.5912480875601</c:v>
                </c:pt>
                <c:pt idx="160">
                  <c:v>140.05047128726846</c:v>
                </c:pt>
                <c:pt idx="161">
                  <c:v>140.87808026296551</c:v>
                </c:pt>
                <c:pt idx="162">
                  <c:v>143.32710558869977</c:v>
                </c:pt>
                <c:pt idx="163">
                  <c:v>145.00421569463322</c:v>
                </c:pt>
                <c:pt idx="164">
                  <c:v>146.68052740275866</c:v>
                </c:pt>
                <c:pt idx="165">
                  <c:v>148.35294153759111</c:v>
                </c:pt>
                <c:pt idx="166">
                  <c:v>150.84555864945446</c:v>
                </c:pt>
                <c:pt idx="167">
                  <c:v>155.05473684314586</c:v>
                </c:pt>
                <c:pt idx="168">
                  <c:v>155.93875350040287</c:v>
                </c:pt>
                <c:pt idx="169">
                  <c:v>157.66796509990084</c:v>
                </c:pt>
                <c:pt idx="170">
                  <c:v>158.51387011893536</c:v>
                </c:pt>
                <c:pt idx="171">
                  <c:v>160.23229224176055</c:v>
                </c:pt>
                <c:pt idx="172">
                  <c:v>161.92046019096279</c:v>
                </c:pt>
                <c:pt idx="173">
                  <c:v>164.43957015667925</c:v>
                </c:pt>
                <c:pt idx="174">
                  <c:v>166.13162087321575</c:v>
                </c:pt>
                <c:pt idx="175">
                  <c:v>167.86874315671128</c:v>
                </c:pt>
                <c:pt idx="176">
                  <c:v>169.62177219318053</c:v>
                </c:pt>
                <c:pt idx="177">
                  <c:v>171.31136934012505</c:v>
                </c:pt>
                <c:pt idx="178">
                  <c:v>172.99834268268549</c:v>
                </c:pt>
                <c:pt idx="179">
                  <c:v>174.24874565047168</c:v>
                </c:pt>
                <c:pt idx="180">
                  <c:v>177.33889676056708</c:v>
                </c:pt>
                <c:pt idx="181">
                  <c:v>178.9905133928354</c:v>
                </c:pt>
                <c:pt idx="182">
                  <c:v>180.73973314328512</c:v>
                </c:pt>
                <c:pt idx="183">
                  <c:v>182.47725811664083</c:v>
                </c:pt>
                <c:pt idx="184">
                  <c:v>184.19930272251401</c:v>
                </c:pt>
                <c:pt idx="185">
                  <c:v>185.94033291531034</c:v>
                </c:pt>
                <c:pt idx="186">
                  <c:v>187.6838631048588</c:v>
                </c:pt>
                <c:pt idx="187">
                  <c:v>190.32273372212313</c:v>
                </c:pt>
                <c:pt idx="188">
                  <c:v>192.08825994480264</c:v>
                </c:pt>
                <c:pt idx="189">
                  <c:v>192.95573344484544</c:v>
                </c:pt>
                <c:pt idx="190">
                  <c:v>195.61560240221303</c:v>
                </c:pt>
                <c:pt idx="191">
                  <c:v>197.3672077239973</c:v>
                </c:pt>
                <c:pt idx="192">
                  <c:v>199.11595397470907</c:v>
                </c:pt>
                <c:pt idx="193">
                  <c:v>200.91805276438245</c:v>
                </c:pt>
                <c:pt idx="194">
                  <c:v>202.72307929815096</c:v>
                </c:pt>
                <c:pt idx="195">
                  <c:v>204.49937003027676</c:v>
                </c:pt>
                <c:pt idx="196">
                  <c:v>207.14270833772281</c:v>
                </c:pt>
                <c:pt idx="197">
                  <c:v>208.90382498096085</c:v>
                </c:pt>
                <c:pt idx="198">
                  <c:v>210.64596113564983</c:v>
                </c:pt>
                <c:pt idx="199">
                  <c:v>212.4147240848624</c:v>
                </c:pt>
                <c:pt idx="200">
                  <c:v>214.19607729023821</c:v>
                </c:pt>
                <c:pt idx="201">
                  <c:v>215.94792787737939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C7-41EF-BBA8-D6E3C3B70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5893864"/>
        <c:axId val="1095898184"/>
      </c:scatterChart>
      <c:valAx>
        <c:axId val="1095893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898184"/>
        <c:crosses val="autoZero"/>
        <c:crossBetween val="midCat"/>
      </c:valAx>
      <c:valAx>
        <c:axId val="1095898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893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d-ID"/>
              <a:t>Data Pitch Pergerakan Quadrotor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'Maju 0.1'!$V$6</c:f>
              <c:strCache>
                <c:ptCount val="1"/>
                <c:pt idx="0">
                  <c:v>'pitch'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'Maju 0.1'!$D$7:$D$565</c:f>
              <c:numCache>
                <c:formatCode>0.000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5.2989000000707165E-3</c:v>
                </c:pt>
                <c:pt idx="3">
                  <c:v>9.2048999999860825E-3</c:v>
                </c:pt>
                <c:pt idx="4">
                  <c:v>2.7168100000380946E-2</c:v>
                </c:pt>
                <c:pt idx="5">
                  <c:v>4.3313000000125612E-2</c:v>
                </c:pt>
                <c:pt idx="6">
                  <c:v>5.8556899999985035E-2</c:v>
                </c:pt>
                <c:pt idx="7">
                  <c:v>7.4511200000415556E-2</c:v>
                </c:pt>
                <c:pt idx="8">
                  <c:v>8.9335699999992357E-2</c:v>
                </c:pt>
                <c:pt idx="9">
                  <c:v>0.10529730000007476</c:v>
                </c:pt>
                <c:pt idx="10">
                  <c:v>0.12134990000004109</c:v>
                </c:pt>
                <c:pt idx="11">
                  <c:v>0.13719690000016271</c:v>
                </c:pt>
                <c:pt idx="12">
                  <c:v>0.15306950000012876</c:v>
                </c:pt>
                <c:pt idx="13">
                  <c:v>0.16923990000032063</c:v>
                </c:pt>
                <c:pt idx="14">
                  <c:v>0.18482170000015685</c:v>
                </c:pt>
                <c:pt idx="15">
                  <c:v>0.20079230000010284</c:v>
                </c:pt>
                <c:pt idx="16">
                  <c:v>0.21585990000039601</c:v>
                </c:pt>
                <c:pt idx="17">
                  <c:v>0.23115530000040962</c:v>
                </c:pt>
                <c:pt idx="18">
                  <c:v>0.24731440000005023</c:v>
                </c:pt>
                <c:pt idx="19">
                  <c:v>0.26257580000037706</c:v>
                </c:pt>
                <c:pt idx="20">
                  <c:v>0.2780137000004288</c:v>
                </c:pt>
                <c:pt idx="21">
                  <c:v>0.2941795000001548</c:v>
                </c:pt>
                <c:pt idx="22">
                  <c:v>0.30981510000037815</c:v>
                </c:pt>
                <c:pt idx="23">
                  <c:v>0.32596110000031331</c:v>
                </c:pt>
                <c:pt idx="24">
                  <c:v>0.34174560000019483</c:v>
                </c:pt>
                <c:pt idx="25">
                  <c:v>0.35752370000000155</c:v>
                </c:pt>
                <c:pt idx="26">
                  <c:v>0.37302320000026157</c:v>
                </c:pt>
                <c:pt idx="27">
                  <c:v>0.38870820000011008</c:v>
                </c:pt>
                <c:pt idx="28">
                  <c:v>0.40394320000041262</c:v>
                </c:pt>
                <c:pt idx="29">
                  <c:v>0.4197916000002806</c:v>
                </c:pt>
                <c:pt idx="30">
                  <c:v>0.43575710000004619</c:v>
                </c:pt>
                <c:pt idx="31">
                  <c:v>0.45149400000036621</c:v>
                </c:pt>
                <c:pt idx="32">
                  <c:v>0.46699660000012955</c:v>
                </c:pt>
                <c:pt idx="33">
                  <c:v>0.4830205000002934</c:v>
                </c:pt>
                <c:pt idx="34">
                  <c:v>0.49845470000036585</c:v>
                </c:pt>
                <c:pt idx="35">
                  <c:v>0.51411460000008447</c:v>
                </c:pt>
                <c:pt idx="36">
                  <c:v>0.52958090000038283</c:v>
                </c:pt>
                <c:pt idx="37">
                  <c:v>0.54471950000015568</c:v>
                </c:pt>
                <c:pt idx="38">
                  <c:v>0.55994790000022476</c:v>
                </c:pt>
                <c:pt idx="39">
                  <c:v>0.57620560000032128</c:v>
                </c:pt>
                <c:pt idx="40">
                  <c:v>0.59083770000006552</c:v>
                </c:pt>
                <c:pt idx="41">
                  <c:v>0.60626369999999952</c:v>
                </c:pt>
                <c:pt idx="42">
                  <c:v>0.6214124000002812</c:v>
                </c:pt>
                <c:pt idx="43">
                  <c:v>0.63753459999998086</c:v>
                </c:pt>
                <c:pt idx="44">
                  <c:v>0.65260699999998906</c:v>
                </c:pt>
                <c:pt idx="45">
                  <c:v>0.66794340000024022</c:v>
                </c:pt>
                <c:pt idx="46">
                  <c:v>0.68331380000017816</c:v>
                </c:pt>
                <c:pt idx="47">
                  <c:v>0.69856420000041908</c:v>
                </c:pt>
                <c:pt idx="48">
                  <c:v>0.7138716000004024</c:v>
                </c:pt>
                <c:pt idx="49">
                  <c:v>0.73025120000011157</c:v>
                </c:pt>
                <c:pt idx="50">
                  <c:v>0.74559630000021571</c:v>
                </c:pt>
                <c:pt idx="51">
                  <c:v>0.7610821000002943</c:v>
                </c:pt>
                <c:pt idx="52">
                  <c:v>0.77641560000029131</c:v>
                </c:pt>
                <c:pt idx="53">
                  <c:v>0.79153070000029402</c:v>
                </c:pt>
                <c:pt idx="54">
                  <c:v>0.80748250000033295</c:v>
                </c:pt>
                <c:pt idx="55">
                  <c:v>0.82297660000040196</c:v>
                </c:pt>
                <c:pt idx="56">
                  <c:v>0.83904410000013741</c:v>
                </c:pt>
                <c:pt idx="57">
                  <c:v>0.85417240000015227</c:v>
                </c:pt>
                <c:pt idx="58">
                  <c:v>0.86972920000016529</c:v>
                </c:pt>
                <c:pt idx="59">
                  <c:v>0.88524850000021615</c:v>
                </c:pt>
                <c:pt idx="60">
                  <c:v>0.90091920000031678</c:v>
                </c:pt>
                <c:pt idx="61">
                  <c:v>0.90367850000029648</c:v>
                </c:pt>
                <c:pt idx="62">
                  <c:v>0.91670670000030441</c:v>
                </c:pt>
                <c:pt idx="63">
                  <c:v>0.93219020000015007</c:v>
                </c:pt>
                <c:pt idx="64">
                  <c:v>0.94763220000004367</c:v>
                </c:pt>
                <c:pt idx="65">
                  <c:v>0.96272680000038235</c:v>
                </c:pt>
                <c:pt idx="66">
                  <c:v>0.97808190000023387</c:v>
                </c:pt>
                <c:pt idx="67">
                  <c:v>0.9934240000002319</c:v>
                </c:pt>
                <c:pt idx="68">
                  <c:v>1.0095186000003196</c:v>
                </c:pt>
                <c:pt idx="69">
                  <c:v>1.0249522000003708</c:v>
                </c:pt>
                <c:pt idx="70">
                  <c:v>1.0401796000001013</c:v>
                </c:pt>
                <c:pt idx="71">
                  <c:v>1.055965400000332</c:v>
                </c:pt>
                <c:pt idx="72">
                  <c:v>1.0718302000000222</c:v>
                </c:pt>
                <c:pt idx="73">
                  <c:v>1.0875557000003937</c:v>
                </c:pt>
                <c:pt idx="74">
                  <c:v>1.1028458000000683</c:v>
                </c:pt>
                <c:pt idx="75">
                  <c:v>1.1188025999999809</c:v>
                </c:pt>
                <c:pt idx="76">
                  <c:v>1.1348634000000857</c:v>
                </c:pt>
                <c:pt idx="77">
                  <c:v>1.1506616000001486</c:v>
                </c:pt>
                <c:pt idx="78">
                  <c:v>1.1660625000004075</c:v>
                </c:pt>
                <c:pt idx="79">
                  <c:v>1.1819746000001032</c:v>
                </c:pt>
                <c:pt idx="80">
                  <c:v>1.197920300000078</c:v>
                </c:pt>
                <c:pt idx="81">
                  <c:v>1.2132191000000603</c:v>
                </c:pt>
                <c:pt idx="82">
                  <c:v>1.2292172000002211</c:v>
                </c:pt>
                <c:pt idx="83">
                  <c:v>1.2446591000002627</c:v>
                </c:pt>
                <c:pt idx="84">
                  <c:v>1.2601951999999983</c:v>
                </c:pt>
                <c:pt idx="85">
                  <c:v>1.2756392000001142</c:v>
                </c:pt>
                <c:pt idx="86">
                  <c:v>1.2915996000001542</c:v>
                </c:pt>
                <c:pt idx="87">
                  <c:v>1.3068004000001565</c:v>
                </c:pt>
                <c:pt idx="88">
                  <c:v>1.3228144000004249</c:v>
                </c:pt>
                <c:pt idx="89">
                  <c:v>1.338255300000128</c:v>
                </c:pt>
                <c:pt idx="90">
                  <c:v>1.3536158000001706</c:v>
                </c:pt>
                <c:pt idx="91">
                  <c:v>1.3692170000003898</c:v>
                </c:pt>
                <c:pt idx="92">
                  <c:v>1.3851982000001044</c:v>
                </c:pt>
                <c:pt idx="93">
                  <c:v>1.4013238000002275</c:v>
                </c:pt>
                <c:pt idx="94">
                  <c:v>1.4175716000004286</c:v>
                </c:pt>
                <c:pt idx="95">
                  <c:v>1.433107000000291</c:v>
                </c:pt>
                <c:pt idx="96">
                  <c:v>1.4486382000000049</c:v>
                </c:pt>
                <c:pt idx="97">
                  <c:v>1.464110900000378</c:v>
                </c:pt>
                <c:pt idx="98">
                  <c:v>1.4797096000002057</c:v>
                </c:pt>
                <c:pt idx="99">
                  <c:v>1.4950284000001375</c:v>
                </c:pt>
                <c:pt idx="100">
                  <c:v>1.511221100000057</c:v>
                </c:pt>
                <c:pt idx="101">
                  <c:v>1.5267674000001534</c:v>
                </c:pt>
                <c:pt idx="102">
                  <c:v>1.542782200000147</c:v>
                </c:pt>
                <c:pt idx="103">
                  <c:v>1.5579615000001468</c:v>
                </c:pt>
                <c:pt idx="104">
                  <c:v>1.573585400000411</c:v>
                </c:pt>
                <c:pt idx="105">
                  <c:v>1.589252000000215</c:v>
                </c:pt>
                <c:pt idx="106">
                  <c:v>1.603999400000248</c:v>
                </c:pt>
                <c:pt idx="107">
                  <c:v>1.6198876000003111</c:v>
                </c:pt>
                <c:pt idx="108">
                  <c:v>1.6361267000002044</c:v>
                </c:pt>
                <c:pt idx="109">
                  <c:v>1.6512564000004204</c:v>
                </c:pt>
                <c:pt idx="110">
                  <c:v>1.6663169000003109</c:v>
                </c:pt>
                <c:pt idx="111">
                  <c:v>1.6817897000000812</c:v>
                </c:pt>
                <c:pt idx="112">
                  <c:v>1.6973350000002938</c:v>
                </c:pt>
                <c:pt idx="113">
                  <c:v>1.7125753000000259</c:v>
                </c:pt>
                <c:pt idx="114">
                  <c:v>1.7276518000003307</c:v>
                </c:pt>
                <c:pt idx="115">
                  <c:v>1.7429422000000159</c:v>
                </c:pt>
                <c:pt idx="116">
                  <c:v>1.7582855000000563</c:v>
                </c:pt>
                <c:pt idx="117">
                  <c:v>1.773996200000056</c:v>
                </c:pt>
                <c:pt idx="118">
                  <c:v>1.7897581000001992</c:v>
                </c:pt>
                <c:pt idx="119">
                  <c:v>1.8050165000004199</c:v>
                </c:pt>
                <c:pt idx="120">
                  <c:v>1.8200581000000966</c:v>
                </c:pt>
                <c:pt idx="121">
                  <c:v>1.8358427000002848</c:v>
                </c:pt>
                <c:pt idx="122">
                  <c:v>1.8507931000003737</c:v>
                </c:pt>
                <c:pt idx="123">
                  <c:v>1.8669764000001123</c:v>
                </c:pt>
                <c:pt idx="124">
                  <c:v>1.8826533000001291</c:v>
                </c:pt>
                <c:pt idx="125">
                  <c:v>1.8972933000000012</c:v>
                </c:pt>
                <c:pt idx="126">
                  <c:v>1.9133269000003565</c:v>
                </c:pt>
                <c:pt idx="127">
                  <c:v>1.9296000000003914</c:v>
                </c:pt>
                <c:pt idx="128">
                  <c:v>1.9452049000001352</c:v>
                </c:pt>
                <c:pt idx="129">
                  <c:v>1.9606398000000809</c:v>
                </c:pt>
                <c:pt idx="130">
                  <c:v>1.9759725000003527</c:v>
                </c:pt>
                <c:pt idx="131">
                  <c:v>1.9914278000001104</c:v>
                </c:pt>
                <c:pt idx="132">
                  <c:v>2.0069760000001224</c:v>
                </c:pt>
                <c:pt idx="133">
                  <c:v>2.0227060000001984</c:v>
                </c:pt>
                <c:pt idx="134">
                  <c:v>2.0380438000001959</c:v>
                </c:pt>
                <c:pt idx="135">
                  <c:v>2.0530307000003631</c:v>
                </c:pt>
                <c:pt idx="136">
                  <c:v>2.0684856000002583</c:v>
                </c:pt>
                <c:pt idx="137">
                  <c:v>2.0836755000000267</c:v>
                </c:pt>
                <c:pt idx="138">
                  <c:v>2.0990962000000764</c:v>
                </c:pt>
                <c:pt idx="139">
                  <c:v>2.1141289000001962</c:v>
                </c:pt>
                <c:pt idx="140">
                  <c:v>2.1296484000004057</c:v>
                </c:pt>
                <c:pt idx="141">
                  <c:v>2.1453720000004068</c:v>
                </c:pt>
                <c:pt idx="142">
                  <c:v>2.1608561000002737</c:v>
                </c:pt>
                <c:pt idx="143">
                  <c:v>2.1762023000001136</c:v>
                </c:pt>
                <c:pt idx="144">
                  <c:v>2.191330999999991</c:v>
                </c:pt>
                <c:pt idx="145">
                  <c:v>2.2065747000001465</c:v>
                </c:pt>
                <c:pt idx="146">
                  <c:v>2.2223314000002574</c:v>
                </c:pt>
                <c:pt idx="147">
                  <c:v>2.2377394000000095</c:v>
                </c:pt>
                <c:pt idx="148">
                  <c:v>2.2529523000002882</c:v>
                </c:pt>
                <c:pt idx="149">
                  <c:v>2.2684573999999884</c:v>
                </c:pt>
                <c:pt idx="150">
                  <c:v>2.2840030000002116</c:v>
                </c:pt>
                <c:pt idx="151">
                  <c:v>2.2868802000002688</c:v>
                </c:pt>
                <c:pt idx="152">
                  <c:v>2.2995488000001387</c:v>
                </c:pt>
                <c:pt idx="153">
                  <c:v>2.3149207999999817</c:v>
                </c:pt>
                <c:pt idx="154">
                  <c:v>2.3300423000000592</c:v>
                </c:pt>
                <c:pt idx="155">
                  <c:v>2.3454623000002357</c:v>
                </c:pt>
                <c:pt idx="156">
                  <c:v>2.3615370000002258</c:v>
                </c:pt>
                <c:pt idx="157">
                  <c:v>2.3767136000001301</c:v>
                </c:pt>
                <c:pt idx="158">
                  <c:v>2.3927026000001206</c:v>
                </c:pt>
                <c:pt idx="159">
                  <c:v>2.4083026000002974</c:v>
                </c:pt>
                <c:pt idx="160">
                  <c:v>2.4243546000002425</c:v>
                </c:pt>
                <c:pt idx="161">
                  <c:v>2.4402967000000899</c:v>
                </c:pt>
                <c:pt idx="162">
                  <c:v>2.4554897000002711</c:v>
                </c:pt>
                <c:pt idx="163">
                  <c:v>2.4712208000000828</c:v>
                </c:pt>
                <c:pt idx="164">
                  <c:v>2.4867932000001929</c:v>
                </c:pt>
                <c:pt idx="165">
                  <c:v>2.5027567000001909</c:v>
                </c:pt>
                <c:pt idx="166">
                  <c:v>2.5181257000003825</c:v>
                </c:pt>
                <c:pt idx="167">
                  <c:v>2.5331108000000313</c:v>
                </c:pt>
                <c:pt idx="168">
                  <c:v>2.5489589000003434</c:v>
                </c:pt>
                <c:pt idx="169">
                  <c:v>2.5650508000003356</c:v>
                </c:pt>
                <c:pt idx="170">
                  <c:v>2.5803182000004199</c:v>
                </c:pt>
                <c:pt idx="171">
                  <c:v>2.5957627000002503</c:v>
                </c:pt>
                <c:pt idx="172">
                  <c:v>2.6111039000002165</c:v>
                </c:pt>
                <c:pt idx="173">
                  <c:v>2.6267086000002564</c:v>
                </c:pt>
                <c:pt idx="174">
                  <c:v>2.6419436000001042</c:v>
                </c:pt>
                <c:pt idx="175">
                  <c:v>2.6580228000002535</c:v>
                </c:pt>
                <c:pt idx="176">
                  <c:v>2.6738740000000689</c:v>
                </c:pt>
                <c:pt idx="177">
                  <c:v>2.6894137000003866</c:v>
                </c:pt>
                <c:pt idx="178">
                  <c:v>2.7046626000001197</c:v>
                </c:pt>
                <c:pt idx="179">
                  <c:v>2.7199347000000671</c:v>
                </c:pt>
                <c:pt idx="180">
                  <c:v>2.7358025000003181</c:v>
                </c:pt>
                <c:pt idx="181">
                  <c:v>2.7508734000002733</c:v>
                </c:pt>
                <c:pt idx="182">
                  <c:v>2.7659552000000076</c:v>
                </c:pt>
                <c:pt idx="183">
                  <c:v>2.7808774000000085</c:v>
                </c:pt>
                <c:pt idx="184">
                  <c:v>2.7956675000000359</c:v>
                </c:pt>
                <c:pt idx="185">
                  <c:v>2.811707800000022</c:v>
                </c:pt>
                <c:pt idx="186">
                  <c:v>2.8270329000001766</c:v>
                </c:pt>
                <c:pt idx="187">
                  <c:v>2.8423720000000685</c:v>
                </c:pt>
                <c:pt idx="188">
                  <c:v>2.858502700000372</c:v>
                </c:pt>
                <c:pt idx="189">
                  <c:v>2.8740185000001475</c:v>
                </c:pt>
                <c:pt idx="190">
                  <c:v>2.8900909000003594</c:v>
                </c:pt>
                <c:pt idx="191">
                  <c:v>2.9053735000002234</c:v>
                </c:pt>
                <c:pt idx="192">
                  <c:v>2.921306100000038</c:v>
                </c:pt>
                <c:pt idx="193">
                  <c:v>2.9369955000001937</c:v>
                </c:pt>
                <c:pt idx="194">
                  <c:v>2.9526253000003635</c:v>
                </c:pt>
                <c:pt idx="195">
                  <c:v>2.9675974000001588</c:v>
                </c:pt>
                <c:pt idx="196">
                  <c:v>2.9831733000000895</c:v>
                </c:pt>
                <c:pt idx="197">
                  <c:v>2.9984130000002551</c:v>
                </c:pt>
                <c:pt idx="198">
                  <c:v>3.0135693000001993</c:v>
                </c:pt>
                <c:pt idx="199">
                  <c:v>3.0290494000000763</c:v>
                </c:pt>
                <c:pt idx="200">
                  <c:v>3.0444785000004231</c:v>
                </c:pt>
                <c:pt idx="201">
                  <c:v>3.0598500000000968</c:v>
                </c:pt>
                <c:pt idx="202">
                  <c:v>3.0750644000004286</c:v>
                </c:pt>
                <c:pt idx="203">
                  <c:v>3.0904241000002912</c:v>
                </c:pt>
                <c:pt idx="204">
                  <c:v>3.1064377000002423</c:v>
                </c:pt>
                <c:pt idx="205">
                  <c:v>3.1225518000001102</c:v>
                </c:pt>
                <c:pt idx="206">
                  <c:v>3.138448800000333</c:v>
                </c:pt>
                <c:pt idx="207">
                  <c:v>3.1540184000000409</c:v>
                </c:pt>
                <c:pt idx="208">
                  <c:v>3.1689089999999851</c:v>
                </c:pt>
                <c:pt idx="209">
                  <c:v>3.1849315000004026</c:v>
                </c:pt>
                <c:pt idx="210">
                  <c:v>3.2003816000001279</c:v>
                </c:pt>
                <c:pt idx="211">
                  <c:v>3.2153074000002562</c:v>
                </c:pt>
                <c:pt idx="212">
                  <c:v>3.2629249999999956</c:v>
                </c:pt>
                <c:pt idx="213">
                  <c:v>3.2789824000001317</c:v>
                </c:pt>
                <c:pt idx="214">
                  <c:v>3.2943454000001111</c:v>
                </c:pt>
                <c:pt idx="215">
                  <c:v>3.3418642999999975</c:v>
                </c:pt>
                <c:pt idx="216">
                  <c:v>3.357551400000375</c:v>
                </c:pt>
                <c:pt idx="217">
                  <c:v>3.4502027000003181</c:v>
                </c:pt>
                <c:pt idx="218">
                  <c:v>3.466481400000248</c:v>
                </c:pt>
                <c:pt idx="219">
                  <c:v>3.4815856000000167</c:v>
                </c:pt>
                <c:pt idx="220">
                  <c:v>3.496932100000322</c:v>
                </c:pt>
                <c:pt idx="221">
                  <c:v>3.5277230000001509</c:v>
                </c:pt>
                <c:pt idx="222">
                  <c:v>3.5595329000002494</c:v>
                </c:pt>
                <c:pt idx="223">
                  <c:v>3.590596000000005</c:v>
                </c:pt>
                <c:pt idx="224">
                  <c:v>3.6220025000002352</c:v>
                </c:pt>
                <c:pt idx="225">
                  <c:v>3.6521181000002798</c:v>
                </c:pt>
                <c:pt idx="226">
                  <c:v>3.7453942000001916</c:v>
                </c:pt>
                <c:pt idx="227">
                  <c:v>3.7610059000003275</c:v>
                </c:pt>
                <c:pt idx="228">
                  <c:v>3.7763112000002366</c:v>
                </c:pt>
                <c:pt idx="229">
                  <c:v>3.7926324000000022</c:v>
                </c:pt>
                <c:pt idx="230">
                  <c:v>3.8087636000000202</c:v>
                </c:pt>
                <c:pt idx="231">
                  <c:v>3.8874061999999867</c:v>
                </c:pt>
                <c:pt idx="232">
                  <c:v>3.9030201000000488</c:v>
                </c:pt>
                <c:pt idx="233">
                  <c:v>3.9183447000000342</c:v>
                </c:pt>
                <c:pt idx="234">
                  <c:v>3.9338287000000491</c:v>
                </c:pt>
                <c:pt idx="235">
                  <c:v>3.9800678999999946</c:v>
                </c:pt>
                <c:pt idx="236">
                  <c:v>3.995798900000409</c:v>
                </c:pt>
                <c:pt idx="237">
                  <c:v>4.0423875999999836</c:v>
                </c:pt>
                <c:pt idx="238">
                  <c:v>4.0739817000003313</c:v>
                </c:pt>
                <c:pt idx="239">
                  <c:v>4.1044402000002265</c:v>
                </c:pt>
                <c:pt idx="240">
                  <c:v>4.1355275000000802</c:v>
                </c:pt>
                <c:pt idx="241">
                  <c:v>4.1654601000000184</c:v>
                </c:pt>
                <c:pt idx="242">
                  <c:v>4.1966453000000001</c:v>
                </c:pt>
                <c:pt idx="243">
                  <c:v>4.2278092000001379</c:v>
                </c:pt>
                <c:pt idx="244">
                  <c:v>4.2745982000001277</c:v>
                </c:pt>
                <c:pt idx="245">
                  <c:v>4.3050646000001507</c:v>
                </c:pt>
                <c:pt idx="246">
                  <c:v>4.3357205000002068</c:v>
                </c:pt>
                <c:pt idx="247">
                  <c:v>4.3668618000001516</c:v>
                </c:pt>
                <c:pt idx="248">
                  <c:v>4.3979300000000876</c:v>
                </c:pt>
                <c:pt idx="249">
                  <c:v>4.4284158000000389</c:v>
                </c:pt>
                <c:pt idx="250">
                  <c:v>4.4752190000003793</c:v>
                </c:pt>
                <c:pt idx="251">
                  <c:v>4.5070405000001301</c:v>
                </c:pt>
                <c:pt idx="252">
                  <c:v>4.5080405000001305</c:v>
                </c:pt>
                <c:pt idx="253">
                  <c:v>4.537615900000219</c:v>
                </c:pt>
                <c:pt idx="254">
                  <c:v>4.5528210000002218</c:v>
                </c:pt>
                <c:pt idx="255">
                  <c:v>4.5840331000003971</c:v>
                </c:pt>
                <c:pt idx="256">
                  <c:v>4.6146783000003779</c:v>
                </c:pt>
                <c:pt idx="257">
                  <c:v>4.6612142000003587</c:v>
                </c:pt>
                <c:pt idx="258">
                  <c:v>4.6927078000003348</c:v>
                </c:pt>
                <c:pt idx="259">
                  <c:v>4.7241723000001912</c:v>
                </c:pt>
                <c:pt idx="260">
                  <c:v>4.7552841000001536</c:v>
                </c:pt>
                <c:pt idx="261">
                  <c:v>4.7871487000002162</c:v>
                </c:pt>
                <c:pt idx="262">
                  <c:v>4.8184103000003233</c:v>
                </c:pt>
                <c:pt idx="263">
                  <c:v>4.8648840000000746</c:v>
                </c:pt>
                <c:pt idx="264">
                  <c:v>4.8959517000002961</c:v>
                </c:pt>
                <c:pt idx="265">
                  <c:v>4.9267509000001155</c:v>
                </c:pt>
                <c:pt idx="266">
                  <c:v>4.9738620000002811</c:v>
                </c:pt>
                <c:pt idx="267">
                  <c:v>4.9892149000002064</c:v>
                </c:pt>
                <c:pt idx="268">
                  <c:v>5.0212012000001778</c:v>
                </c:pt>
                <c:pt idx="269">
                  <c:v>5.0516725000002225</c:v>
                </c:pt>
                <c:pt idx="270">
                  <c:v>5.0827851000003648</c:v>
                </c:pt>
                <c:pt idx="271">
                  <c:v>5.1137316000003921</c:v>
                </c:pt>
                <c:pt idx="272">
                  <c:v>5.1452981000002183</c:v>
                </c:pt>
                <c:pt idx="273">
                  <c:v>5.1763471000003847</c:v>
                </c:pt>
                <c:pt idx="274">
                  <c:v>5.206453700000111</c:v>
                </c:pt>
                <c:pt idx="275">
                  <c:v>5.2538562000004276</c:v>
                </c:pt>
                <c:pt idx="276">
                  <c:v>5.2850330000001122</c:v>
                </c:pt>
                <c:pt idx="277">
                  <c:v>5.3151507000002312</c:v>
                </c:pt>
                <c:pt idx="278">
                  <c:v>5.3462414000000535</c:v>
                </c:pt>
                <c:pt idx="279">
                  <c:v>5.3769308000000819</c:v>
                </c:pt>
                <c:pt idx="280">
                  <c:v>5.4089211000000432</c:v>
                </c:pt>
                <c:pt idx="281">
                  <c:v>5.4551541000000725</c:v>
                </c:pt>
                <c:pt idx="282">
                  <c:v>5.4857228000000759</c:v>
                </c:pt>
                <c:pt idx="283">
                  <c:v>5.5166819000000942</c:v>
                </c:pt>
                <c:pt idx="284">
                  <c:v>5.5484199000002263</c:v>
                </c:pt>
                <c:pt idx="285">
                  <c:v>5.5797838000003139</c:v>
                </c:pt>
                <c:pt idx="286">
                  <c:v>5.6095580000001064</c:v>
                </c:pt>
                <c:pt idx="287">
                  <c:v>5.6410262000003968</c:v>
                </c:pt>
                <c:pt idx="288">
                  <c:v>5.6720820000000458</c:v>
                </c:pt>
                <c:pt idx="289">
                  <c:v>5.7036822000000029</c:v>
                </c:pt>
                <c:pt idx="290">
                  <c:v>5.7347582000002149</c:v>
                </c:pt>
                <c:pt idx="291">
                  <c:v>5.7660101999999824</c:v>
                </c:pt>
                <c:pt idx="292">
                  <c:v>5.7983756000003268</c:v>
                </c:pt>
                <c:pt idx="293">
                  <c:v>5.8292917000003399</c:v>
                </c:pt>
                <c:pt idx="294">
                  <c:v>5.8760879999999815</c:v>
                </c:pt>
                <c:pt idx="295">
                  <c:v>5.9069489000003159</c:v>
                </c:pt>
                <c:pt idx="296">
                  <c:v>5.9376335000001745</c:v>
                </c:pt>
                <c:pt idx="297">
                  <c:v>5.9686227000001963</c:v>
                </c:pt>
                <c:pt idx="298">
                  <c:v>5.999062700000195</c:v>
                </c:pt>
                <c:pt idx="299">
                  <c:v>6.0304338000000826</c:v>
                </c:pt>
                <c:pt idx="300">
                  <c:v>6.0618288000000575</c:v>
                </c:pt>
                <c:pt idx="301">
                  <c:v>6.0927022000000761</c:v>
                </c:pt>
                <c:pt idx="302">
                  <c:v>6.1397364000004018</c:v>
                </c:pt>
                <c:pt idx="303">
                  <c:v>6.1711775000003399</c:v>
                </c:pt>
                <c:pt idx="304">
                  <c:v>6.1872160000002623</c:v>
                </c:pt>
                <c:pt idx="305">
                  <c:v>6.2184366000001319</c:v>
                </c:pt>
                <c:pt idx="306">
                  <c:v>6.2489861000003657</c:v>
                </c:pt>
                <c:pt idx="307">
                  <c:v>6.2801828999999998</c:v>
                </c:pt>
                <c:pt idx="308">
                  <c:v>6.3263348000000406</c:v>
                </c:pt>
                <c:pt idx="309">
                  <c:v>6.3577290000002904</c:v>
                </c:pt>
                <c:pt idx="310">
                  <c:v>6.3879193000002488</c:v>
                </c:pt>
                <c:pt idx="311">
                  <c:v>6.4188283000003139</c:v>
                </c:pt>
                <c:pt idx="312">
                  <c:v>6.4498166000003039</c:v>
                </c:pt>
                <c:pt idx="313">
                  <c:v>6.4810206000001926</c:v>
                </c:pt>
                <c:pt idx="314">
                  <c:v>6.5271981000000778</c:v>
                </c:pt>
                <c:pt idx="315">
                  <c:v>6.5573610000001281</c:v>
                </c:pt>
                <c:pt idx="316">
                  <c:v>6.5885600000001432</c:v>
                </c:pt>
                <c:pt idx="317">
                  <c:v>6.6192061000001559</c:v>
                </c:pt>
                <c:pt idx="318">
                  <c:v>6.6495939999999791</c:v>
                </c:pt>
                <c:pt idx="319">
                  <c:v>6.6809850000004189</c:v>
                </c:pt>
                <c:pt idx="320">
                  <c:v>6.7279085000000123</c:v>
                </c:pt>
                <c:pt idx="321">
                  <c:v>6.7590113000001111</c:v>
                </c:pt>
                <c:pt idx="322">
                  <c:v>6.7899225000001024</c:v>
                </c:pt>
                <c:pt idx="323">
                  <c:v>6.8056283000000803</c:v>
                </c:pt>
                <c:pt idx="324">
                  <c:v>6.8376799000002393</c:v>
                </c:pt>
                <c:pt idx="325">
                  <c:v>6.8684104000003572</c:v>
                </c:pt>
                <c:pt idx="326">
                  <c:v>6.9149276000002828</c:v>
                </c:pt>
                <c:pt idx="327">
                  <c:v>6.946722900000168</c:v>
                </c:pt>
                <c:pt idx="328">
                  <c:v>6.9777452000002995</c:v>
                </c:pt>
                <c:pt idx="329">
                  <c:v>7.0080390000002808</c:v>
                </c:pt>
                <c:pt idx="330">
                  <c:v>7.039289700000154</c:v>
                </c:pt>
                <c:pt idx="331">
                  <c:v>7.0705900000002657</c:v>
                </c:pt>
                <c:pt idx="332">
                  <c:v>7.1177352000004248</c:v>
                </c:pt>
                <c:pt idx="333">
                  <c:v>7.149779700000181</c:v>
                </c:pt>
                <c:pt idx="334">
                  <c:v>7.1810393000000659</c:v>
                </c:pt>
                <c:pt idx="335">
                  <c:v>7.2121169000001828</c:v>
                </c:pt>
                <c:pt idx="336">
                  <c:v>7.2427593000002162</c:v>
                </c:pt>
                <c:pt idx="337">
                  <c:v>7.2730527000003349</c:v>
                </c:pt>
                <c:pt idx="338">
                  <c:v>7.3046481000001222</c:v>
                </c:pt>
                <c:pt idx="339">
                  <c:v>7.3364228000000367</c:v>
                </c:pt>
                <c:pt idx="340">
                  <c:v>7.367167000000336</c:v>
                </c:pt>
                <c:pt idx="341">
                  <c:v>7.3981877000001077</c:v>
                </c:pt>
                <c:pt idx="342">
                  <c:v>7.4297265000000152</c:v>
                </c:pt>
                <c:pt idx="343">
                  <c:v>7.4607101999999941</c:v>
                </c:pt>
                <c:pt idx="344">
                  <c:v>7.4922096000000238</c:v>
                </c:pt>
                <c:pt idx="345">
                  <c:v>7.5385995000001458</c:v>
                </c:pt>
                <c:pt idx="346">
                  <c:v>7.570056200000181</c:v>
                </c:pt>
                <c:pt idx="347">
                  <c:v>7.6007871000001614</c:v>
                </c:pt>
                <c:pt idx="348">
                  <c:v>7.6318452000000434</c:v>
                </c:pt>
                <c:pt idx="349">
                  <c:v>7.6628080000000409</c:v>
                </c:pt>
                <c:pt idx="350">
                  <c:v>7.693853300000228</c:v>
                </c:pt>
                <c:pt idx="351">
                  <c:v>7.740906300000006</c:v>
                </c:pt>
                <c:pt idx="352">
                  <c:v>7.7560024000003978</c:v>
                </c:pt>
                <c:pt idx="353">
                  <c:v>7.8027047000000493</c:v>
                </c:pt>
                <c:pt idx="354">
                  <c:v>7.818170800000189</c:v>
                </c:pt>
                <c:pt idx="355">
                  <c:v>7.849333900000147</c:v>
                </c:pt>
                <c:pt idx="356">
                  <c:v>7.8953836000000592</c:v>
                </c:pt>
                <c:pt idx="357">
                  <c:v>7.9105360000003202</c:v>
                </c:pt>
                <c:pt idx="358">
                  <c:v>7.9416419000003771</c:v>
                </c:pt>
                <c:pt idx="359">
                  <c:v>7.988133000000289</c:v>
                </c:pt>
                <c:pt idx="360">
                  <c:v>8.0195339000001695</c:v>
                </c:pt>
                <c:pt idx="361">
                  <c:v>8.0499366000003647</c:v>
                </c:pt>
                <c:pt idx="362">
                  <c:v>8.0813528000003316</c:v>
                </c:pt>
                <c:pt idx="363">
                  <c:v>8.1119710000002669</c:v>
                </c:pt>
                <c:pt idx="364">
                  <c:v>8.1418160000002899</c:v>
                </c:pt>
                <c:pt idx="365">
                  <c:v>8.1884018000000651</c:v>
                </c:pt>
                <c:pt idx="366">
                  <c:v>8.2195125000002918</c:v>
                </c:pt>
                <c:pt idx="367">
                  <c:v>8.2505235000003267</c:v>
                </c:pt>
                <c:pt idx="368">
                  <c:v>8.2813416000003599</c:v>
                </c:pt>
                <c:pt idx="369">
                  <c:v>8.3130092000001241</c:v>
                </c:pt>
                <c:pt idx="370">
                  <c:v>8.3439578000002257</c:v>
                </c:pt>
                <c:pt idx="371">
                  <c:v>8.3752976000000672</c:v>
                </c:pt>
                <c:pt idx="372">
                  <c:v>8.4216149000003497</c:v>
                </c:pt>
                <c:pt idx="373">
                  <c:v>8.435135100000025</c:v>
                </c:pt>
                <c:pt idx="374">
                  <c:v>8.4680778000001737</c:v>
                </c:pt>
                <c:pt idx="375">
                  <c:v>8.4993426000000909</c:v>
                </c:pt>
                <c:pt idx="376">
                  <c:v>8.5301843000002009</c:v>
                </c:pt>
                <c:pt idx="377">
                  <c:v>8.5311843000002003</c:v>
                </c:pt>
                <c:pt idx="378">
                  <c:v>8.5615048000004208</c:v>
                </c:pt>
                <c:pt idx="379">
                  <c:v>8.6084997000002659</c:v>
                </c:pt>
                <c:pt idx="380">
                  <c:v>8.6396508000002541</c:v>
                </c:pt>
                <c:pt idx="381">
                  <c:v>8.6708717999999863</c:v>
                </c:pt>
                <c:pt idx="382">
                  <c:v>8.7026233000001412</c:v>
                </c:pt>
                <c:pt idx="383">
                  <c:v>8.7334623000001557</c:v>
                </c:pt>
                <c:pt idx="384">
                  <c:v>8.7646595000001071</c:v>
                </c:pt>
                <c:pt idx="385">
                  <c:v>8.8111308000002282</c:v>
                </c:pt>
                <c:pt idx="386">
                  <c:v>8.8430741000001944</c:v>
                </c:pt>
                <c:pt idx="387">
                  <c:v>8.8728994000002785</c:v>
                </c:pt>
                <c:pt idx="388">
                  <c:v>8.9049598000001424</c:v>
                </c:pt>
                <c:pt idx="389">
                  <c:v>8.920539700000063</c:v>
                </c:pt>
                <c:pt idx="390">
                  <c:v>8.9517083000000639</c:v>
                </c:pt>
                <c:pt idx="391">
                  <c:v>8.9822482000004129</c:v>
                </c:pt>
                <c:pt idx="392">
                  <c:v>9.0298377000003711</c:v>
                </c:pt>
                <c:pt idx="393">
                  <c:v>9.0611833000002662</c:v>
                </c:pt>
                <c:pt idx="394">
                  <c:v>9.0922832000001108</c:v>
                </c:pt>
                <c:pt idx="395">
                  <c:v>9.12239610000006</c:v>
                </c:pt>
                <c:pt idx="396">
                  <c:v>9.1532780000002276</c:v>
                </c:pt>
                <c:pt idx="397">
                  <c:v>9.1842184000001907</c:v>
                </c:pt>
                <c:pt idx="398">
                  <c:v>9.2300111000004108</c:v>
                </c:pt>
                <c:pt idx="399">
                  <c:v>9.2606885000000148</c:v>
                </c:pt>
                <c:pt idx="400">
                  <c:v>9.291738500000065</c:v>
                </c:pt>
                <c:pt idx="401">
                  <c:v>9.3234608000002481</c:v>
                </c:pt>
                <c:pt idx="402">
                  <c:v>9.3695388000001003</c:v>
                </c:pt>
                <c:pt idx="403">
                  <c:v>9.4001502000000983</c:v>
                </c:pt>
                <c:pt idx="404">
                  <c:v>9.4309679000002689</c:v>
                </c:pt>
                <c:pt idx="405">
                  <c:v>9.4623018000002048</c:v>
                </c:pt>
                <c:pt idx="406">
                  <c:v>9.4935661000004075</c:v>
                </c:pt>
                <c:pt idx="407">
                  <c:v>9.5246996000000763</c:v>
                </c:pt>
                <c:pt idx="408">
                  <c:v>9.5554276000002574</c:v>
                </c:pt>
                <c:pt idx="409">
                  <c:v>9.5555276000002571</c:v>
                </c:pt>
                <c:pt idx="410">
                  <c:v>9.5856540000004316</c:v>
                </c:pt>
                <c:pt idx="411">
                  <c:v>9.6167265000003681</c:v>
                </c:pt>
                <c:pt idx="412">
                  <c:v>9.6474853000004259</c:v>
                </c:pt>
                <c:pt idx="413">
                  <c:v>9.6789674999999988</c:v>
                </c:pt>
                <c:pt idx="414">
                  <c:v>9.7094308000000638</c:v>
                </c:pt>
                <c:pt idx="415">
                  <c:v>9.7403956000002836</c:v>
                </c:pt>
                <c:pt idx="416">
                  <c:v>9.7720160000003489</c:v>
                </c:pt>
                <c:pt idx="417">
                  <c:v>9.8176916000002166</c:v>
                </c:pt>
                <c:pt idx="418">
                  <c:v>9.8488786000002619</c:v>
                </c:pt>
                <c:pt idx="419">
                  <c:v>9.8793074000000161</c:v>
                </c:pt>
                <c:pt idx="420">
                  <c:v>9.9106115000004138</c:v>
                </c:pt>
                <c:pt idx="421">
                  <c:v>9.9409724000001916</c:v>
                </c:pt>
                <c:pt idx="422">
                  <c:v>9.9728406000003815</c:v>
                </c:pt>
                <c:pt idx="423">
                  <c:v>10.004080200000317</c:v>
                </c:pt>
                <c:pt idx="424">
                  <c:v>10.052269700000124</c:v>
                </c:pt>
                <c:pt idx="425">
                  <c:v>10.067612800000006</c:v>
                </c:pt>
                <c:pt idx="426">
                  <c:v>10.098507600000175</c:v>
                </c:pt>
                <c:pt idx="427">
                  <c:v>10.129110700000183</c:v>
                </c:pt>
                <c:pt idx="428">
                  <c:v>10.159869600000093</c:v>
                </c:pt>
                <c:pt idx="429">
                  <c:v>10.191697800000384</c:v>
                </c:pt>
                <c:pt idx="430">
                  <c:v>10.223350500000379</c:v>
                </c:pt>
                <c:pt idx="431">
                  <c:v>10.317478700000265</c:v>
                </c:pt>
                <c:pt idx="432">
                  <c:v>10.333174900000358</c:v>
                </c:pt>
                <c:pt idx="433">
                  <c:v>10.348560300000372</c:v>
                </c:pt>
                <c:pt idx="434">
                  <c:v>10.36367700000028</c:v>
                </c:pt>
                <c:pt idx="435">
                  <c:v>10.410301700000218</c:v>
                </c:pt>
                <c:pt idx="436">
                  <c:v>10.58332960000007</c:v>
                </c:pt>
                <c:pt idx="437">
                  <c:v>10.598769900000207</c:v>
                </c:pt>
                <c:pt idx="438">
                  <c:v>10.614560700000311</c:v>
                </c:pt>
                <c:pt idx="439">
                  <c:v>10.63024680000035</c:v>
                </c:pt>
                <c:pt idx="440">
                  <c:v>10.645605100000012</c:v>
                </c:pt>
                <c:pt idx="441">
                  <c:v>10.661888300000101</c:v>
                </c:pt>
                <c:pt idx="442">
                  <c:v>10.67790260000038</c:v>
                </c:pt>
                <c:pt idx="443">
                  <c:v>10.693193000000065</c:v>
                </c:pt>
                <c:pt idx="444">
                  <c:v>10.709016600000268</c:v>
                </c:pt>
                <c:pt idx="445">
                  <c:v>10.724044000000049</c:v>
                </c:pt>
                <c:pt idx="446">
                  <c:v>10.756220200000371</c:v>
                </c:pt>
                <c:pt idx="447">
                  <c:v>10.787308800000119</c:v>
                </c:pt>
                <c:pt idx="448">
                  <c:v>10.833230000000185</c:v>
                </c:pt>
                <c:pt idx="449">
                  <c:v>10.848908600000414</c:v>
                </c:pt>
                <c:pt idx="450">
                  <c:v>10.895104500000343</c:v>
                </c:pt>
                <c:pt idx="451">
                  <c:v>10.926145600000382</c:v>
                </c:pt>
                <c:pt idx="452">
                  <c:v>10.942143000000215</c:v>
                </c:pt>
                <c:pt idx="453">
                  <c:v>10.973500700000386</c:v>
                </c:pt>
                <c:pt idx="454">
                  <c:v>11.019185500000276</c:v>
                </c:pt>
                <c:pt idx="455">
                  <c:v>11.034989600000245</c:v>
                </c:pt>
                <c:pt idx="456">
                  <c:v>11.082045999999991</c:v>
                </c:pt>
                <c:pt idx="457">
                  <c:v>11.1128262000002</c:v>
                </c:pt>
                <c:pt idx="458">
                  <c:v>11.143854800000099</c:v>
                </c:pt>
                <c:pt idx="459">
                  <c:v>11.175350700000308</c:v>
                </c:pt>
                <c:pt idx="460">
                  <c:v>11.206693400000404</c:v>
                </c:pt>
                <c:pt idx="461">
                  <c:v>11.237335799999983</c:v>
                </c:pt>
                <c:pt idx="462">
                  <c:v>11.284025600000405</c:v>
                </c:pt>
                <c:pt idx="463">
                  <c:v>11.314848700000312</c:v>
                </c:pt>
                <c:pt idx="464">
                  <c:v>11.345894600000065</c:v>
                </c:pt>
                <c:pt idx="465">
                  <c:v>11.377582900000107</c:v>
                </c:pt>
                <c:pt idx="466">
                  <c:v>11.408712500000092</c:v>
                </c:pt>
                <c:pt idx="467">
                  <c:v>11.424737800000003</c:v>
                </c:pt>
                <c:pt idx="468">
                  <c:v>11.47156490000043</c:v>
                </c:pt>
                <c:pt idx="469">
                  <c:v>11.502535600000101</c:v>
                </c:pt>
                <c:pt idx="470">
                  <c:v>11.534924500000216</c:v>
                </c:pt>
                <c:pt idx="471">
                  <c:v>11.565958300000148</c:v>
                </c:pt>
                <c:pt idx="472">
                  <c:v>11.59783920000018</c:v>
                </c:pt>
                <c:pt idx="473">
                  <c:v>11.644704600000296</c:v>
                </c:pt>
                <c:pt idx="474">
                  <c:v>11.675825900000291</c:v>
                </c:pt>
                <c:pt idx="475">
                  <c:v>11.706475600000431</c:v>
                </c:pt>
                <c:pt idx="476">
                  <c:v>11.737749000000349</c:v>
                </c:pt>
                <c:pt idx="477">
                  <c:v>11.76921160000029</c:v>
                </c:pt>
                <c:pt idx="478">
                  <c:v>11.800858600000083</c:v>
                </c:pt>
                <c:pt idx="479">
                  <c:v>11.832110300000295</c:v>
                </c:pt>
                <c:pt idx="480">
                  <c:v>11.847406900000351</c:v>
                </c:pt>
                <c:pt idx="481">
                  <c:v>11.894228900000144</c:v>
                </c:pt>
                <c:pt idx="482">
                  <c:v>11.92492110000012</c:v>
                </c:pt>
                <c:pt idx="483">
                  <c:v>11.955142800000431</c:v>
                </c:pt>
                <c:pt idx="484">
                  <c:v>12.000833200000216</c:v>
                </c:pt>
                <c:pt idx="485">
                  <c:v>12.016915900000186</c:v>
                </c:pt>
                <c:pt idx="486">
                  <c:v>12.063823899999988</c:v>
                </c:pt>
                <c:pt idx="487">
                  <c:v>12.094814100000349</c:v>
                </c:pt>
                <c:pt idx="488">
                  <c:v>12.125114600000416</c:v>
                </c:pt>
                <c:pt idx="489">
                  <c:v>12.15568790000043</c:v>
                </c:pt>
                <c:pt idx="490">
                  <c:v>12.186626400000023</c:v>
                </c:pt>
                <c:pt idx="491">
                  <c:v>12.218306000000211</c:v>
                </c:pt>
                <c:pt idx="492">
                  <c:v>12.249259600000187</c:v>
                </c:pt>
                <c:pt idx="493">
                  <c:v>12.296085400000266</c:v>
                </c:pt>
                <c:pt idx="494">
                  <c:v>12.326275300000361</c:v>
                </c:pt>
                <c:pt idx="495">
                  <c:v>12.357014600000184</c:v>
                </c:pt>
                <c:pt idx="496">
                  <c:v>12.388153500000044</c:v>
                </c:pt>
                <c:pt idx="497">
                  <c:v>12.4197750000003</c:v>
                </c:pt>
                <c:pt idx="498">
                  <c:v>12.451095400000213</c:v>
                </c:pt>
                <c:pt idx="499">
                  <c:v>12.482295500000419</c:v>
                </c:pt>
                <c:pt idx="500">
                  <c:v>12.513406000000032</c:v>
                </c:pt>
                <c:pt idx="501">
                  <c:v>12.545510300000387</c:v>
                </c:pt>
                <c:pt idx="502">
                  <c:v>12.576301700000386</c:v>
                </c:pt>
                <c:pt idx="503">
                  <c:v>12.607888900000034</c:v>
                </c:pt>
                <c:pt idx="504">
                  <c:v>12.638797200000226</c:v>
                </c:pt>
                <c:pt idx="505">
                  <c:v>12.670864300000176</c:v>
                </c:pt>
                <c:pt idx="506">
                  <c:v>12.702406300000348</c:v>
                </c:pt>
                <c:pt idx="507">
                  <c:v>12.748906799999986</c:v>
                </c:pt>
                <c:pt idx="508">
                  <c:v>12.780055300000186</c:v>
                </c:pt>
                <c:pt idx="509">
                  <c:v>12.810586700000385</c:v>
                </c:pt>
                <c:pt idx="510">
                  <c:v>12.840667400000257</c:v>
                </c:pt>
                <c:pt idx="511">
                  <c:v>12.87273660000028</c:v>
                </c:pt>
                <c:pt idx="512">
                  <c:v>12.919059700000162</c:v>
                </c:pt>
                <c:pt idx="513">
                  <c:v>12.950166000000081</c:v>
                </c:pt>
                <c:pt idx="514">
                  <c:v>12.965575600000193</c:v>
                </c:pt>
                <c:pt idx="515">
                  <c:v>12.996916700000384</c:v>
                </c:pt>
                <c:pt idx="516">
                  <c:v>13.027586500000325</c:v>
                </c:pt>
                <c:pt idx="517">
                  <c:v>13.058944500000052</c:v>
                </c:pt>
                <c:pt idx="518">
                  <c:v>13.089599500000077</c:v>
                </c:pt>
                <c:pt idx="519">
                  <c:v>13.136956600000303</c:v>
                </c:pt>
                <c:pt idx="520">
                  <c:v>13.167147800000294</c:v>
                </c:pt>
                <c:pt idx="521">
                  <c:v>13.197788200000105</c:v>
                </c:pt>
                <c:pt idx="522">
                  <c:v>13.243707000000086</c:v>
                </c:pt>
                <c:pt idx="523">
                  <c:v>13.30562800000007</c:v>
                </c:pt>
                <c:pt idx="524">
                  <c:v>13.320852300000297</c:v>
                </c:pt>
                <c:pt idx="525">
                  <c:v>13.336251400000037</c:v>
                </c:pt>
                <c:pt idx="526">
                  <c:v>13.367295000000013</c:v>
                </c:pt>
                <c:pt idx="527">
                  <c:v>13.397435500000029</c:v>
                </c:pt>
                <c:pt idx="528">
                  <c:v>13.429170900000372</c:v>
                </c:pt>
                <c:pt idx="529">
                  <c:v>13.460952700000234</c:v>
                </c:pt>
                <c:pt idx="530">
                  <c:v>13.492381000000023</c:v>
                </c:pt>
                <c:pt idx="531">
                  <c:v>13.523081499999989</c:v>
                </c:pt>
                <c:pt idx="532">
                  <c:v>13.555078700000195</c:v>
                </c:pt>
                <c:pt idx="533">
                  <c:v>13.587006100000053</c:v>
                </c:pt>
                <c:pt idx="534">
                  <c:v>13.619073000000299</c:v>
                </c:pt>
                <c:pt idx="535">
                  <c:v>13.650212200000169</c:v>
                </c:pt>
                <c:pt idx="536">
                  <c:v>13.681003300000157</c:v>
                </c:pt>
                <c:pt idx="537">
                  <c:v>13.712306100000205</c:v>
                </c:pt>
                <c:pt idx="538">
                  <c:v>13.758961900000031</c:v>
                </c:pt>
                <c:pt idx="539">
                  <c:v>13.789472500000102</c:v>
                </c:pt>
                <c:pt idx="540">
                  <c:v>13.822084700000232</c:v>
                </c:pt>
                <c:pt idx="541">
                  <c:v>13.852689600000303</c:v>
                </c:pt>
                <c:pt idx="542">
                  <c:v>13.883946300000389</c:v>
                </c:pt>
                <c:pt idx="543">
                  <c:v>13.914673300000231</c:v>
                </c:pt>
                <c:pt idx="544">
                  <c:v>13.945167700000184</c:v>
                </c:pt>
                <c:pt idx="545">
                  <c:v>13.992031400000087</c:v>
                </c:pt>
                <c:pt idx="546">
                  <c:v>14.023872700000084</c:v>
                </c:pt>
                <c:pt idx="547">
                  <c:v>14.054001299999982</c:v>
                </c:pt>
                <c:pt idx="548">
                  <c:v>14.069429500000297</c:v>
                </c:pt>
                <c:pt idx="549">
                  <c:v>14.100932499999999</c:v>
                </c:pt>
                <c:pt idx="550">
                  <c:v>14.14680670000007</c:v>
                </c:pt>
                <c:pt idx="551">
                  <c:v>14.17827780000016</c:v>
                </c:pt>
                <c:pt idx="552">
                  <c:v>14.209291300000132</c:v>
                </c:pt>
                <c:pt idx="553">
                  <c:v>14.240556100000049</c:v>
                </c:pt>
                <c:pt idx="554">
                  <c:v>14.271950000000288</c:v>
                </c:pt>
                <c:pt idx="555">
                  <c:v>14.303397800000312</c:v>
                </c:pt>
                <c:pt idx="556">
                  <c:v>14.333667700000206</c:v>
                </c:pt>
                <c:pt idx="557">
                  <c:v>14.380823100000271</c:v>
                </c:pt>
                <c:pt idx="558">
                  <c:v>14.411975400000301</c:v>
                </c:pt>
              </c:numCache>
            </c:numRef>
          </c:xVal>
          <c:yVal>
            <c:numRef>
              <c:f>'Maju 0.1'!$V$7:$V$565</c:f>
              <c:numCache>
                <c:formatCode>General</c:formatCode>
                <c:ptCount val="559"/>
                <c:pt idx="0">
                  <c:v>0.373</c:v>
                </c:pt>
                <c:pt idx="1">
                  <c:v>0.373</c:v>
                </c:pt>
                <c:pt idx="2">
                  <c:v>0.373</c:v>
                </c:pt>
                <c:pt idx="3">
                  <c:v>0.373</c:v>
                </c:pt>
                <c:pt idx="4">
                  <c:v>0.373</c:v>
                </c:pt>
                <c:pt idx="5">
                  <c:v>0.373</c:v>
                </c:pt>
                <c:pt idx="6">
                  <c:v>0.373</c:v>
                </c:pt>
                <c:pt idx="7">
                  <c:v>0.373</c:v>
                </c:pt>
                <c:pt idx="8">
                  <c:v>0.373</c:v>
                </c:pt>
                <c:pt idx="9">
                  <c:v>0.373</c:v>
                </c:pt>
                <c:pt idx="10">
                  <c:v>0.373</c:v>
                </c:pt>
                <c:pt idx="11">
                  <c:v>0.373</c:v>
                </c:pt>
                <c:pt idx="12">
                  <c:v>0.373</c:v>
                </c:pt>
                <c:pt idx="13">
                  <c:v>0.373</c:v>
                </c:pt>
                <c:pt idx="14">
                  <c:v>0.373</c:v>
                </c:pt>
                <c:pt idx="15">
                  <c:v>0.373</c:v>
                </c:pt>
                <c:pt idx="16">
                  <c:v>0.373</c:v>
                </c:pt>
                <c:pt idx="17">
                  <c:v>0.373</c:v>
                </c:pt>
                <c:pt idx="18">
                  <c:v>0.373</c:v>
                </c:pt>
                <c:pt idx="19">
                  <c:v>0.373</c:v>
                </c:pt>
                <c:pt idx="20">
                  <c:v>0.373</c:v>
                </c:pt>
                <c:pt idx="21">
                  <c:v>0.318</c:v>
                </c:pt>
                <c:pt idx="22">
                  <c:v>0.318</c:v>
                </c:pt>
                <c:pt idx="23">
                  <c:v>0.318</c:v>
                </c:pt>
                <c:pt idx="24">
                  <c:v>0.318</c:v>
                </c:pt>
                <c:pt idx="25">
                  <c:v>0.14699999999999999</c:v>
                </c:pt>
                <c:pt idx="26">
                  <c:v>0.14699999999999999</c:v>
                </c:pt>
                <c:pt idx="27">
                  <c:v>0.14699999999999999</c:v>
                </c:pt>
                <c:pt idx="28">
                  <c:v>0.14699999999999999</c:v>
                </c:pt>
                <c:pt idx="29">
                  <c:v>0.46899999999999997</c:v>
                </c:pt>
                <c:pt idx="30">
                  <c:v>0.46899999999999997</c:v>
                </c:pt>
                <c:pt idx="31">
                  <c:v>0.46899999999999997</c:v>
                </c:pt>
                <c:pt idx="32">
                  <c:v>0.46899999999999997</c:v>
                </c:pt>
                <c:pt idx="33">
                  <c:v>0.64</c:v>
                </c:pt>
                <c:pt idx="34">
                  <c:v>0.64</c:v>
                </c:pt>
                <c:pt idx="35">
                  <c:v>0.64</c:v>
                </c:pt>
                <c:pt idx="36">
                  <c:v>0.64</c:v>
                </c:pt>
                <c:pt idx="37">
                  <c:v>0.69799999999999995</c:v>
                </c:pt>
                <c:pt idx="38">
                  <c:v>0.69799999999999995</c:v>
                </c:pt>
                <c:pt idx="39">
                  <c:v>0.69799999999999995</c:v>
                </c:pt>
                <c:pt idx="40">
                  <c:v>0.69799999999999995</c:v>
                </c:pt>
                <c:pt idx="41">
                  <c:v>0.83899999999999997</c:v>
                </c:pt>
                <c:pt idx="42">
                  <c:v>0.83899999999999997</c:v>
                </c:pt>
                <c:pt idx="43">
                  <c:v>0.83899999999999997</c:v>
                </c:pt>
                <c:pt idx="44">
                  <c:v>0.83899999999999997</c:v>
                </c:pt>
                <c:pt idx="45">
                  <c:v>0.47199999999999998</c:v>
                </c:pt>
                <c:pt idx="46">
                  <c:v>0.47199999999999998</c:v>
                </c:pt>
                <c:pt idx="47">
                  <c:v>0.47199999999999998</c:v>
                </c:pt>
                <c:pt idx="48">
                  <c:v>0.47199999999999998</c:v>
                </c:pt>
                <c:pt idx="49">
                  <c:v>0.47199999999999998</c:v>
                </c:pt>
                <c:pt idx="50">
                  <c:v>-0.17399999999999999</c:v>
                </c:pt>
                <c:pt idx="51">
                  <c:v>-0.17399999999999999</c:v>
                </c:pt>
                <c:pt idx="52">
                  <c:v>-0.17399999999999999</c:v>
                </c:pt>
                <c:pt idx="53">
                  <c:v>-0.17399999999999999</c:v>
                </c:pt>
                <c:pt idx="54">
                  <c:v>-0.84899999999999998</c:v>
                </c:pt>
                <c:pt idx="55">
                  <c:v>-0.84899999999999998</c:v>
                </c:pt>
                <c:pt idx="56">
                  <c:v>-0.84899999999999998</c:v>
                </c:pt>
                <c:pt idx="57">
                  <c:v>-0.84899999999999998</c:v>
                </c:pt>
                <c:pt idx="58">
                  <c:v>-1.6419999999999999</c:v>
                </c:pt>
                <c:pt idx="59">
                  <c:v>-1.6419999999999999</c:v>
                </c:pt>
                <c:pt idx="60">
                  <c:v>-1.6419999999999999</c:v>
                </c:pt>
                <c:pt idx="61">
                  <c:v>-1.6419999999999999</c:v>
                </c:pt>
                <c:pt idx="62">
                  <c:v>-2.1160000000000001</c:v>
                </c:pt>
                <c:pt idx="63">
                  <c:v>-2.1160000000000001</c:v>
                </c:pt>
                <c:pt idx="64">
                  <c:v>-2.1160000000000001</c:v>
                </c:pt>
                <c:pt idx="65">
                  <c:v>-2.1160000000000001</c:v>
                </c:pt>
                <c:pt idx="66">
                  <c:v>-2.1160000000000001</c:v>
                </c:pt>
                <c:pt idx="67">
                  <c:v>-2.121</c:v>
                </c:pt>
                <c:pt idx="68">
                  <c:v>-2.121</c:v>
                </c:pt>
                <c:pt idx="69">
                  <c:v>-2.121</c:v>
                </c:pt>
                <c:pt idx="70">
                  <c:v>-2.121</c:v>
                </c:pt>
                <c:pt idx="71">
                  <c:v>-1.835</c:v>
                </c:pt>
                <c:pt idx="72">
                  <c:v>-1.835</c:v>
                </c:pt>
                <c:pt idx="73">
                  <c:v>-1.835</c:v>
                </c:pt>
                <c:pt idx="74">
                  <c:v>-1.835</c:v>
                </c:pt>
                <c:pt idx="75">
                  <c:v>-1.5880000000000001</c:v>
                </c:pt>
                <c:pt idx="76">
                  <c:v>-1.5880000000000001</c:v>
                </c:pt>
                <c:pt idx="77">
                  <c:v>-1.5880000000000001</c:v>
                </c:pt>
                <c:pt idx="78">
                  <c:v>-1.5880000000000001</c:v>
                </c:pt>
                <c:pt idx="79">
                  <c:v>-1.5880000000000001</c:v>
                </c:pt>
                <c:pt idx="80">
                  <c:v>-1.5069999999999999</c:v>
                </c:pt>
                <c:pt idx="81">
                  <c:v>-1.5069999999999999</c:v>
                </c:pt>
                <c:pt idx="82">
                  <c:v>-1.5069999999999999</c:v>
                </c:pt>
                <c:pt idx="83">
                  <c:v>-1.5069999999999999</c:v>
                </c:pt>
                <c:pt idx="84">
                  <c:v>-1.5680000000000001</c:v>
                </c:pt>
                <c:pt idx="85">
                  <c:v>-1.5680000000000001</c:v>
                </c:pt>
                <c:pt idx="86">
                  <c:v>-1.5680000000000001</c:v>
                </c:pt>
                <c:pt idx="87">
                  <c:v>-1.5680000000000001</c:v>
                </c:pt>
                <c:pt idx="88">
                  <c:v>-1.5680000000000001</c:v>
                </c:pt>
                <c:pt idx="89">
                  <c:v>-1.345</c:v>
                </c:pt>
                <c:pt idx="90">
                  <c:v>-1.345</c:v>
                </c:pt>
                <c:pt idx="91">
                  <c:v>-1.345</c:v>
                </c:pt>
                <c:pt idx="92">
                  <c:v>-1.345</c:v>
                </c:pt>
                <c:pt idx="93">
                  <c:v>-1.0780000000000001</c:v>
                </c:pt>
                <c:pt idx="94">
                  <c:v>-1.0780000000000001</c:v>
                </c:pt>
                <c:pt idx="95">
                  <c:v>-1.0780000000000001</c:v>
                </c:pt>
                <c:pt idx="96">
                  <c:v>-1.0780000000000001</c:v>
                </c:pt>
                <c:pt idx="97">
                  <c:v>-1.0780000000000001</c:v>
                </c:pt>
                <c:pt idx="98">
                  <c:v>-0.93</c:v>
                </c:pt>
                <c:pt idx="99">
                  <c:v>-0.93</c:v>
                </c:pt>
                <c:pt idx="100">
                  <c:v>-0.93</c:v>
                </c:pt>
                <c:pt idx="101">
                  <c:v>-0.69199999999999995</c:v>
                </c:pt>
                <c:pt idx="102">
                  <c:v>-0.69199999999999995</c:v>
                </c:pt>
                <c:pt idx="103">
                  <c:v>-0.69199999999999995</c:v>
                </c:pt>
                <c:pt idx="104">
                  <c:v>-0.69199999999999995</c:v>
                </c:pt>
                <c:pt idx="105">
                  <c:v>-0.76</c:v>
                </c:pt>
                <c:pt idx="106">
                  <c:v>-0.76</c:v>
                </c:pt>
                <c:pt idx="107">
                  <c:v>-0.76</c:v>
                </c:pt>
                <c:pt idx="108">
                  <c:v>-0.76</c:v>
                </c:pt>
                <c:pt idx="109">
                  <c:v>-0.76</c:v>
                </c:pt>
                <c:pt idx="110">
                  <c:v>-0.94899999999999995</c:v>
                </c:pt>
                <c:pt idx="111">
                  <c:v>-0.94899999999999995</c:v>
                </c:pt>
                <c:pt idx="112">
                  <c:v>-0.94899999999999995</c:v>
                </c:pt>
                <c:pt idx="113">
                  <c:v>-0.94899999999999995</c:v>
                </c:pt>
                <c:pt idx="114">
                  <c:v>-1.1819999999999999</c:v>
                </c:pt>
                <c:pt idx="115">
                  <c:v>-1.1819999999999999</c:v>
                </c:pt>
                <c:pt idx="116">
                  <c:v>-1.1819999999999999</c:v>
                </c:pt>
                <c:pt idx="117">
                  <c:v>-1.1819999999999999</c:v>
                </c:pt>
                <c:pt idx="118">
                  <c:v>-1.347</c:v>
                </c:pt>
                <c:pt idx="119">
                  <c:v>-1.347</c:v>
                </c:pt>
                <c:pt idx="120">
                  <c:v>-1.347</c:v>
                </c:pt>
                <c:pt idx="121">
                  <c:v>-1.347</c:v>
                </c:pt>
                <c:pt idx="122">
                  <c:v>-1.347</c:v>
                </c:pt>
                <c:pt idx="123">
                  <c:v>-1.347</c:v>
                </c:pt>
                <c:pt idx="124">
                  <c:v>-1.347</c:v>
                </c:pt>
                <c:pt idx="125">
                  <c:v>-1.347</c:v>
                </c:pt>
                <c:pt idx="126">
                  <c:v>-1.347</c:v>
                </c:pt>
                <c:pt idx="127">
                  <c:v>-1.0880000000000001</c:v>
                </c:pt>
                <c:pt idx="128">
                  <c:v>-1.0880000000000001</c:v>
                </c:pt>
                <c:pt idx="129">
                  <c:v>-1.0880000000000001</c:v>
                </c:pt>
                <c:pt idx="130">
                  <c:v>-0.66700000000000004</c:v>
                </c:pt>
                <c:pt idx="131">
                  <c:v>-0.66700000000000004</c:v>
                </c:pt>
                <c:pt idx="132">
                  <c:v>-0.66700000000000004</c:v>
                </c:pt>
                <c:pt idx="133">
                  <c:v>-0.66700000000000004</c:v>
                </c:pt>
                <c:pt idx="134">
                  <c:v>-0.66700000000000004</c:v>
                </c:pt>
                <c:pt idx="135">
                  <c:v>-0.36399999999999999</c:v>
                </c:pt>
                <c:pt idx="136">
                  <c:v>-0.36399999999999999</c:v>
                </c:pt>
                <c:pt idx="137">
                  <c:v>-0.36399999999999999</c:v>
                </c:pt>
                <c:pt idx="138">
                  <c:v>-0.36399999999999999</c:v>
                </c:pt>
                <c:pt idx="139">
                  <c:v>3.0000000000000001E-3</c:v>
                </c:pt>
                <c:pt idx="140">
                  <c:v>3.0000000000000001E-3</c:v>
                </c:pt>
                <c:pt idx="141">
                  <c:v>3.0000000000000001E-3</c:v>
                </c:pt>
                <c:pt idx="142">
                  <c:v>3.0000000000000001E-3</c:v>
                </c:pt>
                <c:pt idx="143">
                  <c:v>3.0000000000000001E-3</c:v>
                </c:pt>
                <c:pt idx="144">
                  <c:v>0.48599999999999999</c:v>
                </c:pt>
                <c:pt idx="145">
                  <c:v>0.48599999999999999</c:v>
                </c:pt>
                <c:pt idx="146">
                  <c:v>0.48599999999999999</c:v>
                </c:pt>
                <c:pt idx="147">
                  <c:v>0.48599999999999999</c:v>
                </c:pt>
                <c:pt idx="148">
                  <c:v>1.147</c:v>
                </c:pt>
                <c:pt idx="149">
                  <c:v>1.147</c:v>
                </c:pt>
                <c:pt idx="150">
                  <c:v>1.147</c:v>
                </c:pt>
                <c:pt idx="151">
                  <c:v>1.147</c:v>
                </c:pt>
                <c:pt idx="152">
                  <c:v>1.59</c:v>
                </c:pt>
                <c:pt idx="153">
                  <c:v>1.59</c:v>
                </c:pt>
                <c:pt idx="154">
                  <c:v>1.59</c:v>
                </c:pt>
                <c:pt idx="155">
                  <c:v>1.59</c:v>
                </c:pt>
                <c:pt idx="156">
                  <c:v>1.6990000000000001</c:v>
                </c:pt>
                <c:pt idx="157">
                  <c:v>1.6990000000000001</c:v>
                </c:pt>
                <c:pt idx="158">
                  <c:v>1.6990000000000001</c:v>
                </c:pt>
                <c:pt idx="159">
                  <c:v>1.6990000000000001</c:v>
                </c:pt>
                <c:pt idx="160">
                  <c:v>1.6990000000000001</c:v>
                </c:pt>
                <c:pt idx="161">
                  <c:v>1.5429999999999999</c:v>
                </c:pt>
                <c:pt idx="162">
                  <c:v>1.5429999999999999</c:v>
                </c:pt>
                <c:pt idx="163">
                  <c:v>1.5429999999999999</c:v>
                </c:pt>
                <c:pt idx="164">
                  <c:v>1.5429999999999999</c:v>
                </c:pt>
                <c:pt idx="165">
                  <c:v>1.139</c:v>
                </c:pt>
                <c:pt idx="166">
                  <c:v>1.139</c:v>
                </c:pt>
                <c:pt idx="167">
                  <c:v>1.139</c:v>
                </c:pt>
                <c:pt idx="168">
                  <c:v>1.139</c:v>
                </c:pt>
                <c:pt idx="169">
                  <c:v>1.139</c:v>
                </c:pt>
                <c:pt idx="170">
                  <c:v>0.60399999999999998</c:v>
                </c:pt>
                <c:pt idx="171">
                  <c:v>0.60399999999999998</c:v>
                </c:pt>
                <c:pt idx="172">
                  <c:v>0.60399999999999998</c:v>
                </c:pt>
                <c:pt idx="173">
                  <c:v>0.60399999999999998</c:v>
                </c:pt>
                <c:pt idx="174">
                  <c:v>0.376</c:v>
                </c:pt>
                <c:pt idx="175">
                  <c:v>0.376</c:v>
                </c:pt>
                <c:pt idx="176">
                  <c:v>0.376</c:v>
                </c:pt>
                <c:pt idx="177">
                  <c:v>0.376</c:v>
                </c:pt>
                <c:pt idx="178">
                  <c:v>-0.112</c:v>
                </c:pt>
                <c:pt idx="179">
                  <c:v>-0.112</c:v>
                </c:pt>
                <c:pt idx="180">
                  <c:v>-0.112</c:v>
                </c:pt>
                <c:pt idx="181">
                  <c:v>-0.112</c:v>
                </c:pt>
                <c:pt idx="182">
                  <c:v>-0.67200000000000004</c:v>
                </c:pt>
                <c:pt idx="183">
                  <c:v>-0.67200000000000004</c:v>
                </c:pt>
                <c:pt idx="184">
                  <c:v>-0.67200000000000004</c:v>
                </c:pt>
                <c:pt idx="185">
                  <c:v>-0.67200000000000004</c:v>
                </c:pt>
                <c:pt idx="186">
                  <c:v>-0.67200000000000004</c:v>
                </c:pt>
                <c:pt idx="187">
                  <c:v>-0.77600000000000002</c:v>
                </c:pt>
                <c:pt idx="188">
                  <c:v>-0.77600000000000002</c:v>
                </c:pt>
                <c:pt idx="189">
                  <c:v>-0.77600000000000002</c:v>
                </c:pt>
                <c:pt idx="190">
                  <c:v>-0.77600000000000002</c:v>
                </c:pt>
                <c:pt idx="191">
                  <c:v>-0.68500000000000005</c:v>
                </c:pt>
                <c:pt idx="192">
                  <c:v>-0.68500000000000005</c:v>
                </c:pt>
                <c:pt idx="193">
                  <c:v>-0.68500000000000005</c:v>
                </c:pt>
                <c:pt idx="194">
                  <c:v>-0.68500000000000005</c:v>
                </c:pt>
                <c:pt idx="195">
                  <c:v>-0.68500000000000005</c:v>
                </c:pt>
                <c:pt idx="196">
                  <c:v>-0.67300000000000004</c:v>
                </c:pt>
                <c:pt idx="197">
                  <c:v>-0.67300000000000004</c:v>
                </c:pt>
                <c:pt idx="198">
                  <c:v>-0.67300000000000004</c:v>
                </c:pt>
                <c:pt idx="199">
                  <c:v>-0.11700000000000001</c:v>
                </c:pt>
                <c:pt idx="200">
                  <c:v>-0.11700000000000001</c:v>
                </c:pt>
                <c:pt idx="201">
                  <c:v>-0.11700000000000001</c:v>
                </c:pt>
                <c:pt idx="202">
                  <c:v>-0.11700000000000001</c:v>
                </c:pt>
                <c:pt idx="203">
                  <c:v>0.92400000000000004</c:v>
                </c:pt>
                <c:pt idx="204">
                  <c:v>0.92400000000000004</c:v>
                </c:pt>
                <c:pt idx="205">
                  <c:v>0.92400000000000004</c:v>
                </c:pt>
                <c:pt idx="206">
                  <c:v>0.92400000000000004</c:v>
                </c:pt>
                <c:pt idx="207">
                  <c:v>0.92400000000000004</c:v>
                </c:pt>
                <c:pt idx="208">
                  <c:v>1.748</c:v>
                </c:pt>
                <c:pt idx="209">
                  <c:v>1.748</c:v>
                </c:pt>
                <c:pt idx="210">
                  <c:v>1.748</c:v>
                </c:pt>
                <c:pt idx="211">
                  <c:v>1.748</c:v>
                </c:pt>
                <c:pt idx="212">
                  <c:v>1.748</c:v>
                </c:pt>
                <c:pt idx="213">
                  <c:v>1.748</c:v>
                </c:pt>
                <c:pt idx="214">
                  <c:v>2.359</c:v>
                </c:pt>
                <c:pt idx="215">
                  <c:v>2.359</c:v>
                </c:pt>
                <c:pt idx="216">
                  <c:v>2.5169999999999999</c:v>
                </c:pt>
                <c:pt idx="217">
                  <c:v>2.5169999999999999</c:v>
                </c:pt>
                <c:pt idx="218">
                  <c:v>2.5169999999999999</c:v>
                </c:pt>
                <c:pt idx="219">
                  <c:v>2.5169999999999999</c:v>
                </c:pt>
                <c:pt idx="220">
                  <c:v>2.5169999999999999</c:v>
                </c:pt>
                <c:pt idx="221">
                  <c:v>2.5910000000000002</c:v>
                </c:pt>
                <c:pt idx="222">
                  <c:v>2.5910000000000002</c:v>
                </c:pt>
                <c:pt idx="223">
                  <c:v>2.5910000000000002</c:v>
                </c:pt>
                <c:pt idx="224">
                  <c:v>2.5910000000000002</c:v>
                </c:pt>
                <c:pt idx="225">
                  <c:v>2.476</c:v>
                </c:pt>
                <c:pt idx="226">
                  <c:v>2.476</c:v>
                </c:pt>
                <c:pt idx="227">
                  <c:v>2.476</c:v>
                </c:pt>
                <c:pt idx="228">
                  <c:v>2.391</c:v>
                </c:pt>
                <c:pt idx="229">
                  <c:v>2.391</c:v>
                </c:pt>
                <c:pt idx="230">
                  <c:v>2.391</c:v>
                </c:pt>
                <c:pt idx="231">
                  <c:v>2.4329999999999998</c:v>
                </c:pt>
                <c:pt idx="232">
                  <c:v>2.4329999999999998</c:v>
                </c:pt>
                <c:pt idx="233">
                  <c:v>2.5179999999999998</c:v>
                </c:pt>
                <c:pt idx="234">
                  <c:v>2.669</c:v>
                </c:pt>
                <c:pt idx="235">
                  <c:v>2.669</c:v>
                </c:pt>
                <c:pt idx="236">
                  <c:v>2.669</c:v>
                </c:pt>
                <c:pt idx="237">
                  <c:v>2.5630000000000002</c:v>
                </c:pt>
                <c:pt idx="238">
                  <c:v>2.5630000000000002</c:v>
                </c:pt>
                <c:pt idx="239">
                  <c:v>2.4279999999999999</c:v>
                </c:pt>
                <c:pt idx="240">
                  <c:v>2.524</c:v>
                </c:pt>
                <c:pt idx="241">
                  <c:v>2.524</c:v>
                </c:pt>
                <c:pt idx="242">
                  <c:v>2.524</c:v>
                </c:pt>
                <c:pt idx="243">
                  <c:v>2.5129999999999999</c:v>
                </c:pt>
                <c:pt idx="244">
                  <c:v>2.5129999999999999</c:v>
                </c:pt>
                <c:pt idx="245">
                  <c:v>2.6070000000000002</c:v>
                </c:pt>
                <c:pt idx="246">
                  <c:v>2.6070000000000002</c:v>
                </c:pt>
                <c:pt idx="247">
                  <c:v>2.4849999999999999</c:v>
                </c:pt>
                <c:pt idx="248">
                  <c:v>1.631</c:v>
                </c:pt>
                <c:pt idx="249">
                  <c:v>1.631</c:v>
                </c:pt>
                <c:pt idx="250">
                  <c:v>1.631</c:v>
                </c:pt>
                <c:pt idx="251">
                  <c:v>1.532</c:v>
                </c:pt>
                <c:pt idx="252">
                  <c:v>1.532</c:v>
                </c:pt>
                <c:pt idx="253">
                  <c:v>1.4970000000000001</c:v>
                </c:pt>
                <c:pt idx="254">
                  <c:v>1.4970000000000001</c:v>
                </c:pt>
                <c:pt idx="255">
                  <c:v>1.1519999999999999</c:v>
                </c:pt>
                <c:pt idx="256">
                  <c:v>1.1519999999999999</c:v>
                </c:pt>
                <c:pt idx="257">
                  <c:v>1.163</c:v>
                </c:pt>
                <c:pt idx="258">
                  <c:v>1.163</c:v>
                </c:pt>
                <c:pt idx="259">
                  <c:v>1.1879999999999999</c:v>
                </c:pt>
                <c:pt idx="260">
                  <c:v>1.1879999999999999</c:v>
                </c:pt>
                <c:pt idx="261">
                  <c:v>1.2050000000000001</c:v>
                </c:pt>
                <c:pt idx="262">
                  <c:v>1.2050000000000001</c:v>
                </c:pt>
                <c:pt idx="263">
                  <c:v>1.2270000000000001</c:v>
                </c:pt>
                <c:pt idx="264">
                  <c:v>1.2270000000000001</c:v>
                </c:pt>
                <c:pt idx="265">
                  <c:v>1.552</c:v>
                </c:pt>
                <c:pt idx="266">
                  <c:v>1.552</c:v>
                </c:pt>
                <c:pt idx="267">
                  <c:v>1.373</c:v>
                </c:pt>
                <c:pt idx="268">
                  <c:v>1.373</c:v>
                </c:pt>
                <c:pt idx="269">
                  <c:v>1.373</c:v>
                </c:pt>
                <c:pt idx="270">
                  <c:v>0.82399999999999995</c:v>
                </c:pt>
                <c:pt idx="271">
                  <c:v>0.82399999999999995</c:v>
                </c:pt>
                <c:pt idx="272">
                  <c:v>0.27500000000000002</c:v>
                </c:pt>
                <c:pt idx="273">
                  <c:v>0.27500000000000002</c:v>
                </c:pt>
                <c:pt idx="274">
                  <c:v>-0.41099999999999998</c:v>
                </c:pt>
                <c:pt idx="275">
                  <c:v>-0.41099999999999998</c:v>
                </c:pt>
                <c:pt idx="276">
                  <c:v>-1.345</c:v>
                </c:pt>
                <c:pt idx="277">
                  <c:v>-1.345</c:v>
                </c:pt>
                <c:pt idx="278">
                  <c:v>-2.1469999999999998</c:v>
                </c:pt>
                <c:pt idx="279">
                  <c:v>-2.1469999999999998</c:v>
                </c:pt>
                <c:pt idx="280">
                  <c:v>-2.831</c:v>
                </c:pt>
                <c:pt idx="281">
                  <c:v>-2.831</c:v>
                </c:pt>
                <c:pt idx="282">
                  <c:v>-3.157</c:v>
                </c:pt>
                <c:pt idx="283">
                  <c:v>-3.157</c:v>
                </c:pt>
                <c:pt idx="284">
                  <c:v>-3.3660000000000001</c:v>
                </c:pt>
                <c:pt idx="285">
                  <c:v>-3.3660000000000001</c:v>
                </c:pt>
                <c:pt idx="286">
                  <c:v>-3.3820000000000001</c:v>
                </c:pt>
                <c:pt idx="287">
                  <c:v>-3.3820000000000001</c:v>
                </c:pt>
                <c:pt idx="288">
                  <c:v>-3.2330000000000001</c:v>
                </c:pt>
                <c:pt idx="289">
                  <c:v>-3.2330000000000001</c:v>
                </c:pt>
                <c:pt idx="290">
                  <c:v>-2.98</c:v>
                </c:pt>
                <c:pt idx="291">
                  <c:v>-2.98</c:v>
                </c:pt>
                <c:pt idx="292">
                  <c:v>-2.6360000000000001</c:v>
                </c:pt>
                <c:pt idx="293">
                  <c:v>-2.6360000000000001</c:v>
                </c:pt>
                <c:pt idx="294">
                  <c:v>-2.5939999999999999</c:v>
                </c:pt>
                <c:pt idx="295">
                  <c:v>-2.5939999999999999</c:v>
                </c:pt>
                <c:pt idx="296">
                  <c:v>-2.601</c:v>
                </c:pt>
                <c:pt idx="297">
                  <c:v>-2.601</c:v>
                </c:pt>
                <c:pt idx="298">
                  <c:v>-2.548</c:v>
                </c:pt>
                <c:pt idx="299">
                  <c:v>-2.548</c:v>
                </c:pt>
                <c:pt idx="300">
                  <c:v>-2.4049999999999998</c:v>
                </c:pt>
                <c:pt idx="301">
                  <c:v>-2.4049999999999998</c:v>
                </c:pt>
                <c:pt idx="302">
                  <c:v>-2.3650000000000002</c:v>
                </c:pt>
                <c:pt idx="303">
                  <c:v>-2.3650000000000002</c:v>
                </c:pt>
                <c:pt idx="304">
                  <c:v>-2.2610000000000001</c:v>
                </c:pt>
                <c:pt idx="305">
                  <c:v>-2.2610000000000001</c:v>
                </c:pt>
                <c:pt idx="306">
                  <c:v>-2.444</c:v>
                </c:pt>
                <c:pt idx="307">
                  <c:v>-2.444</c:v>
                </c:pt>
                <c:pt idx="308">
                  <c:v>-2.4140000000000001</c:v>
                </c:pt>
                <c:pt idx="309">
                  <c:v>-2.4140000000000001</c:v>
                </c:pt>
                <c:pt idx="310">
                  <c:v>-2.3759999999999999</c:v>
                </c:pt>
                <c:pt idx="311">
                  <c:v>-2.3759999999999999</c:v>
                </c:pt>
                <c:pt idx="312">
                  <c:v>-2.3559999999999999</c:v>
                </c:pt>
                <c:pt idx="313">
                  <c:v>-2.3559999999999999</c:v>
                </c:pt>
                <c:pt idx="314">
                  <c:v>-2.5209999999999999</c:v>
                </c:pt>
                <c:pt idx="315">
                  <c:v>-2.5209999999999999</c:v>
                </c:pt>
                <c:pt idx="316">
                  <c:v>-2.72</c:v>
                </c:pt>
                <c:pt idx="317">
                  <c:v>-2.72</c:v>
                </c:pt>
                <c:pt idx="318">
                  <c:v>-2.8290000000000002</c:v>
                </c:pt>
                <c:pt idx="319">
                  <c:v>-2.8290000000000002</c:v>
                </c:pt>
                <c:pt idx="320">
                  <c:v>-2.8140000000000001</c:v>
                </c:pt>
                <c:pt idx="321">
                  <c:v>-2.8140000000000001</c:v>
                </c:pt>
                <c:pt idx="322">
                  <c:v>-2.476</c:v>
                </c:pt>
                <c:pt idx="323">
                  <c:v>-2.476</c:v>
                </c:pt>
                <c:pt idx="324">
                  <c:v>-2.0859999999999999</c:v>
                </c:pt>
                <c:pt idx="325">
                  <c:v>-2.0859999999999999</c:v>
                </c:pt>
                <c:pt idx="326">
                  <c:v>-1.8580000000000001</c:v>
                </c:pt>
                <c:pt idx="327">
                  <c:v>-1.8580000000000001</c:v>
                </c:pt>
                <c:pt idx="328">
                  <c:v>-2.1219999999999999</c:v>
                </c:pt>
                <c:pt idx="329">
                  <c:v>-2.1219999999999999</c:v>
                </c:pt>
                <c:pt idx="330">
                  <c:v>-2.4980000000000002</c:v>
                </c:pt>
                <c:pt idx="331">
                  <c:v>-2.4980000000000002</c:v>
                </c:pt>
                <c:pt idx="332">
                  <c:v>-2.6320000000000001</c:v>
                </c:pt>
                <c:pt idx="333">
                  <c:v>-2.6320000000000001</c:v>
                </c:pt>
                <c:pt idx="334">
                  <c:v>-2.7229999999999999</c:v>
                </c:pt>
                <c:pt idx="335">
                  <c:v>-2.7229999999999999</c:v>
                </c:pt>
                <c:pt idx="336">
                  <c:v>-2.6789999999999998</c:v>
                </c:pt>
                <c:pt idx="337">
                  <c:v>-2.6789999999999998</c:v>
                </c:pt>
                <c:pt idx="338">
                  <c:v>-2.6989999999999998</c:v>
                </c:pt>
                <c:pt idx="339">
                  <c:v>-2.6989999999999998</c:v>
                </c:pt>
                <c:pt idx="340">
                  <c:v>-2.8039999999999998</c:v>
                </c:pt>
                <c:pt idx="341">
                  <c:v>-2.8039999999999998</c:v>
                </c:pt>
                <c:pt idx="342">
                  <c:v>-2.85</c:v>
                </c:pt>
                <c:pt idx="343">
                  <c:v>-2.85</c:v>
                </c:pt>
                <c:pt idx="344">
                  <c:v>-2.883</c:v>
                </c:pt>
                <c:pt idx="345">
                  <c:v>-2.883</c:v>
                </c:pt>
                <c:pt idx="346">
                  <c:v>-2.7919999999999998</c:v>
                </c:pt>
                <c:pt idx="347">
                  <c:v>-2.7919999999999998</c:v>
                </c:pt>
                <c:pt idx="348">
                  <c:v>-2.6440000000000001</c:v>
                </c:pt>
                <c:pt idx="349">
                  <c:v>-2.6440000000000001</c:v>
                </c:pt>
                <c:pt idx="350">
                  <c:v>-2.66</c:v>
                </c:pt>
                <c:pt idx="351">
                  <c:v>-2.66</c:v>
                </c:pt>
                <c:pt idx="352">
                  <c:v>-2.7149999999999999</c:v>
                </c:pt>
                <c:pt idx="353">
                  <c:v>-2.7149999999999999</c:v>
                </c:pt>
                <c:pt idx="354">
                  <c:v>-2.8570000000000002</c:v>
                </c:pt>
                <c:pt idx="355">
                  <c:v>-2.8570000000000002</c:v>
                </c:pt>
                <c:pt idx="356">
                  <c:v>-3.0619999999999998</c:v>
                </c:pt>
                <c:pt idx="357">
                  <c:v>-3.0619999999999998</c:v>
                </c:pt>
                <c:pt idx="358">
                  <c:v>-3.1869999999999998</c:v>
                </c:pt>
                <c:pt idx="359">
                  <c:v>-3.1869999999999998</c:v>
                </c:pt>
                <c:pt idx="360">
                  <c:v>-2.84</c:v>
                </c:pt>
                <c:pt idx="361">
                  <c:v>-2.84</c:v>
                </c:pt>
                <c:pt idx="362">
                  <c:v>-2.8149999999999999</c:v>
                </c:pt>
                <c:pt idx="363">
                  <c:v>-2.8149999999999999</c:v>
                </c:pt>
                <c:pt idx="364">
                  <c:v>-3.0609999999999999</c:v>
                </c:pt>
                <c:pt idx="365">
                  <c:v>-3.0609999999999999</c:v>
                </c:pt>
                <c:pt idx="366">
                  <c:v>-3.1360000000000001</c:v>
                </c:pt>
                <c:pt idx="367">
                  <c:v>-3.1360000000000001</c:v>
                </c:pt>
                <c:pt idx="368">
                  <c:v>-3.375</c:v>
                </c:pt>
                <c:pt idx="369">
                  <c:v>-3.375</c:v>
                </c:pt>
                <c:pt idx="370">
                  <c:v>-3.4089999999999998</c:v>
                </c:pt>
                <c:pt idx="371">
                  <c:v>-3.4089999999999998</c:v>
                </c:pt>
                <c:pt idx="372">
                  <c:v>-3.14</c:v>
                </c:pt>
                <c:pt idx="373">
                  <c:v>-3.14</c:v>
                </c:pt>
                <c:pt idx="374">
                  <c:v>-3.14</c:v>
                </c:pt>
                <c:pt idx="375">
                  <c:v>-2.9830000000000001</c:v>
                </c:pt>
                <c:pt idx="376">
                  <c:v>-3.0920000000000001</c:v>
                </c:pt>
                <c:pt idx="377">
                  <c:v>-3.0920000000000001</c:v>
                </c:pt>
                <c:pt idx="378">
                  <c:v>-3.0880000000000001</c:v>
                </c:pt>
                <c:pt idx="379">
                  <c:v>-3.0880000000000001</c:v>
                </c:pt>
                <c:pt idx="380">
                  <c:v>-3.0880000000000001</c:v>
                </c:pt>
                <c:pt idx="381">
                  <c:v>-3.2050000000000001</c:v>
                </c:pt>
                <c:pt idx="382">
                  <c:v>-3.2589999999999999</c:v>
                </c:pt>
                <c:pt idx="383">
                  <c:v>-3.2589999999999999</c:v>
                </c:pt>
                <c:pt idx="384">
                  <c:v>-3.2480000000000002</c:v>
                </c:pt>
                <c:pt idx="385">
                  <c:v>-3.2480000000000002</c:v>
                </c:pt>
                <c:pt idx="386">
                  <c:v>-3.2480000000000002</c:v>
                </c:pt>
                <c:pt idx="387">
                  <c:v>-3.2919999999999998</c:v>
                </c:pt>
                <c:pt idx="388">
                  <c:v>-3.2519999999999998</c:v>
                </c:pt>
                <c:pt idx="389">
                  <c:v>-3.2519999999999998</c:v>
                </c:pt>
                <c:pt idx="390">
                  <c:v>-3.2120000000000002</c:v>
                </c:pt>
                <c:pt idx="391">
                  <c:v>-3.2120000000000002</c:v>
                </c:pt>
                <c:pt idx="392">
                  <c:v>-3.2120000000000002</c:v>
                </c:pt>
                <c:pt idx="393">
                  <c:v>-3.2120000000000002</c:v>
                </c:pt>
                <c:pt idx="394">
                  <c:v>-3.3050000000000002</c:v>
                </c:pt>
                <c:pt idx="395">
                  <c:v>-3.42</c:v>
                </c:pt>
                <c:pt idx="396">
                  <c:v>-3.42</c:v>
                </c:pt>
                <c:pt idx="397">
                  <c:v>-3.1230000000000002</c:v>
                </c:pt>
                <c:pt idx="398">
                  <c:v>-3.1230000000000002</c:v>
                </c:pt>
                <c:pt idx="399">
                  <c:v>-3.1230000000000002</c:v>
                </c:pt>
                <c:pt idx="400">
                  <c:v>-2.6320000000000001</c:v>
                </c:pt>
                <c:pt idx="401">
                  <c:v>-2.028</c:v>
                </c:pt>
                <c:pt idx="402">
                  <c:v>-2.028</c:v>
                </c:pt>
                <c:pt idx="403">
                  <c:v>-1.3160000000000001</c:v>
                </c:pt>
                <c:pt idx="404">
                  <c:v>-1.3160000000000001</c:v>
                </c:pt>
                <c:pt idx="405">
                  <c:v>-1.3160000000000001</c:v>
                </c:pt>
                <c:pt idx="406">
                  <c:v>-0.70699999999999996</c:v>
                </c:pt>
                <c:pt idx="407">
                  <c:v>-0.70699999999999996</c:v>
                </c:pt>
                <c:pt idx="408">
                  <c:v>7.2999999999999995E-2</c:v>
                </c:pt>
                <c:pt idx="409">
                  <c:v>0.59399999999999997</c:v>
                </c:pt>
                <c:pt idx="410">
                  <c:v>0.59399999999999997</c:v>
                </c:pt>
                <c:pt idx="411">
                  <c:v>0.59399999999999997</c:v>
                </c:pt>
                <c:pt idx="412">
                  <c:v>0.45800000000000002</c:v>
                </c:pt>
                <c:pt idx="413">
                  <c:v>0.45800000000000002</c:v>
                </c:pt>
                <c:pt idx="414">
                  <c:v>-5.3999999999999999E-2</c:v>
                </c:pt>
                <c:pt idx="415">
                  <c:v>-0.42599999999999999</c:v>
                </c:pt>
                <c:pt idx="416">
                  <c:v>-0.42599999999999999</c:v>
                </c:pt>
                <c:pt idx="417">
                  <c:v>-0.42599999999999999</c:v>
                </c:pt>
                <c:pt idx="418">
                  <c:v>-0.67500000000000004</c:v>
                </c:pt>
                <c:pt idx="419">
                  <c:v>-0.91200000000000003</c:v>
                </c:pt>
                <c:pt idx="420">
                  <c:v>-0.91200000000000003</c:v>
                </c:pt>
                <c:pt idx="421">
                  <c:v>-0.97699999999999998</c:v>
                </c:pt>
                <c:pt idx="422">
                  <c:v>-0.97699999999999998</c:v>
                </c:pt>
                <c:pt idx="423">
                  <c:v>-0.97699999999999998</c:v>
                </c:pt>
                <c:pt idx="424">
                  <c:v>-0.94399999999999995</c:v>
                </c:pt>
                <c:pt idx="425">
                  <c:v>-0.94399999999999995</c:v>
                </c:pt>
                <c:pt idx="426">
                  <c:v>-0.94399999999999995</c:v>
                </c:pt>
                <c:pt idx="427">
                  <c:v>-0.75</c:v>
                </c:pt>
                <c:pt idx="428">
                  <c:v>-0.65200000000000002</c:v>
                </c:pt>
                <c:pt idx="429">
                  <c:v>-0.65200000000000002</c:v>
                </c:pt>
                <c:pt idx="430">
                  <c:v>-0.65200000000000002</c:v>
                </c:pt>
                <c:pt idx="431">
                  <c:v>-0.74199999999999999</c:v>
                </c:pt>
                <c:pt idx="432">
                  <c:v>-0.74199999999999999</c:v>
                </c:pt>
                <c:pt idx="433">
                  <c:v>-0.88100000000000001</c:v>
                </c:pt>
                <c:pt idx="434">
                  <c:v>-0.96599999999999997</c:v>
                </c:pt>
                <c:pt idx="435">
                  <c:v>-0.96599999999999997</c:v>
                </c:pt>
                <c:pt idx="436">
                  <c:v>-0.96599999999999997</c:v>
                </c:pt>
                <c:pt idx="437">
                  <c:v>-0.94299999999999995</c:v>
                </c:pt>
                <c:pt idx="438">
                  <c:v>-0.94299999999999995</c:v>
                </c:pt>
                <c:pt idx="439">
                  <c:v>-0.85199999999999998</c:v>
                </c:pt>
                <c:pt idx="440">
                  <c:v>-0.69599999999999995</c:v>
                </c:pt>
                <c:pt idx="441">
                  <c:v>-0.69599999999999995</c:v>
                </c:pt>
                <c:pt idx="442">
                  <c:v>-0.69599999999999995</c:v>
                </c:pt>
                <c:pt idx="443">
                  <c:v>-0.48099999999999998</c:v>
                </c:pt>
                <c:pt idx="444">
                  <c:v>-0.48099999999999998</c:v>
                </c:pt>
                <c:pt idx="445">
                  <c:v>-0.216</c:v>
                </c:pt>
                <c:pt idx="446">
                  <c:v>-0.216</c:v>
                </c:pt>
                <c:pt idx="447">
                  <c:v>-0.313</c:v>
                </c:pt>
                <c:pt idx="448">
                  <c:v>-0.84899999999999998</c:v>
                </c:pt>
                <c:pt idx="449">
                  <c:v>-0.84899999999999998</c:v>
                </c:pt>
                <c:pt idx="450">
                  <c:v>-0.84899999999999998</c:v>
                </c:pt>
                <c:pt idx="451">
                  <c:v>-1.351</c:v>
                </c:pt>
                <c:pt idx="452">
                  <c:v>-1.794</c:v>
                </c:pt>
                <c:pt idx="453">
                  <c:v>-1.61</c:v>
                </c:pt>
                <c:pt idx="454">
                  <c:v>-1.61</c:v>
                </c:pt>
                <c:pt idx="455">
                  <c:v>-1.61</c:v>
                </c:pt>
                <c:pt idx="456">
                  <c:v>-1.61</c:v>
                </c:pt>
                <c:pt idx="457">
                  <c:v>-1.61</c:v>
                </c:pt>
                <c:pt idx="458">
                  <c:v>-1.1950000000000001</c:v>
                </c:pt>
                <c:pt idx="459">
                  <c:v>-1.1950000000000001</c:v>
                </c:pt>
                <c:pt idx="460">
                  <c:v>-1.776</c:v>
                </c:pt>
                <c:pt idx="461">
                  <c:v>-1.776</c:v>
                </c:pt>
                <c:pt idx="462">
                  <c:v>-1.776</c:v>
                </c:pt>
                <c:pt idx="463">
                  <c:v>-0.99399999999999999</c:v>
                </c:pt>
                <c:pt idx="464">
                  <c:v>-0.81799999999999995</c:v>
                </c:pt>
                <c:pt idx="465">
                  <c:v>-0.81799999999999995</c:v>
                </c:pt>
                <c:pt idx="466">
                  <c:v>-0.81799999999999995</c:v>
                </c:pt>
                <c:pt idx="467">
                  <c:v>-0.64300000000000002</c:v>
                </c:pt>
                <c:pt idx="468">
                  <c:v>-0.64300000000000002</c:v>
                </c:pt>
                <c:pt idx="469">
                  <c:v>-0.59</c:v>
                </c:pt>
                <c:pt idx="470">
                  <c:v>-0.59</c:v>
                </c:pt>
                <c:pt idx="471">
                  <c:v>-0.57999999999999996</c:v>
                </c:pt>
                <c:pt idx="472">
                  <c:v>-0.57999999999999996</c:v>
                </c:pt>
                <c:pt idx="473">
                  <c:v>-0.55100000000000005</c:v>
                </c:pt>
                <c:pt idx="474">
                  <c:v>-0.55100000000000005</c:v>
                </c:pt>
                <c:pt idx="475">
                  <c:v>-0.51800000000000002</c:v>
                </c:pt>
                <c:pt idx="476">
                  <c:v>-0.51800000000000002</c:v>
                </c:pt>
                <c:pt idx="477">
                  <c:v>-0.49399999999999999</c:v>
                </c:pt>
                <c:pt idx="478">
                  <c:v>-0.49399999999999999</c:v>
                </c:pt>
                <c:pt idx="479">
                  <c:v>-0.47699999999999998</c:v>
                </c:pt>
                <c:pt idx="480">
                  <c:v>-0.47699999999999998</c:v>
                </c:pt>
                <c:pt idx="481">
                  <c:v>-0.45300000000000001</c:v>
                </c:pt>
                <c:pt idx="482">
                  <c:v>-0.45300000000000001</c:v>
                </c:pt>
                <c:pt idx="483">
                  <c:v>-0.42</c:v>
                </c:pt>
                <c:pt idx="484">
                  <c:v>-0.42</c:v>
                </c:pt>
                <c:pt idx="485">
                  <c:v>-0.39500000000000002</c:v>
                </c:pt>
                <c:pt idx="486">
                  <c:v>-0.39500000000000002</c:v>
                </c:pt>
                <c:pt idx="487">
                  <c:v>-0.36699999999999999</c:v>
                </c:pt>
                <c:pt idx="488">
                  <c:v>-0.36699999999999999</c:v>
                </c:pt>
                <c:pt idx="489">
                  <c:v>-0.33400000000000002</c:v>
                </c:pt>
                <c:pt idx="490">
                  <c:v>-0.33400000000000002</c:v>
                </c:pt>
                <c:pt idx="491">
                  <c:v>-0.30399999999999999</c:v>
                </c:pt>
                <c:pt idx="492">
                  <c:v>-0.30399999999999999</c:v>
                </c:pt>
                <c:pt idx="493">
                  <c:v>-0.26400000000000001</c:v>
                </c:pt>
                <c:pt idx="494">
                  <c:v>-0.26400000000000001</c:v>
                </c:pt>
                <c:pt idx="495">
                  <c:v>-0.22600000000000001</c:v>
                </c:pt>
                <c:pt idx="496">
                  <c:v>-0.22600000000000001</c:v>
                </c:pt>
                <c:pt idx="497">
                  <c:v>-0.19600000000000001</c:v>
                </c:pt>
                <c:pt idx="498">
                  <c:v>-0.19600000000000001</c:v>
                </c:pt>
                <c:pt idx="499">
                  <c:v>-0.17100000000000001</c:v>
                </c:pt>
                <c:pt idx="500">
                  <c:v>-0.17100000000000001</c:v>
                </c:pt>
                <c:pt idx="501">
                  <c:v>-0.13500000000000001</c:v>
                </c:pt>
                <c:pt idx="502">
                  <c:v>-0.13500000000000001</c:v>
                </c:pt>
                <c:pt idx="503">
                  <c:v>-0.10199999999999999</c:v>
                </c:pt>
                <c:pt idx="504">
                  <c:v>-0.10199999999999999</c:v>
                </c:pt>
                <c:pt idx="505">
                  <c:v>-7.0000000000000007E-2</c:v>
                </c:pt>
                <c:pt idx="506">
                  <c:v>-7.0000000000000007E-2</c:v>
                </c:pt>
                <c:pt idx="507">
                  <c:v>-4.5999999999999999E-2</c:v>
                </c:pt>
                <c:pt idx="508">
                  <c:v>-4.5999999999999999E-2</c:v>
                </c:pt>
                <c:pt idx="509">
                  <c:v>-2.4E-2</c:v>
                </c:pt>
                <c:pt idx="510">
                  <c:v>-2.4E-2</c:v>
                </c:pt>
                <c:pt idx="511">
                  <c:v>6.0000000000000001E-3</c:v>
                </c:pt>
                <c:pt idx="512">
                  <c:v>6.0000000000000001E-3</c:v>
                </c:pt>
                <c:pt idx="513">
                  <c:v>2.5000000000000001E-2</c:v>
                </c:pt>
                <c:pt idx="514">
                  <c:v>2.5000000000000001E-2</c:v>
                </c:pt>
                <c:pt idx="515">
                  <c:v>4.1000000000000002E-2</c:v>
                </c:pt>
                <c:pt idx="516">
                  <c:v>4.1000000000000002E-2</c:v>
                </c:pt>
                <c:pt idx="517">
                  <c:v>6.6000000000000003E-2</c:v>
                </c:pt>
                <c:pt idx="518">
                  <c:v>6.6000000000000003E-2</c:v>
                </c:pt>
                <c:pt idx="519">
                  <c:v>8.4000000000000005E-2</c:v>
                </c:pt>
                <c:pt idx="520">
                  <c:v>8.4000000000000005E-2</c:v>
                </c:pt>
                <c:pt idx="521">
                  <c:v>9.8000000000000004E-2</c:v>
                </c:pt>
                <c:pt idx="522">
                  <c:v>9.8000000000000004E-2</c:v>
                </c:pt>
                <c:pt idx="523">
                  <c:v>0.111</c:v>
                </c:pt>
                <c:pt idx="524">
                  <c:v>0.111</c:v>
                </c:pt>
                <c:pt idx="525">
                  <c:v>0.123</c:v>
                </c:pt>
                <c:pt idx="526">
                  <c:v>0.123</c:v>
                </c:pt>
                <c:pt idx="527">
                  <c:v>0.14099999999999999</c:v>
                </c:pt>
                <c:pt idx="528">
                  <c:v>0.14099999999999999</c:v>
                </c:pt>
                <c:pt idx="529">
                  <c:v>0.161</c:v>
                </c:pt>
                <c:pt idx="530">
                  <c:v>0.161</c:v>
                </c:pt>
                <c:pt idx="531">
                  <c:v>0.16500000000000001</c:v>
                </c:pt>
                <c:pt idx="532">
                  <c:v>0.16500000000000001</c:v>
                </c:pt>
                <c:pt idx="533">
                  <c:v>0.18</c:v>
                </c:pt>
                <c:pt idx="534">
                  <c:v>0.18</c:v>
                </c:pt>
                <c:pt idx="535">
                  <c:v>0.19800000000000001</c:v>
                </c:pt>
                <c:pt idx="536">
                  <c:v>0.19800000000000001</c:v>
                </c:pt>
                <c:pt idx="537">
                  <c:v>0.214</c:v>
                </c:pt>
                <c:pt idx="538">
                  <c:v>0.214</c:v>
                </c:pt>
                <c:pt idx="539">
                  <c:v>0.22600000000000001</c:v>
                </c:pt>
                <c:pt idx="540">
                  <c:v>0.22600000000000001</c:v>
                </c:pt>
                <c:pt idx="541">
                  <c:v>0.248</c:v>
                </c:pt>
                <c:pt idx="542">
                  <c:v>0.248</c:v>
                </c:pt>
                <c:pt idx="543">
                  <c:v>0.25700000000000001</c:v>
                </c:pt>
                <c:pt idx="544">
                  <c:v>0.25700000000000001</c:v>
                </c:pt>
                <c:pt idx="545">
                  <c:v>0.27600000000000002</c:v>
                </c:pt>
                <c:pt idx="546">
                  <c:v>0.27600000000000002</c:v>
                </c:pt>
                <c:pt idx="547">
                  <c:v>0.28299999999999997</c:v>
                </c:pt>
                <c:pt idx="548">
                  <c:v>0.28299999999999997</c:v>
                </c:pt>
                <c:pt idx="549">
                  <c:v>0.29499999999999998</c:v>
                </c:pt>
                <c:pt idx="550">
                  <c:v>0.29499999999999998</c:v>
                </c:pt>
                <c:pt idx="551">
                  <c:v>0.30299999999999999</c:v>
                </c:pt>
                <c:pt idx="552">
                  <c:v>0.30299999999999999</c:v>
                </c:pt>
                <c:pt idx="553">
                  <c:v>0.311</c:v>
                </c:pt>
                <c:pt idx="554">
                  <c:v>0.311</c:v>
                </c:pt>
                <c:pt idx="555">
                  <c:v>0.31900000000000001</c:v>
                </c:pt>
                <c:pt idx="556">
                  <c:v>0.31900000000000001</c:v>
                </c:pt>
                <c:pt idx="557">
                  <c:v>0.32600000000000001</c:v>
                </c:pt>
                <c:pt idx="558">
                  <c:v>0.32600000000000001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018-41DB-89E6-123002D5E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104904"/>
        <c:axId val="461669760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'Maju 0.1'!$AC$6</c15:sqref>
                        </c15:formulaRef>
                      </c:ext>
                    </c:extLst>
                    <c:strCache>
                      <c:ptCount val="1"/>
                      <c:pt idx="0">
                        <c:v>Int Vx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'Maju 0.1'!$D$7:$D$565</c15:sqref>
                        </c15:formulaRef>
                      </c:ext>
                    </c:extLst>
                    <c:numCache>
                      <c:formatCode>0.000</c:formatCode>
                      <c:ptCount val="559"/>
                      <c:pt idx="0">
                        <c:v>0</c:v>
                      </c:pt>
                      <c:pt idx="1">
                        <c:v>0</c:v>
                      </c:pt>
                      <c:pt idx="2">
                        <c:v>5.2989000000707165E-3</c:v>
                      </c:pt>
                      <c:pt idx="3">
                        <c:v>9.2048999999860825E-3</c:v>
                      </c:pt>
                      <c:pt idx="4">
                        <c:v>2.7168100000380946E-2</c:v>
                      </c:pt>
                      <c:pt idx="5">
                        <c:v>4.3313000000125612E-2</c:v>
                      </c:pt>
                      <c:pt idx="6">
                        <c:v>5.8556899999985035E-2</c:v>
                      </c:pt>
                      <c:pt idx="7">
                        <c:v>7.4511200000415556E-2</c:v>
                      </c:pt>
                      <c:pt idx="8">
                        <c:v>8.9335699999992357E-2</c:v>
                      </c:pt>
                      <c:pt idx="9">
                        <c:v>0.10529730000007476</c:v>
                      </c:pt>
                      <c:pt idx="10">
                        <c:v>0.12134990000004109</c:v>
                      </c:pt>
                      <c:pt idx="11">
                        <c:v>0.13719690000016271</c:v>
                      </c:pt>
                      <c:pt idx="12">
                        <c:v>0.15306950000012876</c:v>
                      </c:pt>
                      <c:pt idx="13">
                        <c:v>0.16923990000032063</c:v>
                      </c:pt>
                      <c:pt idx="14">
                        <c:v>0.18482170000015685</c:v>
                      </c:pt>
                      <c:pt idx="15">
                        <c:v>0.20079230000010284</c:v>
                      </c:pt>
                      <c:pt idx="16">
                        <c:v>0.21585990000039601</c:v>
                      </c:pt>
                      <c:pt idx="17">
                        <c:v>0.23115530000040962</c:v>
                      </c:pt>
                      <c:pt idx="18">
                        <c:v>0.24731440000005023</c:v>
                      </c:pt>
                      <c:pt idx="19">
                        <c:v>0.26257580000037706</c:v>
                      </c:pt>
                      <c:pt idx="20">
                        <c:v>0.2780137000004288</c:v>
                      </c:pt>
                      <c:pt idx="21">
                        <c:v>0.2941795000001548</c:v>
                      </c:pt>
                      <c:pt idx="22">
                        <c:v>0.30981510000037815</c:v>
                      </c:pt>
                      <c:pt idx="23">
                        <c:v>0.32596110000031331</c:v>
                      </c:pt>
                      <c:pt idx="24">
                        <c:v>0.34174560000019483</c:v>
                      </c:pt>
                      <c:pt idx="25">
                        <c:v>0.35752370000000155</c:v>
                      </c:pt>
                      <c:pt idx="26">
                        <c:v>0.37302320000026157</c:v>
                      </c:pt>
                      <c:pt idx="27">
                        <c:v>0.38870820000011008</c:v>
                      </c:pt>
                      <c:pt idx="28">
                        <c:v>0.40394320000041262</c:v>
                      </c:pt>
                      <c:pt idx="29">
                        <c:v>0.4197916000002806</c:v>
                      </c:pt>
                      <c:pt idx="30">
                        <c:v>0.43575710000004619</c:v>
                      </c:pt>
                      <c:pt idx="31">
                        <c:v>0.45149400000036621</c:v>
                      </c:pt>
                      <c:pt idx="32">
                        <c:v>0.46699660000012955</c:v>
                      </c:pt>
                      <c:pt idx="33">
                        <c:v>0.4830205000002934</c:v>
                      </c:pt>
                      <c:pt idx="34">
                        <c:v>0.49845470000036585</c:v>
                      </c:pt>
                      <c:pt idx="35">
                        <c:v>0.51411460000008447</c:v>
                      </c:pt>
                      <c:pt idx="36">
                        <c:v>0.52958090000038283</c:v>
                      </c:pt>
                      <c:pt idx="37">
                        <c:v>0.54471950000015568</c:v>
                      </c:pt>
                      <c:pt idx="38">
                        <c:v>0.55994790000022476</c:v>
                      </c:pt>
                      <c:pt idx="39">
                        <c:v>0.57620560000032128</c:v>
                      </c:pt>
                      <c:pt idx="40">
                        <c:v>0.59083770000006552</c:v>
                      </c:pt>
                      <c:pt idx="41">
                        <c:v>0.60626369999999952</c:v>
                      </c:pt>
                      <c:pt idx="42">
                        <c:v>0.6214124000002812</c:v>
                      </c:pt>
                      <c:pt idx="43">
                        <c:v>0.63753459999998086</c:v>
                      </c:pt>
                      <c:pt idx="44">
                        <c:v>0.65260699999998906</c:v>
                      </c:pt>
                      <c:pt idx="45">
                        <c:v>0.66794340000024022</c:v>
                      </c:pt>
                      <c:pt idx="46">
                        <c:v>0.68331380000017816</c:v>
                      </c:pt>
                      <c:pt idx="47">
                        <c:v>0.69856420000041908</c:v>
                      </c:pt>
                      <c:pt idx="48">
                        <c:v>0.7138716000004024</c:v>
                      </c:pt>
                      <c:pt idx="49">
                        <c:v>0.73025120000011157</c:v>
                      </c:pt>
                      <c:pt idx="50">
                        <c:v>0.74559630000021571</c:v>
                      </c:pt>
                      <c:pt idx="51">
                        <c:v>0.7610821000002943</c:v>
                      </c:pt>
                      <c:pt idx="52">
                        <c:v>0.77641560000029131</c:v>
                      </c:pt>
                      <c:pt idx="53">
                        <c:v>0.79153070000029402</c:v>
                      </c:pt>
                      <c:pt idx="54">
                        <c:v>0.80748250000033295</c:v>
                      </c:pt>
                      <c:pt idx="55">
                        <c:v>0.82297660000040196</c:v>
                      </c:pt>
                      <c:pt idx="56">
                        <c:v>0.83904410000013741</c:v>
                      </c:pt>
                      <c:pt idx="57">
                        <c:v>0.85417240000015227</c:v>
                      </c:pt>
                      <c:pt idx="58">
                        <c:v>0.86972920000016529</c:v>
                      </c:pt>
                      <c:pt idx="59">
                        <c:v>0.88524850000021615</c:v>
                      </c:pt>
                      <c:pt idx="60">
                        <c:v>0.90091920000031678</c:v>
                      </c:pt>
                      <c:pt idx="61">
                        <c:v>0.90367850000029648</c:v>
                      </c:pt>
                      <c:pt idx="62">
                        <c:v>0.91670670000030441</c:v>
                      </c:pt>
                      <c:pt idx="63">
                        <c:v>0.93219020000015007</c:v>
                      </c:pt>
                      <c:pt idx="64">
                        <c:v>0.94763220000004367</c:v>
                      </c:pt>
                      <c:pt idx="65">
                        <c:v>0.96272680000038235</c:v>
                      </c:pt>
                      <c:pt idx="66">
                        <c:v>0.97808190000023387</c:v>
                      </c:pt>
                      <c:pt idx="67">
                        <c:v>0.9934240000002319</c:v>
                      </c:pt>
                      <c:pt idx="68">
                        <c:v>1.0095186000003196</c:v>
                      </c:pt>
                      <c:pt idx="69">
                        <c:v>1.0249522000003708</c:v>
                      </c:pt>
                      <c:pt idx="70">
                        <c:v>1.0401796000001013</c:v>
                      </c:pt>
                      <c:pt idx="71">
                        <c:v>1.055965400000332</c:v>
                      </c:pt>
                      <c:pt idx="72">
                        <c:v>1.0718302000000222</c:v>
                      </c:pt>
                      <c:pt idx="73">
                        <c:v>1.0875557000003937</c:v>
                      </c:pt>
                      <c:pt idx="74">
                        <c:v>1.1028458000000683</c:v>
                      </c:pt>
                      <c:pt idx="75">
                        <c:v>1.1188025999999809</c:v>
                      </c:pt>
                      <c:pt idx="76">
                        <c:v>1.1348634000000857</c:v>
                      </c:pt>
                      <c:pt idx="77">
                        <c:v>1.1506616000001486</c:v>
                      </c:pt>
                      <c:pt idx="78">
                        <c:v>1.1660625000004075</c:v>
                      </c:pt>
                      <c:pt idx="79">
                        <c:v>1.1819746000001032</c:v>
                      </c:pt>
                      <c:pt idx="80">
                        <c:v>1.197920300000078</c:v>
                      </c:pt>
                      <c:pt idx="81">
                        <c:v>1.2132191000000603</c:v>
                      </c:pt>
                      <c:pt idx="82">
                        <c:v>1.2292172000002211</c:v>
                      </c:pt>
                      <c:pt idx="83">
                        <c:v>1.2446591000002627</c:v>
                      </c:pt>
                      <c:pt idx="84">
                        <c:v>1.2601951999999983</c:v>
                      </c:pt>
                      <c:pt idx="85">
                        <c:v>1.2756392000001142</c:v>
                      </c:pt>
                      <c:pt idx="86">
                        <c:v>1.2915996000001542</c:v>
                      </c:pt>
                      <c:pt idx="87">
                        <c:v>1.3068004000001565</c:v>
                      </c:pt>
                      <c:pt idx="88">
                        <c:v>1.3228144000004249</c:v>
                      </c:pt>
                      <c:pt idx="89">
                        <c:v>1.338255300000128</c:v>
                      </c:pt>
                      <c:pt idx="90">
                        <c:v>1.3536158000001706</c:v>
                      </c:pt>
                      <c:pt idx="91">
                        <c:v>1.3692170000003898</c:v>
                      </c:pt>
                      <c:pt idx="92">
                        <c:v>1.3851982000001044</c:v>
                      </c:pt>
                      <c:pt idx="93">
                        <c:v>1.4013238000002275</c:v>
                      </c:pt>
                      <c:pt idx="94">
                        <c:v>1.4175716000004286</c:v>
                      </c:pt>
                      <c:pt idx="95">
                        <c:v>1.433107000000291</c:v>
                      </c:pt>
                      <c:pt idx="96">
                        <c:v>1.4486382000000049</c:v>
                      </c:pt>
                      <c:pt idx="97">
                        <c:v>1.464110900000378</c:v>
                      </c:pt>
                      <c:pt idx="98">
                        <c:v>1.4797096000002057</c:v>
                      </c:pt>
                      <c:pt idx="99">
                        <c:v>1.4950284000001375</c:v>
                      </c:pt>
                      <c:pt idx="100">
                        <c:v>1.511221100000057</c:v>
                      </c:pt>
                      <c:pt idx="101">
                        <c:v>1.5267674000001534</c:v>
                      </c:pt>
                      <c:pt idx="102">
                        <c:v>1.542782200000147</c:v>
                      </c:pt>
                      <c:pt idx="103">
                        <c:v>1.5579615000001468</c:v>
                      </c:pt>
                      <c:pt idx="104">
                        <c:v>1.573585400000411</c:v>
                      </c:pt>
                      <c:pt idx="105">
                        <c:v>1.589252000000215</c:v>
                      </c:pt>
                      <c:pt idx="106">
                        <c:v>1.603999400000248</c:v>
                      </c:pt>
                      <c:pt idx="107">
                        <c:v>1.6198876000003111</c:v>
                      </c:pt>
                      <c:pt idx="108">
                        <c:v>1.6361267000002044</c:v>
                      </c:pt>
                      <c:pt idx="109">
                        <c:v>1.6512564000004204</c:v>
                      </c:pt>
                      <c:pt idx="110">
                        <c:v>1.6663169000003109</c:v>
                      </c:pt>
                      <c:pt idx="111">
                        <c:v>1.6817897000000812</c:v>
                      </c:pt>
                      <c:pt idx="112">
                        <c:v>1.6973350000002938</c:v>
                      </c:pt>
                      <c:pt idx="113">
                        <c:v>1.7125753000000259</c:v>
                      </c:pt>
                      <c:pt idx="114">
                        <c:v>1.7276518000003307</c:v>
                      </c:pt>
                      <c:pt idx="115">
                        <c:v>1.7429422000000159</c:v>
                      </c:pt>
                      <c:pt idx="116">
                        <c:v>1.7582855000000563</c:v>
                      </c:pt>
                      <c:pt idx="117">
                        <c:v>1.773996200000056</c:v>
                      </c:pt>
                      <c:pt idx="118">
                        <c:v>1.7897581000001992</c:v>
                      </c:pt>
                      <c:pt idx="119">
                        <c:v>1.8050165000004199</c:v>
                      </c:pt>
                      <c:pt idx="120">
                        <c:v>1.8200581000000966</c:v>
                      </c:pt>
                      <c:pt idx="121">
                        <c:v>1.8358427000002848</c:v>
                      </c:pt>
                      <c:pt idx="122">
                        <c:v>1.8507931000003737</c:v>
                      </c:pt>
                      <c:pt idx="123">
                        <c:v>1.8669764000001123</c:v>
                      </c:pt>
                      <c:pt idx="124">
                        <c:v>1.8826533000001291</c:v>
                      </c:pt>
                      <c:pt idx="125">
                        <c:v>1.8972933000000012</c:v>
                      </c:pt>
                      <c:pt idx="126">
                        <c:v>1.9133269000003565</c:v>
                      </c:pt>
                      <c:pt idx="127">
                        <c:v>1.9296000000003914</c:v>
                      </c:pt>
                      <c:pt idx="128">
                        <c:v>1.9452049000001352</c:v>
                      </c:pt>
                      <c:pt idx="129">
                        <c:v>1.9606398000000809</c:v>
                      </c:pt>
                      <c:pt idx="130">
                        <c:v>1.9759725000003527</c:v>
                      </c:pt>
                      <c:pt idx="131">
                        <c:v>1.9914278000001104</c:v>
                      </c:pt>
                      <c:pt idx="132">
                        <c:v>2.0069760000001224</c:v>
                      </c:pt>
                      <c:pt idx="133">
                        <c:v>2.0227060000001984</c:v>
                      </c:pt>
                      <c:pt idx="134">
                        <c:v>2.0380438000001959</c:v>
                      </c:pt>
                      <c:pt idx="135">
                        <c:v>2.0530307000003631</c:v>
                      </c:pt>
                      <c:pt idx="136">
                        <c:v>2.0684856000002583</c:v>
                      </c:pt>
                      <c:pt idx="137">
                        <c:v>2.0836755000000267</c:v>
                      </c:pt>
                      <c:pt idx="138">
                        <c:v>2.0990962000000764</c:v>
                      </c:pt>
                      <c:pt idx="139">
                        <c:v>2.1141289000001962</c:v>
                      </c:pt>
                      <c:pt idx="140">
                        <c:v>2.1296484000004057</c:v>
                      </c:pt>
                      <c:pt idx="141">
                        <c:v>2.1453720000004068</c:v>
                      </c:pt>
                      <c:pt idx="142">
                        <c:v>2.1608561000002737</c:v>
                      </c:pt>
                      <c:pt idx="143">
                        <c:v>2.1762023000001136</c:v>
                      </c:pt>
                      <c:pt idx="144">
                        <c:v>2.191330999999991</c:v>
                      </c:pt>
                      <c:pt idx="145">
                        <c:v>2.2065747000001465</c:v>
                      </c:pt>
                      <c:pt idx="146">
                        <c:v>2.2223314000002574</c:v>
                      </c:pt>
                      <c:pt idx="147">
                        <c:v>2.2377394000000095</c:v>
                      </c:pt>
                      <c:pt idx="148">
                        <c:v>2.2529523000002882</c:v>
                      </c:pt>
                      <c:pt idx="149">
                        <c:v>2.2684573999999884</c:v>
                      </c:pt>
                      <c:pt idx="150">
                        <c:v>2.2840030000002116</c:v>
                      </c:pt>
                      <c:pt idx="151">
                        <c:v>2.2868802000002688</c:v>
                      </c:pt>
                      <c:pt idx="152">
                        <c:v>2.2995488000001387</c:v>
                      </c:pt>
                      <c:pt idx="153">
                        <c:v>2.3149207999999817</c:v>
                      </c:pt>
                      <c:pt idx="154">
                        <c:v>2.3300423000000592</c:v>
                      </c:pt>
                      <c:pt idx="155">
                        <c:v>2.3454623000002357</c:v>
                      </c:pt>
                      <c:pt idx="156">
                        <c:v>2.3615370000002258</c:v>
                      </c:pt>
                      <c:pt idx="157">
                        <c:v>2.3767136000001301</c:v>
                      </c:pt>
                      <c:pt idx="158">
                        <c:v>2.3927026000001206</c:v>
                      </c:pt>
                      <c:pt idx="159">
                        <c:v>2.4083026000002974</c:v>
                      </c:pt>
                      <c:pt idx="160">
                        <c:v>2.4243546000002425</c:v>
                      </c:pt>
                      <c:pt idx="161">
                        <c:v>2.4402967000000899</c:v>
                      </c:pt>
                      <c:pt idx="162">
                        <c:v>2.4554897000002711</c:v>
                      </c:pt>
                      <c:pt idx="163">
                        <c:v>2.4712208000000828</c:v>
                      </c:pt>
                      <c:pt idx="164">
                        <c:v>2.4867932000001929</c:v>
                      </c:pt>
                      <c:pt idx="165">
                        <c:v>2.5027567000001909</c:v>
                      </c:pt>
                      <c:pt idx="166">
                        <c:v>2.5181257000003825</c:v>
                      </c:pt>
                      <c:pt idx="167">
                        <c:v>2.5331108000000313</c:v>
                      </c:pt>
                      <c:pt idx="168">
                        <c:v>2.5489589000003434</c:v>
                      </c:pt>
                      <c:pt idx="169">
                        <c:v>2.5650508000003356</c:v>
                      </c:pt>
                      <c:pt idx="170">
                        <c:v>2.5803182000004199</c:v>
                      </c:pt>
                      <c:pt idx="171">
                        <c:v>2.5957627000002503</c:v>
                      </c:pt>
                      <c:pt idx="172">
                        <c:v>2.6111039000002165</c:v>
                      </c:pt>
                      <c:pt idx="173">
                        <c:v>2.6267086000002564</c:v>
                      </c:pt>
                      <c:pt idx="174">
                        <c:v>2.6419436000001042</c:v>
                      </c:pt>
                      <c:pt idx="175">
                        <c:v>2.6580228000002535</c:v>
                      </c:pt>
                      <c:pt idx="176">
                        <c:v>2.6738740000000689</c:v>
                      </c:pt>
                      <c:pt idx="177">
                        <c:v>2.6894137000003866</c:v>
                      </c:pt>
                      <c:pt idx="178">
                        <c:v>2.7046626000001197</c:v>
                      </c:pt>
                      <c:pt idx="179">
                        <c:v>2.7199347000000671</c:v>
                      </c:pt>
                      <c:pt idx="180">
                        <c:v>2.7358025000003181</c:v>
                      </c:pt>
                      <c:pt idx="181">
                        <c:v>2.7508734000002733</c:v>
                      </c:pt>
                      <c:pt idx="182">
                        <c:v>2.7659552000000076</c:v>
                      </c:pt>
                      <c:pt idx="183">
                        <c:v>2.7808774000000085</c:v>
                      </c:pt>
                      <c:pt idx="184">
                        <c:v>2.7956675000000359</c:v>
                      </c:pt>
                      <c:pt idx="185">
                        <c:v>2.811707800000022</c:v>
                      </c:pt>
                      <c:pt idx="186">
                        <c:v>2.8270329000001766</c:v>
                      </c:pt>
                      <c:pt idx="187">
                        <c:v>2.8423720000000685</c:v>
                      </c:pt>
                      <c:pt idx="188">
                        <c:v>2.858502700000372</c:v>
                      </c:pt>
                      <c:pt idx="189">
                        <c:v>2.8740185000001475</c:v>
                      </c:pt>
                      <c:pt idx="190">
                        <c:v>2.8900909000003594</c:v>
                      </c:pt>
                      <c:pt idx="191">
                        <c:v>2.9053735000002234</c:v>
                      </c:pt>
                      <c:pt idx="192">
                        <c:v>2.921306100000038</c:v>
                      </c:pt>
                      <c:pt idx="193">
                        <c:v>2.9369955000001937</c:v>
                      </c:pt>
                      <c:pt idx="194">
                        <c:v>2.9526253000003635</c:v>
                      </c:pt>
                      <c:pt idx="195">
                        <c:v>2.9675974000001588</c:v>
                      </c:pt>
                      <c:pt idx="196">
                        <c:v>2.9831733000000895</c:v>
                      </c:pt>
                      <c:pt idx="197">
                        <c:v>2.9984130000002551</c:v>
                      </c:pt>
                      <c:pt idx="198">
                        <c:v>3.0135693000001993</c:v>
                      </c:pt>
                      <c:pt idx="199">
                        <c:v>3.0290494000000763</c:v>
                      </c:pt>
                      <c:pt idx="200">
                        <c:v>3.0444785000004231</c:v>
                      </c:pt>
                      <c:pt idx="201">
                        <c:v>3.0598500000000968</c:v>
                      </c:pt>
                      <c:pt idx="202">
                        <c:v>3.0750644000004286</c:v>
                      </c:pt>
                      <c:pt idx="203">
                        <c:v>3.0904241000002912</c:v>
                      </c:pt>
                      <c:pt idx="204">
                        <c:v>3.1064377000002423</c:v>
                      </c:pt>
                      <c:pt idx="205">
                        <c:v>3.1225518000001102</c:v>
                      </c:pt>
                      <c:pt idx="206">
                        <c:v>3.138448800000333</c:v>
                      </c:pt>
                      <c:pt idx="207">
                        <c:v>3.1540184000000409</c:v>
                      </c:pt>
                      <c:pt idx="208">
                        <c:v>3.1689089999999851</c:v>
                      </c:pt>
                      <c:pt idx="209">
                        <c:v>3.1849315000004026</c:v>
                      </c:pt>
                      <c:pt idx="210">
                        <c:v>3.2003816000001279</c:v>
                      </c:pt>
                      <c:pt idx="211">
                        <c:v>3.2153074000002562</c:v>
                      </c:pt>
                      <c:pt idx="212">
                        <c:v>3.2629249999999956</c:v>
                      </c:pt>
                      <c:pt idx="213">
                        <c:v>3.2789824000001317</c:v>
                      </c:pt>
                      <c:pt idx="214">
                        <c:v>3.2943454000001111</c:v>
                      </c:pt>
                      <c:pt idx="215">
                        <c:v>3.3418642999999975</c:v>
                      </c:pt>
                      <c:pt idx="216">
                        <c:v>3.357551400000375</c:v>
                      </c:pt>
                      <c:pt idx="217">
                        <c:v>3.4502027000003181</c:v>
                      </c:pt>
                      <c:pt idx="218">
                        <c:v>3.466481400000248</c:v>
                      </c:pt>
                      <c:pt idx="219">
                        <c:v>3.4815856000000167</c:v>
                      </c:pt>
                      <c:pt idx="220">
                        <c:v>3.496932100000322</c:v>
                      </c:pt>
                      <c:pt idx="221">
                        <c:v>3.5277230000001509</c:v>
                      </c:pt>
                      <c:pt idx="222">
                        <c:v>3.5595329000002494</c:v>
                      </c:pt>
                      <c:pt idx="223">
                        <c:v>3.590596000000005</c:v>
                      </c:pt>
                      <c:pt idx="224">
                        <c:v>3.6220025000002352</c:v>
                      </c:pt>
                      <c:pt idx="225">
                        <c:v>3.6521181000002798</c:v>
                      </c:pt>
                      <c:pt idx="226">
                        <c:v>3.7453942000001916</c:v>
                      </c:pt>
                      <c:pt idx="227">
                        <c:v>3.7610059000003275</c:v>
                      </c:pt>
                      <c:pt idx="228">
                        <c:v>3.7763112000002366</c:v>
                      </c:pt>
                      <c:pt idx="229">
                        <c:v>3.7926324000000022</c:v>
                      </c:pt>
                      <c:pt idx="230">
                        <c:v>3.8087636000000202</c:v>
                      </c:pt>
                      <c:pt idx="231">
                        <c:v>3.8874061999999867</c:v>
                      </c:pt>
                      <c:pt idx="232">
                        <c:v>3.9030201000000488</c:v>
                      </c:pt>
                      <c:pt idx="233">
                        <c:v>3.9183447000000342</c:v>
                      </c:pt>
                      <c:pt idx="234">
                        <c:v>3.9338287000000491</c:v>
                      </c:pt>
                      <c:pt idx="235">
                        <c:v>3.9800678999999946</c:v>
                      </c:pt>
                      <c:pt idx="236">
                        <c:v>3.995798900000409</c:v>
                      </c:pt>
                      <c:pt idx="237">
                        <c:v>4.0423875999999836</c:v>
                      </c:pt>
                      <c:pt idx="238">
                        <c:v>4.0739817000003313</c:v>
                      </c:pt>
                      <c:pt idx="239">
                        <c:v>4.1044402000002265</c:v>
                      </c:pt>
                      <c:pt idx="240">
                        <c:v>4.1355275000000802</c:v>
                      </c:pt>
                      <c:pt idx="241">
                        <c:v>4.1654601000000184</c:v>
                      </c:pt>
                      <c:pt idx="242">
                        <c:v>4.1966453000000001</c:v>
                      </c:pt>
                      <c:pt idx="243">
                        <c:v>4.2278092000001379</c:v>
                      </c:pt>
                      <c:pt idx="244">
                        <c:v>4.2745982000001277</c:v>
                      </c:pt>
                      <c:pt idx="245">
                        <c:v>4.3050646000001507</c:v>
                      </c:pt>
                      <c:pt idx="246">
                        <c:v>4.3357205000002068</c:v>
                      </c:pt>
                      <c:pt idx="247">
                        <c:v>4.3668618000001516</c:v>
                      </c:pt>
                      <c:pt idx="248">
                        <c:v>4.3979300000000876</c:v>
                      </c:pt>
                      <c:pt idx="249">
                        <c:v>4.4284158000000389</c:v>
                      </c:pt>
                      <c:pt idx="250">
                        <c:v>4.4752190000003793</c:v>
                      </c:pt>
                      <c:pt idx="251">
                        <c:v>4.5070405000001301</c:v>
                      </c:pt>
                      <c:pt idx="252">
                        <c:v>4.5080405000001305</c:v>
                      </c:pt>
                      <c:pt idx="253">
                        <c:v>4.537615900000219</c:v>
                      </c:pt>
                      <c:pt idx="254">
                        <c:v>4.5528210000002218</c:v>
                      </c:pt>
                      <c:pt idx="255">
                        <c:v>4.5840331000003971</c:v>
                      </c:pt>
                      <c:pt idx="256">
                        <c:v>4.6146783000003779</c:v>
                      </c:pt>
                      <c:pt idx="257">
                        <c:v>4.6612142000003587</c:v>
                      </c:pt>
                      <c:pt idx="258">
                        <c:v>4.6927078000003348</c:v>
                      </c:pt>
                      <c:pt idx="259">
                        <c:v>4.7241723000001912</c:v>
                      </c:pt>
                      <c:pt idx="260">
                        <c:v>4.7552841000001536</c:v>
                      </c:pt>
                      <c:pt idx="261">
                        <c:v>4.7871487000002162</c:v>
                      </c:pt>
                      <c:pt idx="262">
                        <c:v>4.8184103000003233</c:v>
                      </c:pt>
                      <c:pt idx="263">
                        <c:v>4.8648840000000746</c:v>
                      </c:pt>
                      <c:pt idx="264">
                        <c:v>4.8959517000002961</c:v>
                      </c:pt>
                      <c:pt idx="265">
                        <c:v>4.9267509000001155</c:v>
                      </c:pt>
                      <c:pt idx="266">
                        <c:v>4.9738620000002811</c:v>
                      </c:pt>
                      <c:pt idx="267">
                        <c:v>4.9892149000002064</c:v>
                      </c:pt>
                      <c:pt idx="268">
                        <c:v>5.0212012000001778</c:v>
                      </c:pt>
                      <c:pt idx="269">
                        <c:v>5.0516725000002225</c:v>
                      </c:pt>
                      <c:pt idx="270">
                        <c:v>5.0827851000003648</c:v>
                      </c:pt>
                      <c:pt idx="271">
                        <c:v>5.1137316000003921</c:v>
                      </c:pt>
                      <c:pt idx="272">
                        <c:v>5.1452981000002183</c:v>
                      </c:pt>
                      <c:pt idx="273">
                        <c:v>5.1763471000003847</c:v>
                      </c:pt>
                      <c:pt idx="274">
                        <c:v>5.206453700000111</c:v>
                      </c:pt>
                      <c:pt idx="275">
                        <c:v>5.2538562000004276</c:v>
                      </c:pt>
                      <c:pt idx="276">
                        <c:v>5.2850330000001122</c:v>
                      </c:pt>
                      <c:pt idx="277">
                        <c:v>5.3151507000002312</c:v>
                      </c:pt>
                      <c:pt idx="278">
                        <c:v>5.3462414000000535</c:v>
                      </c:pt>
                      <c:pt idx="279">
                        <c:v>5.3769308000000819</c:v>
                      </c:pt>
                      <c:pt idx="280">
                        <c:v>5.4089211000000432</c:v>
                      </c:pt>
                      <c:pt idx="281">
                        <c:v>5.4551541000000725</c:v>
                      </c:pt>
                      <c:pt idx="282">
                        <c:v>5.4857228000000759</c:v>
                      </c:pt>
                      <c:pt idx="283">
                        <c:v>5.5166819000000942</c:v>
                      </c:pt>
                      <c:pt idx="284">
                        <c:v>5.5484199000002263</c:v>
                      </c:pt>
                      <c:pt idx="285">
                        <c:v>5.5797838000003139</c:v>
                      </c:pt>
                      <c:pt idx="286">
                        <c:v>5.6095580000001064</c:v>
                      </c:pt>
                      <c:pt idx="287">
                        <c:v>5.6410262000003968</c:v>
                      </c:pt>
                      <c:pt idx="288">
                        <c:v>5.6720820000000458</c:v>
                      </c:pt>
                      <c:pt idx="289">
                        <c:v>5.7036822000000029</c:v>
                      </c:pt>
                      <c:pt idx="290">
                        <c:v>5.7347582000002149</c:v>
                      </c:pt>
                      <c:pt idx="291">
                        <c:v>5.7660101999999824</c:v>
                      </c:pt>
                      <c:pt idx="292">
                        <c:v>5.7983756000003268</c:v>
                      </c:pt>
                      <c:pt idx="293">
                        <c:v>5.8292917000003399</c:v>
                      </c:pt>
                      <c:pt idx="294">
                        <c:v>5.8760879999999815</c:v>
                      </c:pt>
                      <c:pt idx="295">
                        <c:v>5.9069489000003159</c:v>
                      </c:pt>
                      <c:pt idx="296">
                        <c:v>5.9376335000001745</c:v>
                      </c:pt>
                      <c:pt idx="297">
                        <c:v>5.9686227000001963</c:v>
                      </c:pt>
                      <c:pt idx="298">
                        <c:v>5.999062700000195</c:v>
                      </c:pt>
                      <c:pt idx="299">
                        <c:v>6.0304338000000826</c:v>
                      </c:pt>
                      <c:pt idx="300">
                        <c:v>6.0618288000000575</c:v>
                      </c:pt>
                      <c:pt idx="301">
                        <c:v>6.0927022000000761</c:v>
                      </c:pt>
                      <c:pt idx="302">
                        <c:v>6.1397364000004018</c:v>
                      </c:pt>
                      <c:pt idx="303">
                        <c:v>6.1711775000003399</c:v>
                      </c:pt>
                      <c:pt idx="304">
                        <c:v>6.1872160000002623</c:v>
                      </c:pt>
                      <c:pt idx="305">
                        <c:v>6.2184366000001319</c:v>
                      </c:pt>
                      <c:pt idx="306">
                        <c:v>6.2489861000003657</c:v>
                      </c:pt>
                      <c:pt idx="307">
                        <c:v>6.2801828999999998</c:v>
                      </c:pt>
                      <c:pt idx="308">
                        <c:v>6.3263348000000406</c:v>
                      </c:pt>
                      <c:pt idx="309">
                        <c:v>6.3577290000002904</c:v>
                      </c:pt>
                      <c:pt idx="310">
                        <c:v>6.3879193000002488</c:v>
                      </c:pt>
                      <c:pt idx="311">
                        <c:v>6.4188283000003139</c:v>
                      </c:pt>
                      <c:pt idx="312">
                        <c:v>6.4498166000003039</c:v>
                      </c:pt>
                      <c:pt idx="313">
                        <c:v>6.4810206000001926</c:v>
                      </c:pt>
                      <c:pt idx="314">
                        <c:v>6.5271981000000778</c:v>
                      </c:pt>
                      <c:pt idx="315">
                        <c:v>6.5573610000001281</c:v>
                      </c:pt>
                      <c:pt idx="316">
                        <c:v>6.5885600000001432</c:v>
                      </c:pt>
                      <c:pt idx="317">
                        <c:v>6.6192061000001559</c:v>
                      </c:pt>
                      <c:pt idx="318">
                        <c:v>6.6495939999999791</c:v>
                      </c:pt>
                      <c:pt idx="319">
                        <c:v>6.6809850000004189</c:v>
                      </c:pt>
                      <c:pt idx="320">
                        <c:v>6.7279085000000123</c:v>
                      </c:pt>
                      <c:pt idx="321">
                        <c:v>6.7590113000001111</c:v>
                      </c:pt>
                      <c:pt idx="322">
                        <c:v>6.7899225000001024</c:v>
                      </c:pt>
                      <c:pt idx="323">
                        <c:v>6.8056283000000803</c:v>
                      </c:pt>
                      <c:pt idx="324">
                        <c:v>6.8376799000002393</c:v>
                      </c:pt>
                      <c:pt idx="325">
                        <c:v>6.8684104000003572</c:v>
                      </c:pt>
                      <c:pt idx="326">
                        <c:v>6.9149276000002828</c:v>
                      </c:pt>
                      <c:pt idx="327">
                        <c:v>6.946722900000168</c:v>
                      </c:pt>
                      <c:pt idx="328">
                        <c:v>6.9777452000002995</c:v>
                      </c:pt>
                      <c:pt idx="329">
                        <c:v>7.0080390000002808</c:v>
                      </c:pt>
                      <c:pt idx="330">
                        <c:v>7.039289700000154</c:v>
                      </c:pt>
                      <c:pt idx="331">
                        <c:v>7.0705900000002657</c:v>
                      </c:pt>
                      <c:pt idx="332">
                        <c:v>7.1177352000004248</c:v>
                      </c:pt>
                      <c:pt idx="333">
                        <c:v>7.149779700000181</c:v>
                      </c:pt>
                      <c:pt idx="334">
                        <c:v>7.1810393000000659</c:v>
                      </c:pt>
                      <c:pt idx="335">
                        <c:v>7.2121169000001828</c:v>
                      </c:pt>
                      <c:pt idx="336">
                        <c:v>7.2427593000002162</c:v>
                      </c:pt>
                      <c:pt idx="337">
                        <c:v>7.2730527000003349</c:v>
                      </c:pt>
                      <c:pt idx="338">
                        <c:v>7.3046481000001222</c:v>
                      </c:pt>
                      <c:pt idx="339">
                        <c:v>7.3364228000000367</c:v>
                      </c:pt>
                      <c:pt idx="340">
                        <c:v>7.367167000000336</c:v>
                      </c:pt>
                      <c:pt idx="341">
                        <c:v>7.3981877000001077</c:v>
                      </c:pt>
                      <c:pt idx="342">
                        <c:v>7.4297265000000152</c:v>
                      </c:pt>
                      <c:pt idx="343">
                        <c:v>7.4607101999999941</c:v>
                      </c:pt>
                      <c:pt idx="344">
                        <c:v>7.4922096000000238</c:v>
                      </c:pt>
                      <c:pt idx="345">
                        <c:v>7.5385995000001458</c:v>
                      </c:pt>
                      <c:pt idx="346">
                        <c:v>7.570056200000181</c:v>
                      </c:pt>
                      <c:pt idx="347">
                        <c:v>7.6007871000001614</c:v>
                      </c:pt>
                      <c:pt idx="348">
                        <c:v>7.6318452000000434</c:v>
                      </c:pt>
                      <c:pt idx="349">
                        <c:v>7.6628080000000409</c:v>
                      </c:pt>
                      <c:pt idx="350">
                        <c:v>7.693853300000228</c:v>
                      </c:pt>
                      <c:pt idx="351">
                        <c:v>7.740906300000006</c:v>
                      </c:pt>
                      <c:pt idx="352">
                        <c:v>7.7560024000003978</c:v>
                      </c:pt>
                      <c:pt idx="353">
                        <c:v>7.8027047000000493</c:v>
                      </c:pt>
                      <c:pt idx="354">
                        <c:v>7.818170800000189</c:v>
                      </c:pt>
                      <c:pt idx="355">
                        <c:v>7.849333900000147</c:v>
                      </c:pt>
                      <c:pt idx="356">
                        <c:v>7.8953836000000592</c:v>
                      </c:pt>
                      <c:pt idx="357">
                        <c:v>7.9105360000003202</c:v>
                      </c:pt>
                      <c:pt idx="358">
                        <c:v>7.9416419000003771</c:v>
                      </c:pt>
                      <c:pt idx="359">
                        <c:v>7.988133000000289</c:v>
                      </c:pt>
                      <c:pt idx="360">
                        <c:v>8.0195339000001695</c:v>
                      </c:pt>
                      <c:pt idx="361">
                        <c:v>8.0499366000003647</c:v>
                      </c:pt>
                      <c:pt idx="362">
                        <c:v>8.0813528000003316</c:v>
                      </c:pt>
                      <c:pt idx="363">
                        <c:v>8.1119710000002669</c:v>
                      </c:pt>
                      <c:pt idx="364">
                        <c:v>8.1418160000002899</c:v>
                      </c:pt>
                      <c:pt idx="365">
                        <c:v>8.1884018000000651</c:v>
                      </c:pt>
                      <c:pt idx="366">
                        <c:v>8.2195125000002918</c:v>
                      </c:pt>
                      <c:pt idx="367">
                        <c:v>8.2505235000003267</c:v>
                      </c:pt>
                      <c:pt idx="368">
                        <c:v>8.2813416000003599</c:v>
                      </c:pt>
                      <c:pt idx="369">
                        <c:v>8.3130092000001241</c:v>
                      </c:pt>
                      <c:pt idx="370">
                        <c:v>8.3439578000002257</c:v>
                      </c:pt>
                      <c:pt idx="371">
                        <c:v>8.3752976000000672</c:v>
                      </c:pt>
                      <c:pt idx="372">
                        <c:v>8.4216149000003497</c:v>
                      </c:pt>
                      <c:pt idx="373">
                        <c:v>8.435135100000025</c:v>
                      </c:pt>
                      <c:pt idx="374">
                        <c:v>8.4680778000001737</c:v>
                      </c:pt>
                      <c:pt idx="375">
                        <c:v>8.4993426000000909</c:v>
                      </c:pt>
                      <c:pt idx="376">
                        <c:v>8.5301843000002009</c:v>
                      </c:pt>
                      <c:pt idx="377">
                        <c:v>8.5311843000002003</c:v>
                      </c:pt>
                      <c:pt idx="378">
                        <c:v>8.5615048000004208</c:v>
                      </c:pt>
                      <c:pt idx="379">
                        <c:v>8.6084997000002659</c:v>
                      </c:pt>
                      <c:pt idx="380">
                        <c:v>8.6396508000002541</c:v>
                      </c:pt>
                      <c:pt idx="381">
                        <c:v>8.6708717999999863</c:v>
                      </c:pt>
                      <c:pt idx="382">
                        <c:v>8.7026233000001412</c:v>
                      </c:pt>
                      <c:pt idx="383">
                        <c:v>8.7334623000001557</c:v>
                      </c:pt>
                      <c:pt idx="384">
                        <c:v>8.7646595000001071</c:v>
                      </c:pt>
                      <c:pt idx="385">
                        <c:v>8.8111308000002282</c:v>
                      </c:pt>
                      <c:pt idx="386">
                        <c:v>8.8430741000001944</c:v>
                      </c:pt>
                      <c:pt idx="387">
                        <c:v>8.8728994000002785</c:v>
                      </c:pt>
                      <c:pt idx="388">
                        <c:v>8.9049598000001424</c:v>
                      </c:pt>
                      <c:pt idx="389">
                        <c:v>8.920539700000063</c:v>
                      </c:pt>
                      <c:pt idx="390">
                        <c:v>8.9517083000000639</c:v>
                      </c:pt>
                      <c:pt idx="391">
                        <c:v>8.9822482000004129</c:v>
                      </c:pt>
                      <c:pt idx="392">
                        <c:v>9.0298377000003711</c:v>
                      </c:pt>
                      <c:pt idx="393">
                        <c:v>9.0611833000002662</c:v>
                      </c:pt>
                      <c:pt idx="394">
                        <c:v>9.0922832000001108</c:v>
                      </c:pt>
                      <c:pt idx="395">
                        <c:v>9.12239610000006</c:v>
                      </c:pt>
                      <c:pt idx="396">
                        <c:v>9.1532780000002276</c:v>
                      </c:pt>
                      <c:pt idx="397">
                        <c:v>9.1842184000001907</c:v>
                      </c:pt>
                      <c:pt idx="398">
                        <c:v>9.2300111000004108</c:v>
                      </c:pt>
                      <c:pt idx="399">
                        <c:v>9.2606885000000148</c:v>
                      </c:pt>
                      <c:pt idx="400">
                        <c:v>9.291738500000065</c:v>
                      </c:pt>
                      <c:pt idx="401">
                        <c:v>9.3234608000002481</c:v>
                      </c:pt>
                      <c:pt idx="402">
                        <c:v>9.3695388000001003</c:v>
                      </c:pt>
                      <c:pt idx="403">
                        <c:v>9.4001502000000983</c:v>
                      </c:pt>
                      <c:pt idx="404">
                        <c:v>9.4309679000002689</c:v>
                      </c:pt>
                      <c:pt idx="405">
                        <c:v>9.4623018000002048</c:v>
                      </c:pt>
                      <c:pt idx="406">
                        <c:v>9.4935661000004075</c:v>
                      </c:pt>
                      <c:pt idx="407">
                        <c:v>9.5246996000000763</c:v>
                      </c:pt>
                      <c:pt idx="408">
                        <c:v>9.5554276000002574</c:v>
                      </c:pt>
                      <c:pt idx="409">
                        <c:v>9.5555276000002571</c:v>
                      </c:pt>
                      <c:pt idx="410">
                        <c:v>9.5856540000004316</c:v>
                      </c:pt>
                      <c:pt idx="411">
                        <c:v>9.6167265000003681</c:v>
                      </c:pt>
                      <c:pt idx="412">
                        <c:v>9.6474853000004259</c:v>
                      </c:pt>
                      <c:pt idx="413">
                        <c:v>9.6789674999999988</c:v>
                      </c:pt>
                      <c:pt idx="414">
                        <c:v>9.7094308000000638</c:v>
                      </c:pt>
                      <c:pt idx="415">
                        <c:v>9.7403956000002836</c:v>
                      </c:pt>
                      <c:pt idx="416">
                        <c:v>9.7720160000003489</c:v>
                      </c:pt>
                      <c:pt idx="417">
                        <c:v>9.8176916000002166</c:v>
                      </c:pt>
                      <c:pt idx="418">
                        <c:v>9.8488786000002619</c:v>
                      </c:pt>
                      <c:pt idx="419">
                        <c:v>9.8793074000000161</c:v>
                      </c:pt>
                      <c:pt idx="420">
                        <c:v>9.9106115000004138</c:v>
                      </c:pt>
                      <c:pt idx="421">
                        <c:v>9.9409724000001916</c:v>
                      </c:pt>
                      <c:pt idx="422">
                        <c:v>9.9728406000003815</c:v>
                      </c:pt>
                      <c:pt idx="423">
                        <c:v>10.004080200000317</c:v>
                      </c:pt>
                      <c:pt idx="424">
                        <c:v>10.052269700000124</c:v>
                      </c:pt>
                      <c:pt idx="425">
                        <c:v>10.067612800000006</c:v>
                      </c:pt>
                      <c:pt idx="426">
                        <c:v>10.098507600000175</c:v>
                      </c:pt>
                      <c:pt idx="427">
                        <c:v>10.129110700000183</c:v>
                      </c:pt>
                      <c:pt idx="428">
                        <c:v>10.159869600000093</c:v>
                      </c:pt>
                      <c:pt idx="429">
                        <c:v>10.191697800000384</c:v>
                      </c:pt>
                      <c:pt idx="430">
                        <c:v>10.223350500000379</c:v>
                      </c:pt>
                      <c:pt idx="431">
                        <c:v>10.317478700000265</c:v>
                      </c:pt>
                      <c:pt idx="432">
                        <c:v>10.333174900000358</c:v>
                      </c:pt>
                      <c:pt idx="433">
                        <c:v>10.348560300000372</c:v>
                      </c:pt>
                      <c:pt idx="434">
                        <c:v>10.36367700000028</c:v>
                      </c:pt>
                      <c:pt idx="435">
                        <c:v>10.410301700000218</c:v>
                      </c:pt>
                      <c:pt idx="436">
                        <c:v>10.58332960000007</c:v>
                      </c:pt>
                      <c:pt idx="437">
                        <c:v>10.598769900000207</c:v>
                      </c:pt>
                      <c:pt idx="438">
                        <c:v>10.614560700000311</c:v>
                      </c:pt>
                      <c:pt idx="439">
                        <c:v>10.63024680000035</c:v>
                      </c:pt>
                      <c:pt idx="440">
                        <c:v>10.645605100000012</c:v>
                      </c:pt>
                      <c:pt idx="441">
                        <c:v>10.661888300000101</c:v>
                      </c:pt>
                      <c:pt idx="442">
                        <c:v>10.67790260000038</c:v>
                      </c:pt>
                      <c:pt idx="443">
                        <c:v>10.693193000000065</c:v>
                      </c:pt>
                      <c:pt idx="444">
                        <c:v>10.709016600000268</c:v>
                      </c:pt>
                      <c:pt idx="445">
                        <c:v>10.724044000000049</c:v>
                      </c:pt>
                      <c:pt idx="446">
                        <c:v>10.756220200000371</c:v>
                      </c:pt>
                      <c:pt idx="447">
                        <c:v>10.787308800000119</c:v>
                      </c:pt>
                      <c:pt idx="448">
                        <c:v>10.833230000000185</c:v>
                      </c:pt>
                      <c:pt idx="449">
                        <c:v>10.848908600000414</c:v>
                      </c:pt>
                      <c:pt idx="450">
                        <c:v>10.895104500000343</c:v>
                      </c:pt>
                      <c:pt idx="451">
                        <c:v>10.926145600000382</c:v>
                      </c:pt>
                      <c:pt idx="452">
                        <c:v>10.942143000000215</c:v>
                      </c:pt>
                      <c:pt idx="453">
                        <c:v>10.973500700000386</c:v>
                      </c:pt>
                      <c:pt idx="454">
                        <c:v>11.019185500000276</c:v>
                      </c:pt>
                      <c:pt idx="455">
                        <c:v>11.034989600000245</c:v>
                      </c:pt>
                      <c:pt idx="456">
                        <c:v>11.082045999999991</c:v>
                      </c:pt>
                      <c:pt idx="457">
                        <c:v>11.1128262000002</c:v>
                      </c:pt>
                      <c:pt idx="458">
                        <c:v>11.143854800000099</c:v>
                      </c:pt>
                      <c:pt idx="459">
                        <c:v>11.175350700000308</c:v>
                      </c:pt>
                      <c:pt idx="460">
                        <c:v>11.206693400000404</c:v>
                      </c:pt>
                      <c:pt idx="461">
                        <c:v>11.237335799999983</c:v>
                      </c:pt>
                      <c:pt idx="462">
                        <c:v>11.284025600000405</c:v>
                      </c:pt>
                      <c:pt idx="463">
                        <c:v>11.314848700000312</c:v>
                      </c:pt>
                      <c:pt idx="464">
                        <c:v>11.345894600000065</c:v>
                      </c:pt>
                      <c:pt idx="465">
                        <c:v>11.377582900000107</c:v>
                      </c:pt>
                      <c:pt idx="466">
                        <c:v>11.408712500000092</c:v>
                      </c:pt>
                      <c:pt idx="467">
                        <c:v>11.424737800000003</c:v>
                      </c:pt>
                      <c:pt idx="468">
                        <c:v>11.47156490000043</c:v>
                      </c:pt>
                      <c:pt idx="469">
                        <c:v>11.502535600000101</c:v>
                      </c:pt>
                      <c:pt idx="470">
                        <c:v>11.534924500000216</c:v>
                      </c:pt>
                      <c:pt idx="471">
                        <c:v>11.565958300000148</c:v>
                      </c:pt>
                      <c:pt idx="472">
                        <c:v>11.59783920000018</c:v>
                      </c:pt>
                      <c:pt idx="473">
                        <c:v>11.644704600000296</c:v>
                      </c:pt>
                      <c:pt idx="474">
                        <c:v>11.675825900000291</c:v>
                      </c:pt>
                      <c:pt idx="475">
                        <c:v>11.706475600000431</c:v>
                      </c:pt>
                      <c:pt idx="476">
                        <c:v>11.737749000000349</c:v>
                      </c:pt>
                      <c:pt idx="477">
                        <c:v>11.76921160000029</c:v>
                      </c:pt>
                      <c:pt idx="478">
                        <c:v>11.800858600000083</c:v>
                      </c:pt>
                      <c:pt idx="479">
                        <c:v>11.832110300000295</c:v>
                      </c:pt>
                      <c:pt idx="480">
                        <c:v>11.847406900000351</c:v>
                      </c:pt>
                      <c:pt idx="481">
                        <c:v>11.894228900000144</c:v>
                      </c:pt>
                      <c:pt idx="482">
                        <c:v>11.92492110000012</c:v>
                      </c:pt>
                      <c:pt idx="483">
                        <c:v>11.955142800000431</c:v>
                      </c:pt>
                      <c:pt idx="484">
                        <c:v>12.000833200000216</c:v>
                      </c:pt>
                      <c:pt idx="485">
                        <c:v>12.016915900000186</c:v>
                      </c:pt>
                      <c:pt idx="486">
                        <c:v>12.063823899999988</c:v>
                      </c:pt>
                      <c:pt idx="487">
                        <c:v>12.094814100000349</c:v>
                      </c:pt>
                      <c:pt idx="488">
                        <c:v>12.125114600000416</c:v>
                      </c:pt>
                      <c:pt idx="489">
                        <c:v>12.15568790000043</c:v>
                      </c:pt>
                      <c:pt idx="490">
                        <c:v>12.186626400000023</c:v>
                      </c:pt>
                      <c:pt idx="491">
                        <c:v>12.218306000000211</c:v>
                      </c:pt>
                      <c:pt idx="492">
                        <c:v>12.249259600000187</c:v>
                      </c:pt>
                      <c:pt idx="493">
                        <c:v>12.296085400000266</c:v>
                      </c:pt>
                      <c:pt idx="494">
                        <c:v>12.326275300000361</c:v>
                      </c:pt>
                      <c:pt idx="495">
                        <c:v>12.357014600000184</c:v>
                      </c:pt>
                      <c:pt idx="496">
                        <c:v>12.388153500000044</c:v>
                      </c:pt>
                      <c:pt idx="497">
                        <c:v>12.4197750000003</c:v>
                      </c:pt>
                      <c:pt idx="498">
                        <c:v>12.451095400000213</c:v>
                      </c:pt>
                      <c:pt idx="499">
                        <c:v>12.482295500000419</c:v>
                      </c:pt>
                      <c:pt idx="500">
                        <c:v>12.513406000000032</c:v>
                      </c:pt>
                      <c:pt idx="501">
                        <c:v>12.545510300000387</c:v>
                      </c:pt>
                      <c:pt idx="502">
                        <c:v>12.576301700000386</c:v>
                      </c:pt>
                      <c:pt idx="503">
                        <c:v>12.607888900000034</c:v>
                      </c:pt>
                      <c:pt idx="504">
                        <c:v>12.638797200000226</c:v>
                      </c:pt>
                      <c:pt idx="505">
                        <c:v>12.670864300000176</c:v>
                      </c:pt>
                      <c:pt idx="506">
                        <c:v>12.702406300000348</c:v>
                      </c:pt>
                      <c:pt idx="507">
                        <c:v>12.748906799999986</c:v>
                      </c:pt>
                      <c:pt idx="508">
                        <c:v>12.780055300000186</c:v>
                      </c:pt>
                      <c:pt idx="509">
                        <c:v>12.810586700000385</c:v>
                      </c:pt>
                      <c:pt idx="510">
                        <c:v>12.840667400000257</c:v>
                      </c:pt>
                      <c:pt idx="511">
                        <c:v>12.87273660000028</c:v>
                      </c:pt>
                      <c:pt idx="512">
                        <c:v>12.919059700000162</c:v>
                      </c:pt>
                      <c:pt idx="513">
                        <c:v>12.950166000000081</c:v>
                      </c:pt>
                      <c:pt idx="514">
                        <c:v>12.965575600000193</c:v>
                      </c:pt>
                      <c:pt idx="515">
                        <c:v>12.996916700000384</c:v>
                      </c:pt>
                      <c:pt idx="516">
                        <c:v>13.027586500000325</c:v>
                      </c:pt>
                      <c:pt idx="517">
                        <c:v>13.058944500000052</c:v>
                      </c:pt>
                      <c:pt idx="518">
                        <c:v>13.089599500000077</c:v>
                      </c:pt>
                      <c:pt idx="519">
                        <c:v>13.136956600000303</c:v>
                      </c:pt>
                      <c:pt idx="520">
                        <c:v>13.167147800000294</c:v>
                      </c:pt>
                      <c:pt idx="521">
                        <c:v>13.197788200000105</c:v>
                      </c:pt>
                      <c:pt idx="522">
                        <c:v>13.243707000000086</c:v>
                      </c:pt>
                      <c:pt idx="523">
                        <c:v>13.30562800000007</c:v>
                      </c:pt>
                      <c:pt idx="524">
                        <c:v>13.320852300000297</c:v>
                      </c:pt>
                      <c:pt idx="525">
                        <c:v>13.336251400000037</c:v>
                      </c:pt>
                      <c:pt idx="526">
                        <c:v>13.367295000000013</c:v>
                      </c:pt>
                      <c:pt idx="527">
                        <c:v>13.397435500000029</c:v>
                      </c:pt>
                      <c:pt idx="528">
                        <c:v>13.429170900000372</c:v>
                      </c:pt>
                      <c:pt idx="529">
                        <c:v>13.460952700000234</c:v>
                      </c:pt>
                      <c:pt idx="530">
                        <c:v>13.492381000000023</c:v>
                      </c:pt>
                      <c:pt idx="531">
                        <c:v>13.523081499999989</c:v>
                      </c:pt>
                      <c:pt idx="532">
                        <c:v>13.555078700000195</c:v>
                      </c:pt>
                      <c:pt idx="533">
                        <c:v>13.587006100000053</c:v>
                      </c:pt>
                      <c:pt idx="534">
                        <c:v>13.619073000000299</c:v>
                      </c:pt>
                      <c:pt idx="535">
                        <c:v>13.650212200000169</c:v>
                      </c:pt>
                      <c:pt idx="536">
                        <c:v>13.681003300000157</c:v>
                      </c:pt>
                      <c:pt idx="537">
                        <c:v>13.712306100000205</c:v>
                      </c:pt>
                      <c:pt idx="538">
                        <c:v>13.758961900000031</c:v>
                      </c:pt>
                      <c:pt idx="539">
                        <c:v>13.789472500000102</c:v>
                      </c:pt>
                      <c:pt idx="540">
                        <c:v>13.822084700000232</c:v>
                      </c:pt>
                      <c:pt idx="541">
                        <c:v>13.852689600000303</c:v>
                      </c:pt>
                      <c:pt idx="542">
                        <c:v>13.883946300000389</c:v>
                      </c:pt>
                      <c:pt idx="543">
                        <c:v>13.914673300000231</c:v>
                      </c:pt>
                      <c:pt idx="544">
                        <c:v>13.945167700000184</c:v>
                      </c:pt>
                      <c:pt idx="545">
                        <c:v>13.992031400000087</c:v>
                      </c:pt>
                      <c:pt idx="546">
                        <c:v>14.023872700000084</c:v>
                      </c:pt>
                      <c:pt idx="547">
                        <c:v>14.054001299999982</c:v>
                      </c:pt>
                      <c:pt idx="548">
                        <c:v>14.069429500000297</c:v>
                      </c:pt>
                      <c:pt idx="549">
                        <c:v>14.100932499999999</c:v>
                      </c:pt>
                      <c:pt idx="550">
                        <c:v>14.14680670000007</c:v>
                      </c:pt>
                      <c:pt idx="551">
                        <c:v>14.17827780000016</c:v>
                      </c:pt>
                      <c:pt idx="552">
                        <c:v>14.209291300000132</c:v>
                      </c:pt>
                      <c:pt idx="553">
                        <c:v>14.240556100000049</c:v>
                      </c:pt>
                      <c:pt idx="554">
                        <c:v>14.271950000000288</c:v>
                      </c:pt>
                      <c:pt idx="555">
                        <c:v>14.303397800000312</c:v>
                      </c:pt>
                      <c:pt idx="556">
                        <c:v>14.333667700000206</c:v>
                      </c:pt>
                      <c:pt idx="557">
                        <c:v>14.380823100000271</c:v>
                      </c:pt>
                      <c:pt idx="558">
                        <c:v>14.411975400000301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'Maju 0.1'!$AC$7:$AC$565</c15:sqref>
                        </c15:formulaRef>
                      </c:ext>
                    </c:extLst>
                    <c:numCache>
                      <c:formatCode>General</c:formatCode>
                      <c:ptCount val="559"/>
                      <c:pt idx="0">
                        <c:v>40.073734332710998</c:v>
                      </c:pt>
                      <c:pt idx="1">
                        <c:v>40.073734332710998</c:v>
                      </c:pt>
                      <c:pt idx="2">
                        <c:v>40.05103472028302</c:v>
                      </c:pt>
                      <c:pt idx="3">
                        <c:v>40.034302061402769</c:v>
                      </c:pt>
                      <c:pt idx="4">
                        <c:v>39.957350679423541</c:v>
                      </c:pt>
                      <c:pt idx="5">
                        <c:v>39.83786562145859</c:v>
                      </c:pt>
                      <c:pt idx="6">
                        <c:v>39.725048677710163</c:v>
                      </c:pt>
                      <c:pt idx="7">
                        <c:v>39.60697421082763</c:v>
                      </c:pt>
                      <c:pt idx="8">
                        <c:v>39.497261159537196</c:v>
                      </c:pt>
                      <c:pt idx="9">
                        <c:v>39.403951681079683</c:v>
                      </c:pt>
                      <c:pt idx="10">
                        <c:v>39.310110228225568</c:v>
                      </c:pt>
                      <c:pt idx="11">
                        <c:v>39.217470686756045</c:v>
                      </c:pt>
                      <c:pt idx="12">
                        <c:v>39.124681490951495</c:v>
                      </c:pt>
                      <c:pt idx="13">
                        <c:v>38.985366040912609</c:v>
                      </c:pt>
                      <c:pt idx="14">
                        <c:v>38.851121651202561</c:v>
                      </c:pt>
                      <c:pt idx="15">
                        <c:v>38.713527570267203</c:v>
                      </c:pt>
                      <c:pt idx="16">
                        <c:v>38.583713250582974</c:v>
                      </c:pt>
                      <c:pt idx="17">
                        <c:v>38.437473918579826</c:v>
                      </c:pt>
                      <c:pt idx="18">
                        <c:v>38.282976750168572</c:v>
                      </c:pt>
                      <c:pt idx="19">
                        <c:v>38.137062492190438</c:v>
                      </c:pt>
                      <c:pt idx="20">
                        <c:v>37.989460717569507</c:v>
                      </c:pt>
                      <c:pt idx="21">
                        <c:v>37.834577573073844</c:v>
                      </c:pt>
                      <c:pt idx="22">
                        <c:v>37.684774229338792</c:v>
                      </c:pt>
                      <c:pt idx="23">
                        <c:v>37.530080786944396</c:v>
                      </c:pt>
                      <c:pt idx="24">
                        <c:v>37.378850845072364</c:v>
                      </c:pt>
                      <c:pt idx="25">
                        <c:v>37.181626448885964</c:v>
                      </c:pt>
                      <c:pt idx="26">
                        <c:v>36.987884519960446</c:v>
                      </c:pt>
                      <c:pt idx="27">
                        <c:v>36.79182386283496</c:v>
                      </c:pt>
                      <c:pt idx="28">
                        <c:v>36.601388152832094</c:v>
                      </c:pt>
                      <c:pt idx="29">
                        <c:v>36.40052370882254</c:v>
                      </c:pt>
                      <c:pt idx="30">
                        <c:v>36.198175125948922</c:v>
                      </c:pt>
                      <c:pt idx="31">
                        <c:v>35.998723845755045</c:v>
                      </c:pt>
                      <c:pt idx="32">
                        <c:v>35.802242110710438</c:v>
                      </c:pt>
                      <c:pt idx="33">
                        <c:v>35.599153359516343</c:v>
                      </c:pt>
                      <c:pt idx="34">
                        <c:v>35.398782513087184</c:v>
                      </c:pt>
                      <c:pt idx="35">
                        <c:v>35.195481569862075</c:v>
                      </c:pt>
                      <c:pt idx="36">
                        <c:v>34.994693992781784</c:v>
                      </c:pt>
                      <c:pt idx="37">
                        <c:v>34.798160703353581</c:v>
                      </c:pt>
                      <c:pt idx="38">
                        <c:v>34.561822562457735</c:v>
                      </c:pt>
                      <c:pt idx="39">
                        <c:v>34.309510133492921</c:v>
                      </c:pt>
                      <c:pt idx="40">
                        <c:v>34.082426309103887</c:v>
                      </c:pt>
                      <c:pt idx="41">
                        <c:v>33.843021502201836</c:v>
                      </c:pt>
                      <c:pt idx="42">
                        <c:v>33.655051483197028</c:v>
                      </c:pt>
                      <c:pt idx="43">
                        <c:v>33.455001958136364</c:v>
                      </c:pt>
                      <c:pt idx="44">
                        <c:v>33.267978694463778</c:v>
                      </c:pt>
                      <c:pt idx="45">
                        <c:v>33.07767963253378</c:v>
                      </c:pt>
                      <c:pt idx="46">
                        <c:v>32.926839089552821</c:v>
                      </c:pt>
                      <c:pt idx="47">
                        <c:v>32.77717619094755</c:v>
                      </c:pt>
                      <c:pt idx="48">
                        <c:v>32.626953911264941</c:v>
                      </c:pt>
                      <c:pt idx="49">
                        <c:v>32.466209379061681</c:v>
                      </c:pt>
                      <c:pt idx="50">
                        <c:v>32.315617122768927</c:v>
                      </c:pt>
                      <c:pt idx="51">
                        <c:v>32.178424373787671</c:v>
                      </c:pt>
                      <c:pt idx="52">
                        <c:v>32.042580890306482</c:v>
                      </c:pt>
                      <c:pt idx="53">
                        <c:v>31.90867226949797</c:v>
                      </c:pt>
                      <c:pt idx="54">
                        <c:v>31.767351104741003</c:v>
                      </c:pt>
                      <c:pt idx="55">
                        <c:v>31.620880851865671</c:v>
                      </c:pt>
                      <c:pt idx="56">
                        <c:v>31.468990081312675</c:v>
                      </c:pt>
                      <c:pt idx="57">
                        <c:v>31.325977842682089</c:v>
                      </c:pt>
                      <c:pt idx="58">
                        <c:v>31.178914868393637</c:v>
                      </c:pt>
                      <c:pt idx="59">
                        <c:v>31.031329169429913</c:v>
                      </c:pt>
                      <c:pt idx="60">
                        <c:v>30.882303684210985</c:v>
                      </c:pt>
                      <c:pt idx="61">
                        <c:v>30.856063246875134</c:v>
                      </c:pt>
                      <c:pt idx="62">
                        <c:v>30.732167452397672</c:v>
                      </c:pt>
                      <c:pt idx="63">
                        <c:v>30.584922204875259</c:v>
                      </c:pt>
                      <c:pt idx="64">
                        <c:v>30.456618072673994</c:v>
                      </c:pt>
                      <c:pt idx="65">
                        <c:v>30.331200409548622</c:v>
                      </c:pt>
                      <c:pt idx="66">
                        <c:v>30.203618310056449</c:v>
                      </c:pt>
                      <c:pt idx="67">
                        <c:v>30.076144224662176</c:v>
                      </c:pt>
                      <c:pt idx="68">
                        <c:v>29.988373662240662</c:v>
                      </c:pt>
                      <c:pt idx="69">
                        <c:v>29.904207808340235</c:v>
                      </c:pt>
                      <c:pt idx="70">
                        <c:v>29.821166448990738</c:v>
                      </c:pt>
                      <c:pt idx="71">
                        <c:v>29.7350799016838</c:v>
                      </c:pt>
                      <c:pt idx="72">
                        <c:v>29.648562534450686</c:v>
                      </c:pt>
                      <c:pt idx="73">
                        <c:v>29.573219126695534</c:v>
                      </c:pt>
                      <c:pt idx="74">
                        <c:v>29.499961790593961</c:v>
                      </c:pt>
                      <c:pt idx="75">
                        <c:v>29.423510187221577</c:v>
                      </c:pt>
                      <c:pt idx="76">
                        <c:v>29.346560303068244</c:v>
                      </c:pt>
                      <c:pt idx="77">
                        <c:v>29.266676339318842</c:v>
                      </c:pt>
                      <c:pt idx="78">
                        <c:v>29.188801332208921</c:v>
                      </c:pt>
                      <c:pt idx="79">
                        <c:v>29.108341430476603</c:v>
                      </c:pt>
                      <c:pt idx="80">
                        <c:v>29.02771162956563</c:v>
                      </c:pt>
                      <c:pt idx="81">
                        <c:v>28.950352893468917</c:v>
                      </c:pt>
                      <c:pt idx="82">
                        <c:v>28.896352049750075</c:v>
                      </c:pt>
                      <c:pt idx="83">
                        <c:v>28.844228633305882</c:v>
                      </c:pt>
                      <c:pt idx="84">
                        <c:v>28.791787249136661</c:v>
                      </c:pt>
                      <c:pt idx="85">
                        <c:v>28.713147346590905</c:v>
                      </c:pt>
                      <c:pt idx="86">
                        <c:v>28.631877966858646</c:v>
                      </c:pt>
                      <c:pt idx="87">
                        <c:v>28.554476423825186</c:v>
                      </c:pt>
                      <c:pt idx="88">
                        <c:v>28.472934116173061</c:v>
                      </c:pt>
                      <c:pt idx="89">
                        <c:v>28.390335609087476</c:v>
                      </c:pt>
                      <c:pt idx="90">
                        <c:v>28.308167188327285</c:v>
                      </c:pt>
                      <c:pt idx="91">
                        <c:v>28.224711183250733</c:v>
                      </c:pt>
                      <c:pt idx="92">
                        <c:v>28.13922243185425</c:v>
                      </c:pt>
                      <c:pt idx="93">
                        <c:v>28.052961236852983</c:v>
                      </c:pt>
                      <c:pt idx="94">
                        <c:v>27.978216472793527</c:v>
                      </c:pt>
                      <c:pt idx="95">
                        <c:v>27.906748962881746</c:v>
                      </c:pt>
                      <c:pt idx="96">
                        <c:v>27.835300774233161</c:v>
                      </c:pt>
                      <c:pt idx="97">
                        <c:v>27.764121703166534</c:v>
                      </c:pt>
                      <c:pt idx="98">
                        <c:v>27.701110569339793</c:v>
                      </c:pt>
                      <c:pt idx="99">
                        <c:v>27.639230094885416</c:v>
                      </c:pt>
                      <c:pt idx="100">
                        <c:v>27.573819491006727</c:v>
                      </c:pt>
                      <c:pt idx="101">
                        <c:v>27.511020027600956</c:v>
                      </c:pt>
                      <c:pt idx="102">
                        <c:v>27.499888286398722</c:v>
                      </c:pt>
                      <c:pt idx="103">
                        <c:v>27.489337293615101</c:v>
                      </c:pt>
                      <c:pt idx="104">
                        <c:v>27.478477263432232</c:v>
                      </c:pt>
                      <c:pt idx="105">
                        <c:v>27.467587552869702</c:v>
                      </c:pt>
                      <c:pt idx="106">
                        <c:v>27.502360794007092</c:v>
                      </c:pt>
                      <c:pt idx="107">
                        <c:v>27.539823954282127</c:v>
                      </c:pt>
                      <c:pt idx="108">
                        <c:v>27.578114509915611</c:v>
                      </c:pt>
                      <c:pt idx="109">
                        <c:v>27.613789185210425</c:v>
                      </c:pt>
                      <c:pt idx="110">
                        <c:v>27.649300692197738</c:v>
                      </c:pt>
                      <c:pt idx="111">
                        <c:v>27.740085108004497</c:v>
                      </c:pt>
                      <c:pt idx="112">
                        <c:v>27.831294907076483</c:v>
                      </c:pt>
                      <c:pt idx="113">
                        <c:v>27.920715162764914</c:v>
                      </c:pt>
                      <c:pt idx="114">
                        <c:v>28.029976388998126</c:v>
                      </c:pt>
                      <c:pt idx="115">
                        <c:v>28.140787774500605</c:v>
                      </c:pt>
                      <c:pt idx="116">
                        <c:v>28.251982532729276</c:v>
                      </c:pt>
                      <c:pt idx="117">
                        <c:v>28.365839883370828</c:v>
                      </c:pt>
                      <c:pt idx="118">
                        <c:v>28.480068286630608</c:v>
                      </c:pt>
                      <c:pt idx="119">
                        <c:v>28.638067579776202</c:v>
                      </c:pt>
                      <c:pt idx="120">
                        <c:v>28.793821929360256</c:v>
                      </c:pt>
                      <c:pt idx="121">
                        <c:v>28.957269973885214</c:v>
                      </c:pt>
                      <c:pt idx="122">
                        <c:v>29.112079956073632</c:v>
                      </c:pt>
                      <c:pt idx="123">
                        <c:v>29.343881034813784</c:v>
                      </c:pt>
                      <c:pt idx="124">
                        <c:v>29.568428706262999</c:v>
                      </c:pt>
                      <c:pt idx="125">
                        <c:v>29.778124367393978</c:v>
                      </c:pt>
                      <c:pt idx="126">
                        <c:v>30.007781222067038</c:v>
                      </c:pt>
                      <c:pt idx="127">
                        <c:v>30.240868548787507</c:v>
                      </c:pt>
                      <c:pt idx="128">
                        <c:v>30.476705933949344</c:v>
                      </c:pt>
                      <c:pt idx="129">
                        <c:v>30.709974103324438</c:v>
                      </c:pt>
                      <c:pt idx="130">
                        <c:v>30.941697720623772</c:v>
                      </c:pt>
                      <c:pt idx="131">
                        <c:v>31.1752741958908</c:v>
                      </c:pt>
                      <c:pt idx="132">
                        <c:v>31.365266742035661</c:v>
                      </c:pt>
                      <c:pt idx="133">
                        <c:v>31.55748080867172</c:v>
                      </c:pt>
                      <c:pt idx="134">
                        <c:v>31.744902354204832</c:v>
                      </c:pt>
                      <c:pt idx="135">
                        <c:v>31.928036047484312</c:v>
                      </c:pt>
                      <c:pt idx="136">
                        <c:v>32.06131256948315</c:v>
                      </c:pt>
                      <c:pt idx="137">
                        <c:v>32.192303843544643</c:v>
                      </c:pt>
                      <c:pt idx="138">
                        <c:v>32.325285439207377</c:v>
                      </c:pt>
                      <c:pt idx="139">
                        <c:v>32.454921086948964</c:v>
                      </c:pt>
                      <c:pt idx="140">
                        <c:v>32.557345761201141</c:v>
                      </c:pt>
                      <c:pt idx="141">
                        <c:v>32.66111744250852</c:v>
                      </c:pt>
                      <c:pt idx="142">
                        <c:v>32.763308485941174</c:v>
                      </c:pt>
                      <c:pt idx="143">
                        <c:v>32.864589425144828</c:v>
                      </c:pt>
                      <c:pt idx="144">
                        <c:v>32.964434920768106</c:v>
                      </c:pt>
                      <c:pt idx="145">
                        <c:v>33.015163021742744</c:v>
                      </c:pt>
                      <c:pt idx="146">
                        <c:v>33.067598288024854</c:v>
                      </c:pt>
                      <c:pt idx="147">
                        <c:v>33.118873147789657</c:v>
                      </c:pt>
                      <c:pt idx="148">
                        <c:v>33.169498752290096</c:v>
                      </c:pt>
                      <c:pt idx="149">
                        <c:v>33.168453137186084</c:v>
                      </c:pt>
                      <c:pt idx="150">
                        <c:v>33.167404790889606</c:v>
                      </c:pt>
                      <c:pt idx="151">
                        <c:v>33.167210761584577</c:v>
                      </c:pt>
                      <c:pt idx="152">
                        <c:v>33.166356431105775</c:v>
                      </c:pt>
                      <c:pt idx="153">
                        <c:v>33.165319791846493</c:v>
                      </c:pt>
                      <c:pt idx="154">
                        <c:v>33.140649830985254</c:v>
                      </c:pt>
                      <c:pt idx="155">
                        <c:v>33.115492882502451</c:v>
                      </c:pt>
                      <c:pt idx="156">
                        <c:v>33.089267824151506</c:v>
                      </c:pt>
                      <c:pt idx="157">
                        <c:v>33.064507970433134</c:v>
                      </c:pt>
                      <c:pt idx="158">
                        <c:v>32.978797088571305</c:v>
                      </c:pt>
                      <c:pt idx="159">
                        <c:v>32.895171486153366</c:v>
                      </c:pt>
                      <c:pt idx="160">
                        <c:v>32.809122885512792</c:v>
                      </c:pt>
                      <c:pt idx="161">
                        <c:v>32.723663416520537</c:v>
                      </c:pt>
                      <c:pt idx="162">
                        <c:v>32.647561383708656</c:v>
                      </c:pt>
                      <c:pt idx="163">
                        <c:v>32.5687639975217</c:v>
                      </c:pt>
                      <c:pt idx="164">
                        <c:v>32.490761542723178</c:v>
                      </c:pt>
                      <c:pt idx="165">
                        <c:v>32.410800060410416</c:v>
                      </c:pt>
                      <c:pt idx="166">
                        <c:v>32.384514804630825</c:v>
                      </c:pt>
                      <c:pt idx="167">
                        <c:v>32.358886124406432</c:v>
                      </c:pt>
                      <c:pt idx="168">
                        <c:v>32.331781474648892</c:v>
                      </c:pt>
                      <c:pt idx="169">
                        <c:v>32.304259859223414</c:v>
                      </c:pt>
                      <c:pt idx="170">
                        <c:v>32.27814836764383</c:v>
                      </c:pt>
                      <c:pt idx="171">
                        <c:v>32.294777791030128</c:v>
                      </c:pt>
                      <c:pt idx="172">
                        <c:v>32.311295989097793</c:v>
                      </c:pt>
                      <c:pt idx="173">
                        <c:v>32.328097903249734</c:v>
                      </c:pt>
                      <c:pt idx="174">
                        <c:v>32.344501753506492</c:v>
                      </c:pt>
                      <c:pt idx="175">
                        <c:v>32.389228714270459</c:v>
                      </c:pt>
                      <c:pt idx="176">
                        <c:v>32.43332145523064</c:v>
                      </c:pt>
                      <c:pt idx="177">
                        <c:v>32.476547707294891</c:v>
                      </c:pt>
                      <c:pt idx="178">
                        <c:v>32.518965050942299</c:v>
                      </c:pt>
                      <c:pt idx="179">
                        <c:v>32.561446929236908</c:v>
                      </c:pt>
                      <c:pt idx="180">
                        <c:v>32.685613723280618</c:v>
                      </c:pt>
                      <c:pt idx="181">
                        <c:v>32.803544711591421</c:v>
                      </c:pt>
                      <c:pt idx="182">
                        <c:v>32.921560993265366</c:v>
                      </c:pt>
                      <c:pt idx="183">
                        <c:v>33.124781247269283</c:v>
                      </c:pt>
                      <c:pt idx="184">
                        <c:v>33.326202477298956</c:v>
                      </c:pt>
                      <c:pt idx="185">
                        <c:v>33.544649746488219</c:v>
                      </c:pt>
                      <c:pt idx="186">
                        <c:v>33.753356955523529</c:v>
                      </c:pt>
                      <c:pt idx="187">
                        <c:v>33.947696326158301</c:v>
                      </c:pt>
                      <c:pt idx="188">
                        <c:v>34.152064906190986</c:v>
                      </c:pt>
                      <c:pt idx="189">
                        <c:v>34.348642984883512</c:v>
                      </c:pt>
                      <c:pt idx="190">
                        <c:v>34.552272930620447</c:v>
                      </c:pt>
                      <c:pt idx="191">
                        <c:v>34.745896472135755</c:v>
                      </c:pt>
                      <c:pt idx="192">
                        <c:v>34.936898859056903</c:v>
                      </c:pt>
                      <c:pt idx="193">
                        <c:v>35.124985728081747</c:v>
                      </c:pt>
                      <c:pt idx="194">
                        <c:v>35.31235810341078</c:v>
                      </c:pt>
                      <c:pt idx="195">
                        <c:v>35.491845872966053</c:v>
                      </c:pt>
                      <c:pt idx="196">
                        <c:v>35.678572087047023</c:v>
                      </c:pt>
                      <c:pt idx="197">
                        <c:v>35.8612678853491</c:v>
                      </c:pt>
                      <c:pt idx="198">
                        <c:v>35.994577425878319</c:v>
                      </c:pt>
                      <c:pt idx="199">
                        <c:v>36.130734998527153</c:v>
                      </c:pt>
                      <c:pt idx="200">
                        <c:v>36.277871558573949</c:v>
                      </c:pt>
                      <c:pt idx="201">
                        <c:v>36.424458827608468</c:v>
                      </c:pt>
                      <c:pt idx="202">
                        <c:v>36.569547943575991</c:v>
                      </c:pt>
                      <c:pt idx="203">
                        <c:v>36.716022684246525</c:v>
                      </c:pt>
                      <c:pt idx="204">
                        <c:v>36.868733212916716</c:v>
                      </c:pt>
                      <c:pt idx="205">
                        <c:v>37.001281914092388</c:v>
                      </c:pt>
                      <c:pt idx="206">
                        <c:v>37.132044829963363</c:v>
                      </c:pt>
                      <c:pt idx="207">
                        <c:v>37.260114673007834</c:v>
                      </c:pt>
                      <c:pt idx="208">
                        <c:v>37.382599310048391</c:v>
                      </c:pt>
                      <c:pt idx="209">
                        <c:v>37.527167240208868</c:v>
                      </c:pt>
                      <c:pt idx="210">
                        <c:v>37.6665705154577</c:v>
                      </c:pt>
                      <c:pt idx="211">
                        <c:v>37.801243132836483</c:v>
                      </c:pt>
                      <c:pt idx="212">
                        <c:v>38.322650548749152</c:v>
                      </c:pt>
                      <c:pt idx="213">
                        <c:v>38.498477290130339</c:v>
                      </c:pt>
                      <c:pt idx="214">
                        <c:v>38.666700428858448</c:v>
                      </c:pt>
                      <c:pt idx="215">
                        <c:v>39.128248663690492</c:v>
                      </c:pt>
                      <c:pt idx="216">
                        <c:v>39.280616528157587</c:v>
                      </c:pt>
                      <c:pt idx="217">
                        <c:v>40.291939058277201</c:v>
                      </c:pt>
                      <c:pt idx="218">
                        <c:v>40.44842014852982</c:v>
                      </c:pt>
                      <c:pt idx="219">
                        <c:v>40.59361120699073</c:v>
                      </c:pt>
                      <c:pt idx="220">
                        <c:v>40.741131405263317</c:v>
                      </c:pt>
                      <c:pt idx="221">
                        <c:v>41.027994076199761</c:v>
                      </c:pt>
                      <c:pt idx="222">
                        <c:v>41.324350235854077</c:v>
                      </c:pt>
                      <c:pt idx="223">
                        <c:v>41.707944754029995</c:v>
                      </c:pt>
                      <c:pt idx="224">
                        <c:v>41.993716252740434</c:v>
                      </c:pt>
                      <c:pt idx="225">
                        <c:v>42.267741697999021</c:v>
                      </c:pt>
                      <c:pt idx="226">
                        <c:v>43.116472084722922</c:v>
                      </c:pt>
                      <c:pt idx="227">
                        <c:v>43.252132614648495</c:v>
                      </c:pt>
                      <c:pt idx="228">
                        <c:v>43.385130629511671</c:v>
                      </c:pt>
                      <c:pt idx="229">
                        <c:v>43.456555329671168</c:v>
                      </c:pt>
                      <c:pt idx="230">
                        <c:v>43.527148553406597</c:v>
                      </c:pt>
                      <c:pt idx="231">
                        <c:v>43.411163843306511</c:v>
                      </c:pt>
                      <c:pt idx="232">
                        <c:v>43.381233742062705</c:v>
                      </c:pt>
                      <c:pt idx="233">
                        <c:v>43.351858196586008</c:v>
                      </c:pt>
                      <c:pt idx="234">
                        <c:v>43.322177099124282</c:v>
                      </c:pt>
                      <c:pt idx="235">
                        <c:v>43.302513197758948</c:v>
                      </c:pt>
                      <c:pt idx="236">
                        <c:v>43.295823358133987</c:v>
                      </c:pt>
                      <c:pt idx="237">
                        <c:v>43.207474374719112</c:v>
                      </c:pt>
                      <c:pt idx="238">
                        <c:v>43.147560562636698</c:v>
                      </c:pt>
                      <c:pt idx="239">
                        <c:v>43.076858085153098</c:v>
                      </c:pt>
                      <c:pt idx="240">
                        <c:v>43.004695991541361</c:v>
                      </c:pt>
                      <c:pt idx="241">
                        <c:v>43.048261358837131</c:v>
                      </c:pt>
                      <c:pt idx="242">
                        <c:v>43.093649821322643</c:v>
                      </c:pt>
                      <c:pt idx="243">
                        <c:v>43.250858158672813</c:v>
                      </c:pt>
                      <c:pt idx="244">
                        <c:v>43.486888337701842</c:v>
                      </c:pt>
                      <c:pt idx="245">
                        <c:v>43.619307884326695</c:v>
                      </c:pt>
                      <c:pt idx="246">
                        <c:v>43.752551076150517</c:v>
                      </c:pt>
                      <c:pt idx="247">
                        <c:v>43.785728011265036</c:v>
                      </c:pt>
                      <c:pt idx="248">
                        <c:v>43.818827068000772</c:v>
                      </c:pt>
                      <c:pt idx="249">
                        <c:v>43.755895796157155</c:v>
                      </c:pt>
                      <c:pt idx="250">
                        <c:v>43.659280817958212</c:v>
                      </c:pt>
                      <c:pt idx="251">
                        <c:v>43.547720000000062</c:v>
                      </c:pt>
                      <c:pt idx="252">
                        <c:v>43.544214168472351</c:v>
                      </c:pt>
                      <c:pt idx="253">
                        <c:v>43.440527798707407</c:v>
                      </c:pt>
                      <c:pt idx="254">
                        <c:v>43.41131613776836</c:v>
                      </c:pt>
                      <c:pt idx="255">
                        <c:v>43.351352225502033</c:v>
                      </c:pt>
                      <c:pt idx="256">
                        <c:v>43.344549117414822</c:v>
                      </c:pt>
                      <c:pt idx="257">
                        <c:v>43.33421833942559</c:v>
                      </c:pt>
                      <c:pt idx="258">
                        <c:v>43.298907030652273</c:v>
                      </c:pt>
                      <c:pt idx="259">
                        <c:v>43.263628349431521</c:v>
                      </c:pt>
                      <c:pt idx="260">
                        <c:v>43.242305478577165</c:v>
                      </c:pt>
                      <c:pt idx="261">
                        <c:v>43.220466666594966</c:v>
                      </c:pt>
                      <c:pt idx="262">
                        <c:v>43.256743092610101</c:v>
                      </c:pt>
                      <c:pt idx="263">
                        <c:v>43.310671865919367</c:v>
                      </c:pt>
                      <c:pt idx="264">
                        <c:v>43.461433194332386</c:v>
                      </c:pt>
                      <c:pt idx="265">
                        <c:v>43.610891580566253</c:v>
                      </c:pt>
                      <c:pt idx="266">
                        <c:v>43.945236762671612</c:v>
                      </c:pt>
                      <c:pt idx="267">
                        <c:v>44.054195546191892</c:v>
                      </c:pt>
                      <c:pt idx="268">
                        <c:v>44.433804392092583</c:v>
                      </c:pt>
                      <c:pt idx="269">
                        <c:v>44.795433434092473</c:v>
                      </c:pt>
                      <c:pt idx="270">
                        <c:v>45.381441600313721</c:v>
                      </c:pt>
                      <c:pt idx="271">
                        <c:v>45.964321260512442</c:v>
                      </c:pt>
                      <c:pt idx="272">
                        <c:v>46.654805839182188</c:v>
                      </c:pt>
                      <c:pt idx="273">
                        <c:v>47.333970639947239</c:v>
                      </c:pt>
                      <c:pt idx="274">
                        <c:v>48.083679371747067</c:v>
                      </c:pt>
                      <c:pt idx="275">
                        <c:v>49.264087261037176</c:v>
                      </c:pt>
                      <c:pt idx="276">
                        <c:v>50.042061547296392</c:v>
                      </c:pt>
                      <c:pt idx="277">
                        <c:v>50.793607445579696</c:v>
                      </c:pt>
                      <c:pt idx="278">
                        <c:v>51.70293299744462</c:v>
                      </c:pt>
                      <c:pt idx="279">
                        <c:v>52.60052152364662</c:v>
                      </c:pt>
                      <c:pt idx="280">
                        <c:v>53.687785011029945</c:v>
                      </c:pt>
                      <c:pt idx="281">
                        <c:v>55.259119222096615</c:v>
                      </c:pt>
                      <c:pt idx="282">
                        <c:v>56.318725070347469</c:v>
                      </c:pt>
                      <c:pt idx="283">
                        <c:v>57.391863392114459</c:v>
                      </c:pt>
                      <c:pt idx="284">
                        <c:v>58.510176152519506</c:v>
                      </c:pt>
                      <c:pt idx="285">
                        <c:v>59.61530721263734</c:v>
                      </c:pt>
                      <c:pt idx="286">
                        <c:v>60.732366994375766</c:v>
                      </c:pt>
                      <c:pt idx="287">
                        <c:v>61.912981775772771</c:v>
                      </c:pt>
                      <c:pt idx="288">
                        <c:v>63.157559356795687</c:v>
                      </c:pt>
                      <c:pt idx="289">
                        <c:v>64.423954055249169</c:v>
                      </c:pt>
                      <c:pt idx="290">
                        <c:v>65.803185327048126</c:v>
                      </c:pt>
                      <c:pt idx="291">
                        <c:v>67.190227922801967</c:v>
                      </c:pt>
                      <c:pt idx="292">
                        <c:v>68.777770053234505</c:v>
                      </c:pt>
                      <c:pt idx="293">
                        <c:v>70.294223156182838</c:v>
                      </c:pt>
                      <c:pt idx="294">
                        <c:v>72.661685075455779</c:v>
                      </c:pt>
                      <c:pt idx="295">
                        <c:v>74.222962474434794</c:v>
                      </c:pt>
                      <c:pt idx="296">
                        <c:v>75.753354090168713</c:v>
                      </c:pt>
                      <c:pt idx="297">
                        <c:v>77.298937603023802</c:v>
                      </c:pt>
                      <c:pt idx="298">
                        <c:v>78.935355513668256</c:v>
                      </c:pt>
                      <c:pt idx="299">
                        <c:v>80.621828244168796</c:v>
                      </c:pt>
                      <c:pt idx="300">
                        <c:v>82.378963892879554</c:v>
                      </c:pt>
                      <c:pt idx="301">
                        <c:v>84.106906295713841</c:v>
                      </c:pt>
                      <c:pt idx="302">
                        <c:v>87.073452387670415</c:v>
                      </c:pt>
                      <c:pt idx="303">
                        <c:v>89.056508808976332</c:v>
                      </c:pt>
                      <c:pt idx="304">
                        <c:v>90.194180482740961</c:v>
                      </c:pt>
                      <c:pt idx="305">
                        <c:v>92.408776128091816</c:v>
                      </c:pt>
                      <c:pt idx="306">
                        <c:v>94.603702697600198</c:v>
                      </c:pt>
                      <c:pt idx="307">
                        <c:v>96.84513660657781</c:v>
                      </c:pt>
                      <c:pt idx="308">
                        <c:v>99.979171460172495</c:v>
                      </c:pt>
                      <c:pt idx="309">
                        <c:v>102.11105588966333</c:v>
                      </c:pt>
                      <c:pt idx="310">
                        <c:v>103.99294623868478</c:v>
                      </c:pt>
                      <c:pt idx="311">
                        <c:v>105.91963622845324</c:v>
                      </c:pt>
                      <c:pt idx="312">
                        <c:v>107.8215779422661</c:v>
                      </c:pt>
                      <c:pt idx="313">
                        <c:v>109.73675848581397</c:v>
                      </c:pt>
                      <c:pt idx="314">
                        <c:v>112.66271358727764</c:v>
                      </c:pt>
                      <c:pt idx="315">
                        <c:v>114.57393206229914</c:v>
                      </c:pt>
                      <c:pt idx="316">
                        <c:v>116.60255696694489</c:v>
                      </c:pt>
                      <c:pt idx="317">
                        <c:v>118.59523114529227</c:v>
                      </c:pt>
                      <c:pt idx="318">
                        <c:v>120.56722854307134</c:v>
                      </c:pt>
                      <c:pt idx="319">
                        <c:v>122.60432127784109</c:v>
                      </c:pt>
                      <c:pt idx="320">
                        <c:v>125.54176445442697</c:v>
                      </c:pt>
                      <c:pt idx="321">
                        <c:v>127.48882099611284</c:v>
                      </c:pt>
                      <c:pt idx="322">
                        <c:v>129.48622504704488</c:v>
                      </c:pt>
                      <c:pt idx="323">
                        <c:v>130.50109436765015</c:v>
                      </c:pt>
                      <c:pt idx="324">
                        <c:v>132.67043171447244</c:v>
                      </c:pt>
                      <c:pt idx="325">
                        <c:v>134.75035350734541</c:v>
                      </c:pt>
                      <c:pt idx="326">
                        <c:v>137.93977222044822</c:v>
                      </c:pt>
                      <c:pt idx="327">
                        <c:v>140.11979433718167</c:v>
                      </c:pt>
                      <c:pt idx="328">
                        <c:v>142.28230028681912</c:v>
                      </c:pt>
                      <c:pt idx="329">
                        <c:v>144.39402387716572</c:v>
                      </c:pt>
                      <c:pt idx="330">
                        <c:v>146.59446188351544</c:v>
                      </c:pt>
                      <c:pt idx="331">
                        <c:v>148.7983923468546</c:v>
                      </c:pt>
                      <c:pt idx="332">
                        <c:v>152.09736707006152</c:v>
                      </c:pt>
                      <c:pt idx="333">
                        <c:v>154.33967372093252</c:v>
                      </c:pt>
                      <c:pt idx="334">
                        <c:v>156.52803746834877</c:v>
                      </c:pt>
                      <c:pt idx="335">
                        <c:v>158.70366009938724</c:v>
                      </c:pt>
                      <c:pt idx="336">
                        <c:v>160.86712781249994</c:v>
                      </c:pt>
                      <c:pt idx="337">
                        <c:v>163.00595482411111</c:v>
                      </c:pt>
                      <c:pt idx="338">
                        <c:v>165.24290239459043</c:v>
                      </c:pt>
                      <c:pt idx="339">
                        <c:v>167.49254436677614</c:v>
                      </c:pt>
                      <c:pt idx="340">
                        <c:v>169.73616353494984</c:v>
                      </c:pt>
                      <c:pt idx="341">
                        <c:v>171.99996084074982</c:v>
                      </c:pt>
                      <c:pt idx="342">
                        <c:v>174.41540923361626</c:v>
                      </c:pt>
                      <c:pt idx="343">
                        <c:v>176.78834442361159</c:v>
                      </c:pt>
                      <c:pt idx="344">
                        <c:v>178.99297923946204</c:v>
                      </c:pt>
                      <c:pt idx="345">
                        <c:v>182.23979627864355</c:v>
                      </c:pt>
                      <c:pt idx="346">
                        <c:v>184.33382141291958</c:v>
                      </c:pt>
                      <c:pt idx="347">
                        <c:v>186.37953113449908</c:v>
                      </c:pt>
                      <c:pt idx="348">
                        <c:v>188.47027090518571</c:v>
                      </c:pt>
                      <c:pt idx="349">
                        <c:v>190.55459536070799</c:v>
                      </c:pt>
                      <c:pt idx="350">
                        <c:v>192.53046953792204</c:v>
                      </c:pt>
                      <c:pt idx="351">
                        <c:v>195.52515174938253</c:v>
                      </c:pt>
                      <c:pt idx="352">
                        <c:v>196.48424916377081</c:v>
                      </c:pt>
                      <c:pt idx="353">
                        <c:v>199.45137677782276</c:v>
                      </c:pt>
                      <c:pt idx="354">
                        <c:v>200.50676658242398</c:v>
                      </c:pt>
                      <c:pt idx="355">
                        <c:v>202.63330255590316</c:v>
                      </c:pt>
                      <c:pt idx="356">
                        <c:v>205.75595817739196</c:v>
                      </c:pt>
                      <c:pt idx="357">
                        <c:v>206.78345080036132</c:v>
                      </c:pt>
                      <c:pt idx="358">
                        <c:v>208.89275908025959</c:v>
                      </c:pt>
                      <c:pt idx="359">
                        <c:v>211.8751444171497</c:v>
                      </c:pt>
                      <c:pt idx="360">
                        <c:v>213.95579097318549</c:v>
                      </c:pt>
                      <c:pt idx="361">
                        <c:v>215.97029606857561</c:v>
                      </c:pt>
                      <c:pt idx="362">
                        <c:v>218.04046334618573</c:v>
                      </c:pt>
                      <c:pt idx="363">
                        <c:v>220.05804649561995</c:v>
                      </c:pt>
                      <c:pt idx="364">
                        <c:v>222.02467971034315</c:v>
                      </c:pt>
                      <c:pt idx="365">
                        <c:v>225.23833703373219</c:v>
                      </c:pt>
                      <c:pt idx="366">
                        <c:v>227.3872425563919</c:v>
                      </c:pt>
                      <c:pt idx="367">
                        <c:v>229.52926151330348</c:v>
                      </c:pt>
                      <c:pt idx="368">
                        <c:v>231.63513278571907</c:v>
                      </c:pt>
                      <c:pt idx="369">
                        <c:v>233.79905233643049</c:v>
                      </c:pt>
                      <c:pt idx="370">
                        <c:v>235.91384097238225</c:v>
                      </c:pt>
                      <c:pt idx="371">
                        <c:v>238.08877967113955</c:v>
                      </c:pt>
                      <c:pt idx="372">
                        <c:v>241.27419713517631</c:v>
                      </c:pt>
                      <c:pt idx="373">
                        <c:v>242.20403288112809</c:v>
                      </c:pt>
                      <c:pt idx="374">
                        <c:v>244.38340400786888</c:v>
                      </c:pt>
                      <c:pt idx="375">
                        <c:v>246.45177127596887</c:v>
                      </c:pt>
                      <c:pt idx="376">
                        <c:v>248.49214776239947</c:v>
                      </c:pt>
                      <c:pt idx="377">
                        <c:v>248.55830418329788</c:v>
                      </c:pt>
                      <c:pt idx="378">
                        <c:v>250.6009642896604</c:v>
                      </c:pt>
                      <c:pt idx="379">
                        <c:v>253.78750591742454</c:v>
                      </c:pt>
                      <c:pt idx="380">
                        <c:v>255.89974100891177</c:v>
                      </c:pt>
                      <c:pt idx="381">
                        <c:v>257.9286096056656</c:v>
                      </c:pt>
                      <c:pt idx="382">
                        <c:v>259.99195226767824</c:v>
                      </c:pt>
                      <c:pt idx="383">
                        <c:v>261.99599693811984</c:v>
                      </c:pt>
                      <c:pt idx="384">
                        <c:v>264.03296483467187</c:v>
                      </c:pt>
                      <c:pt idx="385">
                        <c:v>267.20844486033809</c:v>
                      </c:pt>
                      <c:pt idx="386">
                        <c:v>269.3911966039625</c:v>
                      </c:pt>
                      <c:pt idx="387">
                        <c:v>271.50972749314207</c:v>
                      </c:pt>
                      <c:pt idx="388">
                        <c:v>273.78702052016854</c:v>
                      </c:pt>
                      <c:pt idx="389">
                        <c:v>274.89368162332818</c:v>
                      </c:pt>
                      <c:pt idx="390">
                        <c:v>277.05684543211851</c:v>
                      </c:pt>
                      <c:pt idx="391">
                        <c:v>279.17637619079323</c:v>
                      </c:pt>
                      <c:pt idx="392">
                        <c:v>281.99862727978308</c:v>
                      </c:pt>
                      <c:pt idx="393">
                        <c:v>283.51854488936783</c:v>
                      </c:pt>
                      <c:pt idx="394">
                        <c:v>285.02654874529168</c:v>
                      </c:pt>
                      <c:pt idx="395">
                        <c:v>286.48669393267812</c:v>
                      </c:pt>
                      <c:pt idx="396">
                        <c:v>287.80109368063387</c:v>
                      </c:pt>
                      <c:pt idx="397">
                        <c:v>289.11798331376463</c:v>
                      </c:pt>
                      <c:pt idx="398">
                        <c:v>291.06225529881397</c:v>
                      </c:pt>
                      <c:pt idx="399">
                        <c:v>292.28881822654591</c:v>
                      </c:pt>
                      <c:pt idx="400">
                        <c:v>293.53027867973395</c:v>
                      </c:pt>
                      <c:pt idx="401">
                        <c:v>294.79861945056587</c:v>
                      </c:pt>
                      <c:pt idx="402">
                        <c:v>296.43154021481234</c:v>
                      </c:pt>
                      <c:pt idx="403">
                        <c:v>297.44947884480558</c:v>
                      </c:pt>
                      <c:pt idx="404">
                        <c:v>298.47427768829908</c:v>
                      </c:pt>
                      <c:pt idx="405">
                        <c:v>299.44518193104949</c:v>
                      </c:pt>
                      <c:pt idx="406">
                        <c:v>300.4139295659395</c:v>
                      </c:pt>
                      <c:pt idx="407">
                        <c:v>301.37862426533565</c:v>
                      </c:pt>
                      <c:pt idx="408">
                        <c:v>302.30461828433522</c:v>
                      </c:pt>
                      <c:pt idx="409">
                        <c:v>302.30763180301199</c:v>
                      </c:pt>
                      <c:pt idx="410">
                        <c:v>303.21549649365198</c:v>
                      </c:pt>
                      <c:pt idx="411">
                        <c:v>303.95189250701338</c:v>
                      </c:pt>
                      <c:pt idx="412">
                        <c:v>304.47226155553182</c:v>
                      </c:pt>
                      <c:pt idx="413">
                        <c:v>305.00486888933591</c:v>
                      </c:pt>
                      <c:pt idx="414">
                        <c:v>305.52023874887971</c:v>
                      </c:pt>
                      <c:pt idx="415">
                        <c:v>306.01926313015764</c:v>
                      </c:pt>
                      <c:pt idx="416">
                        <c:v>306.52885306923952</c:v>
                      </c:pt>
                      <c:pt idx="417">
                        <c:v>307.1794110247564</c:v>
                      </c:pt>
                      <c:pt idx="418">
                        <c:v>307.55600975366013</c:v>
                      </c:pt>
                      <c:pt idx="419">
                        <c:v>307.92345283577629</c:v>
                      </c:pt>
                      <c:pt idx="420">
                        <c:v>308.30146560614884</c:v>
                      </c:pt>
                      <c:pt idx="421">
                        <c:v>308.60653710500537</c:v>
                      </c:pt>
                      <c:pt idx="422">
                        <c:v>308.92675421121731</c:v>
                      </c:pt>
                      <c:pt idx="423">
                        <c:v>309.17829488791568</c:v>
                      </c:pt>
                      <c:pt idx="424">
                        <c:v>309.53340619290162</c:v>
                      </c:pt>
                      <c:pt idx="425">
                        <c:v>309.64647041360342</c:v>
                      </c:pt>
                      <c:pt idx="426">
                        <c:v>309.87413604087459</c:v>
                      </c:pt>
                      <c:pt idx="427">
                        <c:v>310.0486436624185</c:v>
                      </c:pt>
                      <c:pt idx="428">
                        <c:v>310.22403970008429</c:v>
                      </c:pt>
                      <c:pt idx="429">
                        <c:v>310.31231921535027</c:v>
                      </c:pt>
                      <c:pt idx="430">
                        <c:v>310.40011195929537</c:v>
                      </c:pt>
                      <c:pt idx="431">
                        <c:v>310.37207015776761</c:v>
                      </c:pt>
                      <c:pt idx="432">
                        <c:v>310.34487560390141</c:v>
                      </c:pt>
                      <c:pt idx="433">
                        <c:v>310.31821952860605</c:v>
                      </c:pt>
                      <c:pt idx="434">
                        <c:v>310.29202899125153</c:v>
                      </c:pt>
                      <c:pt idx="435">
                        <c:v>310.14975000479194</c:v>
                      </c:pt>
                      <c:pt idx="436">
                        <c:v>309.71164313625553</c:v>
                      </c:pt>
                      <c:pt idx="437">
                        <c:v>309.67700730043515</c:v>
                      </c:pt>
                      <c:pt idx="438">
                        <c:v>309.64158521949946</c:v>
                      </c:pt>
                      <c:pt idx="439">
                        <c:v>309.60639800265403</c:v>
                      </c:pt>
                      <c:pt idx="440">
                        <c:v>309.57194611005713</c:v>
                      </c:pt>
                      <c:pt idx="441">
                        <c:v>309.53541947250289</c:v>
                      </c:pt>
                      <c:pt idx="442">
                        <c:v>309.49949603412523</c:v>
                      </c:pt>
                      <c:pt idx="443">
                        <c:v>309.46519645548932</c:v>
                      </c:pt>
                      <c:pt idx="444">
                        <c:v>309.46519645548932</c:v>
                      </c:pt>
                      <c:pt idx="445">
                        <c:v>309.46519645548932</c:v>
                      </c:pt>
                      <c:pt idx="446">
                        <c:v>309.46519645548932</c:v>
                      </c:pt>
                      <c:pt idx="447">
                        <c:v>309.46519645548932</c:v>
                      </c:pt>
                      <c:pt idx="448">
                        <c:v>309.46519645548932</c:v>
                      </c:pt>
                      <c:pt idx="449">
                        <c:v>309.46519645548932</c:v>
                      </c:pt>
                      <c:pt idx="450">
                        <c:v>309.46519645548932</c:v>
                      </c:pt>
                      <c:pt idx="451">
                        <c:v>309.46519645548932</c:v>
                      </c:pt>
                      <c:pt idx="452">
                        <c:v>309.46519645548932</c:v>
                      </c:pt>
                      <c:pt idx="453">
                        <c:v>309.46519645548932</c:v>
                      </c:pt>
                      <c:pt idx="454">
                        <c:v>309.46519645548932</c:v>
                      </c:pt>
                      <c:pt idx="455">
                        <c:v>309.46519645548932</c:v>
                      </c:pt>
                      <c:pt idx="456">
                        <c:v>309.46519645548932</c:v>
                      </c:pt>
                      <c:pt idx="457">
                        <c:v>309.46519645548932</c:v>
                      </c:pt>
                      <c:pt idx="458">
                        <c:v>309.46519645548932</c:v>
                      </c:pt>
                      <c:pt idx="459">
                        <c:v>309.46519645548932</c:v>
                      </c:pt>
                      <c:pt idx="460">
                        <c:v>309.46519645548932</c:v>
                      </c:pt>
                      <c:pt idx="461">
                        <c:v>309.46519645548932</c:v>
                      </c:pt>
                      <c:pt idx="462">
                        <c:v>309.46519645548932</c:v>
                      </c:pt>
                      <c:pt idx="463">
                        <c:v>309.46519645548932</c:v>
                      </c:pt>
                      <c:pt idx="464">
                        <c:v>309.46519645548932</c:v>
                      </c:pt>
                      <c:pt idx="465">
                        <c:v>309.46519645548932</c:v>
                      </c:pt>
                      <c:pt idx="466">
                        <c:v>309.46519645548932</c:v>
                      </c:pt>
                      <c:pt idx="467">
                        <c:v>309.46519645548932</c:v>
                      </c:pt>
                      <c:pt idx="468">
                        <c:v>309.46519645548932</c:v>
                      </c:pt>
                      <c:pt idx="469">
                        <c:v>309.46519645548932</c:v>
                      </c:pt>
                      <c:pt idx="470">
                        <c:v>309.46519645548932</c:v>
                      </c:pt>
                      <c:pt idx="471">
                        <c:v>309.46519645548932</c:v>
                      </c:pt>
                      <c:pt idx="472">
                        <c:v>309.46519645548932</c:v>
                      </c:pt>
                      <c:pt idx="473">
                        <c:v>309.46519645548932</c:v>
                      </c:pt>
                      <c:pt idx="474">
                        <c:v>309.46519645548932</c:v>
                      </c:pt>
                      <c:pt idx="475">
                        <c:v>309.46519645548932</c:v>
                      </c:pt>
                      <c:pt idx="476">
                        <c:v>309.46519645548932</c:v>
                      </c:pt>
                      <c:pt idx="477">
                        <c:v>309.46519645548932</c:v>
                      </c:pt>
                      <c:pt idx="478">
                        <c:v>309.46519645548932</c:v>
                      </c:pt>
                      <c:pt idx="479">
                        <c:v>309.46519645548932</c:v>
                      </c:pt>
                      <c:pt idx="480">
                        <c:v>309.46519645548932</c:v>
                      </c:pt>
                      <c:pt idx="481">
                        <c:v>309.46519645548932</c:v>
                      </c:pt>
                      <c:pt idx="482">
                        <c:v>309.46519645548932</c:v>
                      </c:pt>
                      <c:pt idx="483">
                        <c:v>309.46519645548932</c:v>
                      </c:pt>
                      <c:pt idx="484">
                        <c:v>309.46519645548932</c:v>
                      </c:pt>
                      <c:pt idx="485">
                        <c:v>309.46519645548932</c:v>
                      </c:pt>
                      <c:pt idx="486">
                        <c:v>309.46519645548932</c:v>
                      </c:pt>
                      <c:pt idx="487">
                        <c:v>309.46519645548932</c:v>
                      </c:pt>
                      <c:pt idx="488">
                        <c:v>309.46519645548932</c:v>
                      </c:pt>
                      <c:pt idx="489">
                        <c:v>309.46519645548932</c:v>
                      </c:pt>
                      <c:pt idx="490">
                        <c:v>309.46519645548932</c:v>
                      </c:pt>
                      <c:pt idx="491">
                        <c:v>309.46519645548932</c:v>
                      </c:pt>
                      <c:pt idx="492">
                        <c:v>309.46519645548932</c:v>
                      </c:pt>
                      <c:pt idx="493">
                        <c:v>309.46519645548932</c:v>
                      </c:pt>
                      <c:pt idx="494">
                        <c:v>309.46519645548932</c:v>
                      </c:pt>
                      <c:pt idx="495">
                        <c:v>309.46519645548932</c:v>
                      </c:pt>
                      <c:pt idx="496">
                        <c:v>309.46519645548932</c:v>
                      </c:pt>
                      <c:pt idx="497">
                        <c:v>309.46519645548932</c:v>
                      </c:pt>
                      <c:pt idx="498">
                        <c:v>309.46519645548932</c:v>
                      </c:pt>
                      <c:pt idx="499">
                        <c:v>309.46519645548932</c:v>
                      </c:pt>
                      <c:pt idx="500">
                        <c:v>309.46519645548932</c:v>
                      </c:pt>
                      <c:pt idx="501">
                        <c:v>309.46519645548932</c:v>
                      </c:pt>
                      <c:pt idx="502">
                        <c:v>309.46519645548932</c:v>
                      </c:pt>
                      <c:pt idx="503">
                        <c:v>309.46519645548932</c:v>
                      </c:pt>
                      <c:pt idx="504">
                        <c:v>309.46519645548932</c:v>
                      </c:pt>
                      <c:pt idx="505">
                        <c:v>309.46519645548932</c:v>
                      </c:pt>
                      <c:pt idx="506">
                        <c:v>309.46519645548932</c:v>
                      </c:pt>
                      <c:pt idx="507">
                        <c:v>309.46519645548932</c:v>
                      </c:pt>
                      <c:pt idx="508">
                        <c:v>309.46519645548932</c:v>
                      </c:pt>
                      <c:pt idx="509">
                        <c:v>309.46519645548932</c:v>
                      </c:pt>
                      <c:pt idx="510">
                        <c:v>309.46519645548932</c:v>
                      </c:pt>
                      <c:pt idx="511">
                        <c:v>309.46519645548932</c:v>
                      </c:pt>
                      <c:pt idx="512">
                        <c:v>309.46519645548932</c:v>
                      </c:pt>
                      <c:pt idx="513">
                        <c:v>309.46519645548932</c:v>
                      </c:pt>
                      <c:pt idx="514">
                        <c:v>309.46519645548932</c:v>
                      </c:pt>
                      <c:pt idx="515">
                        <c:v>309.46519645548932</c:v>
                      </c:pt>
                      <c:pt idx="516">
                        <c:v>309.46519645548932</c:v>
                      </c:pt>
                      <c:pt idx="517">
                        <c:v>309.46519645548932</c:v>
                      </c:pt>
                      <c:pt idx="518">
                        <c:v>309.46519645548932</c:v>
                      </c:pt>
                      <c:pt idx="519">
                        <c:v>309.46519645548932</c:v>
                      </c:pt>
                      <c:pt idx="520">
                        <c:v>309.46519645548932</c:v>
                      </c:pt>
                      <c:pt idx="521">
                        <c:v>309.46519645548932</c:v>
                      </c:pt>
                      <c:pt idx="522">
                        <c:v>309.46519645548932</c:v>
                      </c:pt>
                      <c:pt idx="523">
                        <c:v>309.46519645548932</c:v>
                      </c:pt>
                      <c:pt idx="524">
                        <c:v>309.46519645548932</c:v>
                      </c:pt>
                      <c:pt idx="525">
                        <c:v>309.46519645548932</c:v>
                      </c:pt>
                      <c:pt idx="526">
                        <c:v>309.46519645548932</c:v>
                      </c:pt>
                      <c:pt idx="527">
                        <c:v>309.46519645548932</c:v>
                      </c:pt>
                      <c:pt idx="528">
                        <c:v>309.46519645548932</c:v>
                      </c:pt>
                      <c:pt idx="529">
                        <c:v>309.46519645548932</c:v>
                      </c:pt>
                      <c:pt idx="530">
                        <c:v>309.46519645548932</c:v>
                      </c:pt>
                      <c:pt idx="531">
                        <c:v>309.46519645548932</c:v>
                      </c:pt>
                      <c:pt idx="532">
                        <c:v>309.46519645548932</c:v>
                      </c:pt>
                      <c:pt idx="533">
                        <c:v>309.46519645548932</c:v>
                      </c:pt>
                      <c:pt idx="534">
                        <c:v>309.46519645548932</c:v>
                      </c:pt>
                      <c:pt idx="535">
                        <c:v>309.46519645548932</c:v>
                      </c:pt>
                      <c:pt idx="536">
                        <c:v>309.46519645548932</c:v>
                      </c:pt>
                      <c:pt idx="537">
                        <c:v>309.46519645548932</c:v>
                      </c:pt>
                      <c:pt idx="538">
                        <c:v>309.46519645548932</c:v>
                      </c:pt>
                      <c:pt idx="539">
                        <c:v>309.46519645548932</c:v>
                      </c:pt>
                      <c:pt idx="540">
                        <c:v>309.46519645548932</c:v>
                      </c:pt>
                      <c:pt idx="541">
                        <c:v>309.46519645548932</c:v>
                      </c:pt>
                      <c:pt idx="542">
                        <c:v>309.46519645548932</c:v>
                      </c:pt>
                      <c:pt idx="543">
                        <c:v>309.46519645548932</c:v>
                      </c:pt>
                      <c:pt idx="544">
                        <c:v>309.46519645548932</c:v>
                      </c:pt>
                      <c:pt idx="545">
                        <c:v>309.46519645548932</c:v>
                      </c:pt>
                      <c:pt idx="546">
                        <c:v>309.46519645548932</c:v>
                      </c:pt>
                      <c:pt idx="547">
                        <c:v>309.46519645548932</c:v>
                      </c:pt>
                      <c:pt idx="548">
                        <c:v>309.46519645548932</c:v>
                      </c:pt>
                      <c:pt idx="549">
                        <c:v>309.46519645548932</c:v>
                      </c:pt>
                      <c:pt idx="550">
                        <c:v>309.46519645548932</c:v>
                      </c:pt>
                      <c:pt idx="551">
                        <c:v>309.46519645548932</c:v>
                      </c:pt>
                      <c:pt idx="552">
                        <c:v>309.46519645548932</c:v>
                      </c:pt>
                      <c:pt idx="553">
                        <c:v>309.46519645548932</c:v>
                      </c:pt>
                      <c:pt idx="554">
                        <c:v>309.46519645548932</c:v>
                      </c:pt>
                      <c:pt idx="555">
                        <c:v>309.46519645548932</c:v>
                      </c:pt>
                      <c:pt idx="556">
                        <c:v>309.46519645548932</c:v>
                      </c:pt>
                      <c:pt idx="557">
                        <c:v>309.46519645548932</c:v>
                      </c:pt>
                      <c:pt idx="558">
                        <c:v>309.46519645548932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018-41DB-89E6-123002D5EA0E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'Maju 0.1'!$L$6</c15:sqref>
                        </c15:formulaRef>
                      </c:ext>
                    </c:extLst>
                    <c:strCache>
                      <c:ptCount val="1"/>
                      <c:pt idx="0">
                        <c:v>'Y_movAvg'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'Maju 0.1'!$D$7:$D$565</c15:sqref>
                        </c15:formulaRef>
                      </c:ext>
                    </c:extLst>
                    <c:numCache>
                      <c:formatCode>0.000</c:formatCode>
                      <c:ptCount val="559"/>
                      <c:pt idx="0">
                        <c:v>0</c:v>
                      </c:pt>
                      <c:pt idx="1">
                        <c:v>0</c:v>
                      </c:pt>
                      <c:pt idx="2">
                        <c:v>5.2989000000707165E-3</c:v>
                      </c:pt>
                      <c:pt idx="3">
                        <c:v>9.2048999999860825E-3</c:v>
                      </c:pt>
                      <c:pt idx="4">
                        <c:v>2.7168100000380946E-2</c:v>
                      </c:pt>
                      <c:pt idx="5">
                        <c:v>4.3313000000125612E-2</c:v>
                      </c:pt>
                      <c:pt idx="6">
                        <c:v>5.8556899999985035E-2</c:v>
                      </c:pt>
                      <c:pt idx="7">
                        <c:v>7.4511200000415556E-2</c:v>
                      </c:pt>
                      <c:pt idx="8">
                        <c:v>8.9335699999992357E-2</c:v>
                      </c:pt>
                      <c:pt idx="9">
                        <c:v>0.10529730000007476</c:v>
                      </c:pt>
                      <c:pt idx="10">
                        <c:v>0.12134990000004109</c:v>
                      </c:pt>
                      <c:pt idx="11">
                        <c:v>0.13719690000016271</c:v>
                      </c:pt>
                      <c:pt idx="12">
                        <c:v>0.15306950000012876</c:v>
                      </c:pt>
                      <c:pt idx="13">
                        <c:v>0.16923990000032063</c:v>
                      </c:pt>
                      <c:pt idx="14">
                        <c:v>0.18482170000015685</c:v>
                      </c:pt>
                      <c:pt idx="15">
                        <c:v>0.20079230000010284</c:v>
                      </c:pt>
                      <c:pt idx="16">
                        <c:v>0.21585990000039601</c:v>
                      </c:pt>
                      <c:pt idx="17">
                        <c:v>0.23115530000040962</c:v>
                      </c:pt>
                      <c:pt idx="18">
                        <c:v>0.24731440000005023</c:v>
                      </c:pt>
                      <c:pt idx="19">
                        <c:v>0.26257580000037706</c:v>
                      </c:pt>
                      <c:pt idx="20">
                        <c:v>0.2780137000004288</c:v>
                      </c:pt>
                      <c:pt idx="21">
                        <c:v>0.2941795000001548</c:v>
                      </c:pt>
                      <c:pt idx="22">
                        <c:v>0.30981510000037815</c:v>
                      </c:pt>
                      <c:pt idx="23">
                        <c:v>0.32596110000031331</c:v>
                      </c:pt>
                      <c:pt idx="24">
                        <c:v>0.34174560000019483</c:v>
                      </c:pt>
                      <c:pt idx="25">
                        <c:v>0.35752370000000155</c:v>
                      </c:pt>
                      <c:pt idx="26">
                        <c:v>0.37302320000026157</c:v>
                      </c:pt>
                      <c:pt idx="27">
                        <c:v>0.38870820000011008</c:v>
                      </c:pt>
                      <c:pt idx="28">
                        <c:v>0.40394320000041262</c:v>
                      </c:pt>
                      <c:pt idx="29">
                        <c:v>0.4197916000002806</c:v>
                      </c:pt>
                      <c:pt idx="30">
                        <c:v>0.43575710000004619</c:v>
                      </c:pt>
                      <c:pt idx="31">
                        <c:v>0.45149400000036621</c:v>
                      </c:pt>
                      <c:pt idx="32">
                        <c:v>0.46699660000012955</c:v>
                      </c:pt>
                      <c:pt idx="33">
                        <c:v>0.4830205000002934</c:v>
                      </c:pt>
                      <c:pt idx="34">
                        <c:v>0.49845470000036585</c:v>
                      </c:pt>
                      <c:pt idx="35">
                        <c:v>0.51411460000008447</c:v>
                      </c:pt>
                      <c:pt idx="36">
                        <c:v>0.52958090000038283</c:v>
                      </c:pt>
                      <c:pt idx="37">
                        <c:v>0.54471950000015568</c:v>
                      </c:pt>
                      <c:pt idx="38">
                        <c:v>0.55994790000022476</c:v>
                      </c:pt>
                      <c:pt idx="39">
                        <c:v>0.57620560000032128</c:v>
                      </c:pt>
                      <c:pt idx="40">
                        <c:v>0.59083770000006552</c:v>
                      </c:pt>
                      <c:pt idx="41">
                        <c:v>0.60626369999999952</c:v>
                      </c:pt>
                      <c:pt idx="42">
                        <c:v>0.6214124000002812</c:v>
                      </c:pt>
                      <c:pt idx="43">
                        <c:v>0.63753459999998086</c:v>
                      </c:pt>
                      <c:pt idx="44">
                        <c:v>0.65260699999998906</c:v>
                      </c:pt>
                      <c:pt idx="45">
                        <c:v>0.66794340000024022</c:v>
                      </c:pt>
                      <c:pt idx="46">
                        <c:v>0.68331380000017816</c:v>
                      </c:pt>
                      <c:pt idx="47">
                        <c:v>0.69856420000041908</c:v>
                      </c:pt>
                      <c:pt idx="48">
                        <c:v>0.7138716000004024</c:v>
                      </c:pt>
                      <c:pt idx="49">
                        <c:v>0.73025120000011157</c:v>
                      </c:pt>
                      <c:pt idx="50">
                        <c:v>0.74559630000021571</c:v>
                      </c:pt>
                      <c:pt idx="51">
                        <c:v>0.7610821000002943</c:v>
                      </c:pt>
                      <c:pt idx="52">
                        <c:v>0.77641560000029131</c:v>
                      </c:pt>
                      <c:pt idx="53">
                        <c:v>0.79153070000029402</c:v>
                      </c:pt>
                      <c:pt idx="54">
                        <c:v>0.80748250000033295</c:v>
                      </c:pt>
                      <c:pt idx="55">
                        <c:v>0.82297660000040196</c:v>
                      </c:pt>
                      <c:pt idx="56">
                        <c:v>0.83904410000013741</c:v>
                      </c:pt>
                      <c:pt idx="57">
                        <c:v>0.85417240000015227</c:v>
                      </c:pt>
                      <c:pt idx="58">
                        <c:v>0.86972920000016529</c:v>
                      </c:pt>
                      <c:pt idx="59">
                        <c:v>0.88524850000021615</c:v>
                      </c:pt>
                      <c:pt idx="60">
                        <c:v>0.90091920000031678</c:v>
                      </c:pt>
                      <c:pt idx="61">
                        <c:v>0.90367850000029648</c:v>
                      </c:pt>
                      <c:pt idx="62">
                        <c:v>0.91670670000030441</c:v>
                      </c:pt>
                      <c:pt idx="63">
                        <c:v>0.93219020000015007</c:v>
                      </c:pt>
                      <c:pt idx="64">
                        <c:v>0.94763220000004367</c:v>
                      </c:pt>
                      <c:pt idx="65">
                        <c:v>0.96272680000038235</c:v>
                      </c:pt>
                      <c:pt idx="66">
                        <c:v>0.97808190000023387</c:v>
                      </c:pt>
                      <c:pt idx="67">
                        <c:v>0.9934240000002319</c:v>
                      </c:pt>
                      <c:pt idx="68">
                        <c:v>1.0095186000003196</c:v>
                      </c:pt>
                      <c:pt idx="69">
                        <c:v>1.0249522000003708</c:v>
                      </c:pt>
                      <c:pt idx="70">
                        <c:v>1.0401796000001013</c:v>
                      </c:pt>
                      <c:pt idx="71">
                        <c:v>1.055965400000332</c:v>
                      </c:pt>
                      <c:pt idx="72">
                        <c:v>1.0718302000000222</c:v>
                      </c:pt>
                      <c:pt idx="73">
                        <c:v>1.0875557000003937</c:v>
                      </c:pt>
                      <c:pt idx="74">
                        <c:v>1.1028458000000683</c:v>
                      </c:pt>
                      <c:pt idx="75">
                        <c:v>1.1188025999999809</c:v>
                      </c:pt>
                      <c:pt idx="76">
                        <c:v>1.1348634000000857</c:v>
                      </c:pt>
                      <c:pt idx="77">
                        <c:v>1.1506616000001486</c:v>
                      </c:pt>
                      <c:pt idx="78">
                        <c:v>1.1660625000004075</c:v>
                      </c:pt>
                      <c:pt idx="79">
                        <c:v>1.1819746000001032</c:v>
                      </c:pt>
                      <c:pt idx="80">
                        <c:v>1.197920300000078</c:v>
                      </c:pt>
                      <c:pt idx="81">
                        <c:v>1.2132191000000603</c:v>
                      </c:pt>
                      <c:pt idx="82">
                        <c:v>1.2292172000002211</c:v>
                      </c:pt>
                      <c:pt idx="83">
                        <c:v>1.2446591000002627</c:v>
                      </c:pt>
                      <c:pt idx="84">
                        <c:v>1.2601951999999983</c:v>
                      </c:pt>
                      <c:pt idx="85">
                        <c:v>1.2756392000001142</c:v>
                      </c:pt>
                      <c:pt idx="86">
                        <c:v>1.2915996000001542</c:v>
                      </c:pt>
                      <c:pt idx="87">
                        <c:v>1.3068004000001565</c:v>
                      </c:pt>
                      <c:pt idx="88">
                        <c:v>1.3228144000004249</c:v>
                      </c:pt>
                      <c:pt idx="89">
                        <c:v>1.338255300000128</c:v>
                      </c:pt>
                      <c:pt idx="90">
                        <c:v>1.3536158000001706</c:v>
                      </c:pt>
                      <c:pt idx="91">
                        <c:v>1.3692170000003898</c:v>
                      </c:pt>
                      <c:pt idx="92">
                        <c:v>1.3851982000001044</c:v>
                      </c:pt>
                      <c:pt idx="93">
                        <c:v>1.4013238000002275</c:v>
                      </c:pt>
                      <c:pt idx="94">
                        <c:v>1.4175716000004286</c:v>
                      </c:pt>
                      <c:pt idx="95">
                        <c:v>1.433107000000291</c:v>
                      </c:pt>
                      <c:pt idx="96">
                        <c:v>1.4486382000000049</c:v>
                      </c:pt>
                      <c:pt idx="97">
                        <c:v>1.464110900000378</c:v>
                      </c:pt>
                      <c:pt idx="98">
                        <c:v>1.4797096000002057</c:v>
                      </c:pt>
                      <c:pt idx="99">
                        <c:v>1.4950284000001375</c:v>
                      </c:pt>
                      <c:pt idx="100">
                        <c:v>1.511221100000057</c:v>
                      </c:pt>
                      <c:pt idx="101">
                        <c:v>1.5267674000001534</c:v>
                      </c:pt>
                      <c:pt idx="102">
                        <c:v>1.542782200000147</c:v>
                      </c:pt>
                      <c:pt idx="103">
                        <c:v>1.5579615000001468</c:v>
                      </c:pt>
                      <c:pt idx="104">
                        <c:v>1.573585400000411</c:v>
                      </c:pt>
                      <c:pt idx="105">
                        <c:v>1.589252000000215</c:v>
                      </c:pt>
                      <c:pt idx="106">
                        <c:v>1.603999400000248</c:v>
                      </c:pt>
                      <c:pt idx="107">
                        <c:v>1.6198876000003111</c:v>
                      </c:pt>
                      <c:pt idx="108">
                        <c:v>1.6361267000002044</c:v>
                      </c:pt>
                      <c:pt idx="109">
                        <c:v>1.6512564000004204</c:v>
                      </c:pt>
                      <c:pt idx="110">
                        <c:v>1.6663169000003109</c:v>
                      </c:pt>
                      <c:pt idx="111">
                        <c:v>1.6817897000000812</c:v>
                      </c:pt>
                      <c:pt idx="112">
                        <c:v>1.6973350000002938</c:v>
                      </c:pt>
                      <c:pt idx="113">
                        <c:v>1.7125753000000259</c:v>
                      </c:pt>
                      <c:pt idx="114">
                        <c:v>1.7276518000003307</c:v>
                      </c:pt>
                      <c:pt idx="115">
                        <c:v>1.7429422000000159</c:v>
                      </c:pt>
                      <c:pt idx="116">
                        <c:v>1.7582855000000563</c:v>
                      </c:pt>
                      <c:pt idx="117">
                        <c:v>1.773996200000056</c:v>
                      </c:pt>
                      <c:pt idx="118">
                        <c:v>1.7897581000001992</c:v>
                      </c:pt>
                      <c:pt idx="119">
                        <c:v>1.8050165000004199</c:v>
                      </c:pt>
                      <c:pt idx="120">
                        <c:v>1.8200581000000966</c:v>
                      </c:pt>
                      <c:pt idx="121">
                        <c:v>1.8358427000002848</c:v>
                      </c:pt>
                      <c:pt idx="122">
                        <c:v>1.8507931000003737</c:v>
                      </c:pt>
                      <c:pt idx="123">
                        <c:v>1.8669764000001123</c:v>
                      </c:pt>
                      <c:pt idx="124">
                        <c:v>1.8826533000001291</c:v>
                      </c:pt>
                      <c:pt idx="125">
                        <c:v>1.8972933000000012</c:v>
                      </c:pt>
                      <c:pt idx="126">
                        <c:v>1.9133269000003565</c:v>
                      </c:pt>
                      <c:pt idx="127">
                        <c:v>1.9296000000003914</c:v>
                      </c:pt>
                      <c:pt idx="128">
                        <c:v>1.9452049000001352</c:v>
                      </c:pt>
                      <c:pt idx="129">
                        <c:v>1.9606398000000809</c:v>
                      </c:pt>
                      <c:pt idx="130">
                        <c:v>1.9759725000003527</c:v>
                      </c:pt>
                      <c:pt idx="131">
                        <c:v>1.9914278000001104</c:v>
                      </c:pt>
                      <c:pt idx="132">
                        <c:v>2.0069760000001224</c:v>
                      </c:pt>
                      <c:pt idx="133">
                        <c:v>2.0227060000001984</c:v>
                      </c:pt>
                      <c:pt idx="134">
                        <c:v>2.0380438000001959</c:v>
                      </c:pt>
                      <c:pt idx="135">
                        <c:v>2.0530307000003631</c:v>
                      </c:pt>
                      <c:pt idx="136">
                        <c:v>2.0684856000002583</c:v>
                      </c:pt>
                      <c:pt idx="137">
                        <c:v>2.0836755000000267</c:v>
                      </c:pt>
                      <c:pt idx="138">
                        <c:v>2.0990962000000764</c:v>
                      </c:pt>
                      <c:pt idx="139">
                        <c:v>2.1141289000001962</c:v>
                      </c:pt>
                      <c:pt idx="140">
                        <c:v>2.1296484000004057</c:v>
                      </c:pt>
                      <c:pt idx="141">
                        <c:v>2.1453720000004068</c:v>
                      </c:pt>
                      <c:pt idx="142">
                        <c:v>2.1608561000002737</c:v>
                      </c:pt>
                      <c:pt idx="143">
                        <c:v>2.1762023000001136</c:v>
                      </c:pt>
                      <c:pt idx="144">
                        <c:v>2.191330999999991</c:v>
                      </c:pt>
                      <c:pt idx="145">
                        <c:v>2.2065747000001465</c:v>
                      </c:pt>
                      <c:pt idx="146">
                        <c:v>2.2223314000002574</c:v>
                      </c:pt>
                      <c:pt idx="147">
                        <c:v>2.2377394000000095</c:v>
                      </c:pt>
                      <c:pt idx="148">
                        <c:v>2.2529523000002882</c:v>
                      </c:pt>
                      <c:pt idx="149">
                        <c:v>2.2684573999999884</c:v>
                      </c:pt>
                      <c:pt idx="150">
                        <c:v>2.2840030000002116</c:v>
                      </c:pt>
                      <c:pt idx="151">
                        <c:v>2.2868802000002688</c:v>
                      </c:pt>
                      <c:pt idx="152">
                        <c:v>2.2995488000001387</c:v>
                      </c:pt>
                      <c:pt idx="153">
                        <c:v>2.3149207999999817</c:v>
                      </c:pt>
                      <c:pt idx="154">
                        <c:v>2.3300423000000592</c:v>
                      </c:pt>
                      <c:pt idx="155">
                        <c:v>2.3454623000002357</c:v>
                      </c:pt>
                      <c:pt idx="156">
                        <c:v>2.3615370000002258</c:v>
                      </c:pt>
                      <c:pt idx="157">
                        <c:v>2.3767136000001301</c:v>
                      </c:pt>
                      <c:pt idx="158">
                        <c:v>2.3927026000001206</c:v>
                      </c:pt>
                      <c:pt idx="159">
                        <c:v>2.4083026000002974</c:v>
                      </c:pt>
                      <c:pt idx="160">
                        <c:v>2.4243546000002425</c:v>
                      </c:pt>
                      <c:pt idx="161">
                        <c:v>2.4402967000000899</c:v>
                      </c:pt>
                      <c:pt idx="162">
                        <c:v>2.4554897000002711</c:v>
                      </c:pt>
                      <c:pt idx="163">
                        <c:v>2.4712208000000828</c:v>
                      </c:pt>
                      <c:pt idx="164">
                        <c:v>2.4867932000001929</c:v>
                      </c:pt>
                      <c:pt idx="165">
                        <c:v>2.5027567000001909</c:v>
                      </c:pt>
                      <c:pt idx="166">
                        <c:v>2.5181257000003825</c:v>
                      </c:pt>
                      <c:pt idx="167">
                        <c:v>2.5331108000000313</c:v>
                      </c:pt>
                      <c:pt idx="168">
                        <c:v>2.5489589000003434</c:v>
                      </c:pt>
                      <c:pt idx="169">
                        <c:v>2.5650508000003356</c:v>
                      </c:pt>
                      <c:pt idx="170">
                        <c:v>2.5803182000004199</c:v>
                      </c:pt>
                      <c:pt idx="171">
                        <c:v>2.5957627000002503</c:v>
                      </c:pt>
                      <c:pt idx="172">
                        <c:v>2.6111039000002165</c:v>
                      </c:pt>
                      <c:pt idx="173">
                        <c:v>2.6267086000002564</c:v>
                      </c:pt>
                      <c:pt idx="174">
                        <c:v>2.6419436000001042</c:v>
                      </c:pt>
                      <c:pt idx="175">
                        <c:v>2.6580228000002535</c:v>
                      </c:pt>
                      <c:pt idx="176">
                        <c:v>2.6738740000000689</c:v>
                      </c:pt>
                      <c:pt idx="177">
                        <c:v>2.6894137000003866</c:v>
                      </c:pt>
                      <c:pt idx="178">
                        <c:v>2.7046626000001197</c:v>
                      </c:pt>
                      <c:pt idx="179">
                        <c:v>2.7199347000000671</c:v>
                      </c:pt>
                      <c:pt idx="180">
                        <c:v>2.7358025000003181</c:v>
                      </c:pt>
                      <c:pt idx="181">
                        <c:v>2.7508734000002733</c:v>
                      </c:pt>
                      <c:pt idx="182">
                        <c:v>2.7659552000000076</c:v>
                      </c:pt>
                      <c:pt idx="183">
                        <c:v>2.7808774000000085</c:v>
                      </c:pt>
                      <c:pt idx="184">
                        <c:v>2.7956675000000359</c:v>
                      </c:pt>
                      <c:pt idx="185">
                        <c:v>2.811707800000022</c:v>
                      </c:pt>
                      <c:pt idx="186">
                        <c:v>2.8270329000001766</c:v>
                      </c:pt>
                      <c:pt idx="187">
                        <c:v>2.8423720000000685</c:v>
                      </c:pt>
                      <c:pt idx="188">
                        <c:v>2.858502700000372</c:v>
                      </c:pt>
                      <c:pt idx="189">
                        <c:v>2.8740185000001475</c:v>
                      </c:pt>
                      <c:pt idx="190">
                        <c:v>2.8900909000003594</c:v>
                      </c:pt>
                      <c:pt idx="191">
                        <c:v>2.9053735000002234</c:v>
                      </c:pt>
                      <c:pt idx="192">
                        <c:v>2.921306100000038</c:v>
                      </c:pt>
                      <c:pt idx="193">
                        <c:v>2.9369955000001937</c:v>
                      </c:pt>
                      <c:pt idx="194">
                        <c:v>2.9526253000003635</c:v>
                      </c:pt>
                      <c:pt idx="195">
                        <c:v>2.9675974000001588</c:v>
                      </c:pt>
                      <c:pt idx="196">
                        <c:v>2.9831733000000895</c:v>
                      </c:pt>
                      <c:pt idx="197">
                        <c:v>2.9984130000002551</c:v>
                      </c:pt>
                      <c:pt idx="198">
                        <c:v>3.0135693000001993</c:v>
                      </c:pt>
                      <c:pt idx="199">
                        <c:v>3.0290494000000763</c:v>
                      </c:pt>
                      <c:pt idx="200">
                        <c:v>3.0444785000004231</c:v>
                      </c:pt>
                      <c:pt idx="201">
                        <c:v>3.0598500000000968</c:v>
                      </c:pt>
                      <c:pt idx="202">
                        <c:v>3.0750644000004286</c:v>
                      </c:pt>
                      <c:pt idx="203">
                        <c:v>3.0904241000002912</c:v>
                      </c:pt>
                      <c:pt idx="204">
                        <c:v>3.1064377000002423</c:v>
                      </c:pt>
                      <c:pt idx="205">
                        <c:v>3.1225518000001102</c:v>
                      </c:pt>
                      <c:pt idx="206">
                        <c:v>3.138448800000333</c:v>
                      </c:pt>
                      <c:pt idx="207">
                        <c:v>3.1540184000000409</c:v>
                      </c:pt>
                      <c:pt idx="208">
                        <c:v>3.1689089999999851</c:v>
                      </c:pt>
                      <c:pt idx="209">
                        <c:v>3.1849315000004026</c:v>
                      </c:pt>
                      <c:pt idx="210">
                        <c:v>3.2003816000001279</c:v>
                      </c:pt>
                      <c:pt idx="211">
                        <c:v>3.2153074000002562</c:v>
                      </c:pt>
                      <c:pt idx="212">
                        <c:v>3.2629249999999956</c:v>
                      </c:pt>
                      <c:pt idx="213">
                        <c:v>3.2789824000001317</c:v>
                      </c:pt>
                      <c:pt idx="214">
                        <c:v>3.2943454000001111</c:v>
                      </c:pt>
                      <c:pt idx="215">
                        <c:v>3.3418642999999975</c:v>
                      </c:pt>
                      <c:pt idx="216">
                        <c:v>3.357551400000375</c:v>
                      </c:pt>
                      <c:pt idx="217">
                        <c:v>3.4502027000003181</c:v>
                      </c:pt>
                      <c:pt idx="218">
                        <c:v>3.466481400000248</c:v>
                      </c:pt>
                      <c:pt idx="219">
                        <c:v>3.4815856000000167</c:v>
                      </c:pt>
                      <c:pt idx="220">
                        <c:v>3.496932100000322</c:v>
                      </c:pt>
                      <c:pt idx="221">
                        <c:v>3.5277230000001509</c:v>
                      </c:pt>
                      <c:pt idx="222">
                        <c:v>3.5595329000002494</c:v>
                      </c:pt>
                      <c:pt idx="223">
                        <c:v>3.590596000000005</c:v>
                      </c:pt>
                      <c:pt idx="224">
                        <c:v>3.6220025000002352</c:v>
                      </c:pt>
                      <c:pt idx="225">
                        <c:v>3.6521181000002798</c:v>
                      </c:pt>
                      <c:pt idx="226">
                        <c:v>3.7453942000001916</c:v>
                      </c:pt>
                      <c:pt idx="227">
                        <c:v>3.7610059000003275</c:v>
                      </c:pt>
                      <c:pt idx="228">
                        <c:v>3.7763112000002366</c:v>
                      </c:pt>
                      <c:pt idx="229">
                        <c:v>3.7926324000000022</c:v>
                      </c:pt>
                      <c:pt idx="230">
                        <c:v>3.8087636000000202</c:v>
                      </c:pt>
                      <c:pt idx="231">
                        <c:v>3.8874061999999867</c:v>
                      </c:pt>
                      <c:pt idx="232">
                        <c:v>3.9030201000000488</c:v>
                      </c:pt>
                      <c:pt idx="233">
                        <c:v>3.9183447000000342</c:v>
                      </c:pt>
                      <c:pt idx="234">
                        <c:v>3.9338287000000491</c:v>
                      </c:pt>
                      <c:pt idx="235">
                        <c:v>3.9800678999999946</c:v>
                      </c:pt>
                      <c:pt idx="236">
                        <c:v>3.995798900000409</c:v>
                      </c:pt>
                      <c:pt idx="237">
                        <c:v>4.0423875999999836</c:v>
                      </c:pt>
                      <c:pt idx="238">
                        <c:v>4.0739817000003313</c:v>
                      </c:pt>
                      <c:pt idx="239">
                        <c:v>4.1044402000002265</c:v>
                      </c:pt>
                      <c:pt idx="240">
                        <c:v>4.1355275000000802</c:v>
                      </c:pt>
                      <c:pt idx="241">
                        <c:v>4.1654601000000184</c:v>
                      </c:pt>
                      <c:pt idx="242">
                        <c:v>4.1966453000000001</c:v>
                      </c:pt>
                      <c:pt idx="243">
                        <c:v>4.2278092000001379</c:v>
                      </c:pt>
                      <c:pt idx="244">
                        <c:v>4.2745982000001277</c:v>
                      </c:pt>
                      <c:pt idx="245">
                        <c:v>4.3050646000001507</c:v>
                      </c:pt>
                      <c:pt idx="246">
                        <c:v>4.3357205000002068</c:v>
                      </c:pt>
                      <c:pt idx="247">
                        <c:v>4.3668618000001516</c:v>
                      </c:pt>
                      <c:pt idx="248">
                        <c:v>4.3979300000000876</c:v>
                      </c:pt>
                      <c:pt idx="249">
                        <c:v>4.4284158000000389</c:v>
                      </c:pt>
                      <c:pt idx="250">
                        <c:v>4.4752190000003793</c:v>
                      </c:pt>
                      <c:pt idx="251">
                        <c:v>4.5070405000001301</c:v>
                      </c:pt>
                      <c:pt idx="252">
                        <c:v>4.5080405000001305</c:v>
                      </c:pt>
                      <c:pt idx="253">
                        <c:v>4.537615900000219</c:v>
                      </c:pt>
                      <c:pt idx="254">
                        <c:v>4.5528210000002218</c:v>
                      </c:pt>
                      <c:pt idx="255">
                        <c:v>4.5840331000003971</c:v>
                      </c:pt>
                      <c:pt idx="256">
                        <c:v>4.6146783000003779</c:v>
                      </c:pt>
                      <c:pt idx="257">
                        <c:v>4.6612142000003587</c:v>
                      </c:pt>
                      <c:pt idx="258">
                        <c:v>4.6927078000003348</c:v>
                      </c:pt>
                      <c:pt idx="259">
                        <c:v>4.7241723000001912</c:v>
                      </c:pt>
                      <c:pt idx="260">
                        <c:v>4.7552841000001536</c:v>
                      </c:pt>
                      <c:pt idx="261">
                        <c:v>4.7871487000002162</c:v>
                      </c:pt>
                      <c:pt idx="262">
                        <c:v>4.8184103000003233</c:v>
                      </c:pt>
                      <c:pt idx="263">
                        <c:v>4.8648840000000746</c:v>
                      </c:pt>
                      <c:pt idx="264">
                        <c:v>4.8959517000002961</c:v>
                      </c:pt>
                      <c:pt idx="265">
                        <c:v>4.9267509000001155</c:v>
                      </c:pt>
                      <c:pt idx="266">
                        <c:v>4.9738620000002811</c:v>
                      </c:pt>
                      <c:pt idx="267">
                        <c:v>4.9892149000002064</c:v>
                      </c:pt>
                      <c:pt idx="268">
                        <c:v>5.0212012000001778</c:v>
                      </c:pt>
                      <c:pt idx="269">
                        <c:v>5.0516725000002225</c:v>
                      </c:pt>
                      <c:pt idx="270">
                        <c:v>5.0827851000003648</c:v>
                      </c:pt>
                      <c:pt idx="271">
                        <c:v>5.1137316000003921</c:v>
                      </c:pt>
                      <c:pt idx="272">
                        <c:v>5.1452981000002183</c:v>
                      </c:pt>
                      <c:pt idx="273">
                        <c:v>5.1763471000003847</c:v>
                      </c:pt>
                      <c:pt idx="274">
                        <c:v>5.206453700000111</c:v>
                      </c:pt>
                      <c:pt idx="275">
                        <c:v>5.2538562000004276</c:v>
                      </c:pt>
                      <c:pt idx="276">
                        <c:v>5.2850330000001122</c:v>
                      </c:pt>
                      <c:pt idx="277">
                        <c:v>5.3151507000002312</c:v>
                      </c:pt>
                      <c:pt idx="278">
                        <c:v>5.3462414000000535</c:v>
                      </c:pt>
                      <c:pt idx="279">
                        <c:v>5.3769308000000819</c:v>
                      </c:pt>
                      <c:pt idx="280">
                        <c:v>5.4089211000000432</c:v>
                      </c:pt>
                      <c:pt idx="281">
                        <c:v>5.4551541000000725</c:v>
                      </c:pt>
                      <c:pt idx="282">
                        <c:v>5.4857228000000759</c:v>
                      </c:pt>
                      <c:pt idx="283">
                        <c:v>5.5166819000000942</c:v>
                      </c:pt>
                      <c:pt idx="284">
                        <c:v>5.5484199000002263</c:v>
                      </c:pt>
                      <c:pt idx="285">
                        <c:v>5.5797838000003139</c:v>
                      </c:pt>
                      <c:pt idx="286">
                        <c:v>5.6095580000001064</c:v>
                      </c:pt>
                      <c:pt idx="287">
                        <c:v>5.6410262000003968</c:v>
                      </c:pt>
                      <c:pt idx="288">
                        <c:v>5.6720820000000458</c:v>
                      </c:pt>
                      <c:pt idx="289">
                        <c:v>5.7036822000000029</c:v>
                      </c:pt>
                      <c:pt idx="290">
                        <c:v>5.7347582000002149</c:v>
                      </c:pt>
                      <c:pt idx="291">
                        <c:v>5.7660101999999824</c:v>
                      </c:pt>
                      <c:pt idx="292">
                        <c:v>5.7983756000003268</c:v>
                      </c:pt>
                      <c:pt idx="293">
                        <c:v>5.8292917000003399</c:v>
                      </c:pt>
                      <c:pt idx="294">
                        <c:v>5.8760879999999815</c:v>
                      </c:pt>
                      <c:pt idx="295">
                        <c:v>5.9069489000003159</c:v>
                      </c:pt>
                      <c:pt idx="296">
                        <c:v>5.9376335000001745</c:v>
                      </c:pt>
                      <c:pt idx="297">
                        <c:v>5.9686227000001963</c:v>
                      </c:pt>
                      <c:pt idx="298">
                        <c:v>5.999062700000195</c:v>
                      </c:pt>
                      <c:pt idx="299">
                        <c:v>6.0304338000000826</c:v>
                      </c:pt>
                      <c:pt idx="300">
                        <c:v>6.0618288000000575</c:v>
                      </c:pt>
                      <c:pt idx="301">
                        <c:v>6.0927022000000761</c:v>
                      </c:pt>
                      <c:pt idx="302">
                        <c:v>6.1397364000004018</c:v>
                      </c:pt>
                      <c:pt idx="303">
                        <c:v>6.1711775000003399</c:v>
                      </c:pt>
                      <c:pt idx="304">
                        <c:v>6.1872160000002623</c:v>
                      </c:pt>
                      <c:pt idx="305">
                        <c:v>6.2184366000001319</c:v>
                      </c:pt>
                      <c:pt idx="306">
                        <c:v>6.2489861000003657</c:v>
                      </c:pt>
                      <c:pt idx="307">
                        <c:v>6.2801828999999998</c:v>
                      </c:pt>
                      <c:pt idx="308">
                        <c:v>6.3263348000000406</c:v>
                      </c:pt>
                      <c:pt idx="309">
                        <c:v>6.3577290000002904</c:v>
                      </c:pt>
                      <c:pt idx="310">
                        <c:v>6.3879193000002488</c:v>
                      </c:pt>
                      <c:pt idx="311">
                        <c:v>6.4188283000003139</c:v>
                      </c:pt>
                      <c:pt idx="312">
                        <c:v>6.4498166000003039</c:v>
                      </c:pt>
                      <c:pt idx="313">
                        <c:v>6.4810206000001926</c:v>
                      </c:pt>
                      <c:pt idx="314">
                        <c:v>6.5271981000000778</c:v>
                      </c:pt>
                      <c:pt idx="315">
                        <c:v>6.5573610000001281</c:v>
                      </c:pt>
                      <c:pt idx="316">
                        <c:v>6.5885600000001432</c:v>
                      </c:pt>
                      <c:pt idx="317">
                        <c:v>6.6192061000001559</c:v>
                      </c:pt>
                      <c:pt idx="318">
                        <c:v>6.6495939999999791</c:v>
                      </c:pt>
                      <c:pt idx="319">
                        <c:v>6.6809850000004189</c:v>
                      </c:pt>
                      <c:pt idx="320">
                        <c:v>6.7279085000000123</c:v>
                      </c:pt>
                      <c:pt idx="321">
                        <c:v>6.7590113000001111</c:v>
                      </c:pt>
                      <c:pt idx="322">
                        <c:v>6.7899225000001024</c:v>
                      </c:pt>
                      <c:pt idx="323">
                        <c:v>6.8056283000000803</c:v>
                      </c:pt>
                      <c:pt idx="324">
                        <c:v>6.8376799000002393</c:v>
                      </c:pt>
                      <c:pt idx="325">
                        <c:v>6.8684104000003572</c:v>
                      </c:pt>
                      <c:pt idx="326">
                        <c:v>6.9149276000002828</c:v>
                      </c:pt>
                      <c:pt idx="327">
                        <c:v>6.946722900000168</c:v>
                      </c:pt>
                      <c:pt idx="328">
                        <c:v>6.9777452000002995</c:v>
                      </c:pt>
                      <c:pt idx="329">
                        <c:v>7.0080390000002808</c:v>
                      </c:pt>
                      <c:pt idx="330">
                        <c:v>7.039289700000154</c:v>
                      </c:pt>
                      <c:pt idx="331">
                        <c:v>7.0705900000002657</c:v>
                      </c:pt>
                      <c:pt idx="332">
                        <c:v>7.1177352000004248</c:v>
                      </c:pt>
                      <c:pt idx="333">
                        <c:v>7.149779700000181</c:v>
                      </c:pt>
                      <c:pt idx="334">
                        <c:v>7.1810393000000659</c:v>
                      </c:pt>
                      <c:pt idx="335">
                        <c:v>7.2121169000001828</c:v>
                      </c:pt>
                      <c:pt idx="336">
                        <c:v>7.2427593000002162</c:v>
                      </c:pt>
                      <c:pt idx="337">
                        <c:v>7.2730527000003349</c:v>
                      </c:pt>
                      <c:pt idx="338">
                        <c:v>7.3046481000001222</c:v>
                      </c:pt>
                      <c:pt idx="339">
                        <c:v>7.3364228000000367</c:v>
                      </c:pt>
                      <c:pt idx="340">
                        <c:v>7.367167000000336</c:v>
                      </c:pt>
                      <c:pt idx="341">
                        <c:v>7.3981877000001077</c:v>
                      </c:pt>
                      <c:pt idx="342">
                        <c:v>7.4297265000000152</c:v>
                      </c:pt>
                      <c:pt idx="343">
                        <c:v>7.4607101999999941</c:v>
                      </c:pt>
                      <c:pt idx="344">
                        <c:v>7.4922096000000238</c:v>
                      </c:pt>
                      <c:pt idx="345">
                        <c:v>7.5385995000001458</c:v>
                      </c:pt>
                      <c:pt idx="346">
                        <c:v>7.570056200000181</c:v>
                      </c:pt>
                      <c:pt idx="347">
                        <c:v>7.6007871000001614</c:v>
                      </c:pt>
                      <c:pt idx="348">
                        <c:v>7.6318452000000434</c:v>
                      </c:pt>
                      <c:pt idx="349">
                        <c:v>7.6628080000000409</c:v>
                      </c:pt>
                      <c:pt idx="350">
                        <c:v>7.693853300000228</c:v>
                      </c:pt>
                      <c:pt idx="351">
                        <c:v>7.740906300000006</c:v>
                      </c:pt>
                      <c:pt idx="352">
                        <c:v>7.7560024000003978</c:v>
                      </c:pt>
                      <c:pt idx="353">
                        <c:v>7.8027047000000493</c:v>
                      </c:pt>
                      <c:pt idx="354">
                        <c:v>7.818170800000189</c:v>
                      </c:pt>
                      <c:pt idx="355">
                        <c:v>7.849333900000147</c:v>
                      </c:pt>
                      <c:pt idx="356">
                        <c:v>7.8953836000000592</c:v>
                      </c:pt>
                      <c:pt idx="357">
                        <c:v>7.9105360000003202</c:v>
                      </c:pt>
                      <c:pt idx="358">
                        <c:v>7.9416419000003771</c:v>
                      </c:pt>
                      <c:pt idx="359">
                        <c:v>7.988133000000289</c:v>
                      </c:pt>
                      <c:pt idx="360">
                        <c:v>8.0195339000001695</c:v>
                      </c:pt>
                      <c:pt idx="361">
                        <c:v>8.0499366000003647</c:v>
                      </c:pt>
                      <c:pt idx="362">
                        <c:v>8.0813528000003316</c:v>
                      </c:pt>
                      <c:pt idx="363">
                        <c:v>8.1119710000002669</c:v>
                      </c:pt>
                      <c:pt idx="364">
                        <c:v>8.1418160000002899</c:v>
                      </c:pt>
                      <c:pt idx="365">
                        <c:v>8.1884018000000651</c:v>
                      </c:pt>
                      <c:pt idx="366">
                        <c:v>8.2195125000002918</c:v>
                      </c:pt>
                      <c:pt idx="367">
                        <c:v>8.2505235000003267</c:v>
                      </c:pt>
                      <c:pt idx="368">
                        <c:v>8.2813416000003599</c:v>
                      </c:pt>
                      <c:pt idx="369">
                        <c:v>8.3130092000001241</c:v>
                      </c:pt>
                      <c:pt idx="370">
                        <c:v>8.3439578000002257</c:v>
                      </c:pt>
                      <c:pt idx="371">
                        <c:v>8.3752976000000672</c:v>
                      </c:pt>
                      <c:pt idx="372">
                        <c:v>8.4216149000003497</c:v>
                      </c:pt>
                      <c:pt idx="373">
                        <c:v>8.435135100000025</c:v>
                      </c:pt>
                      <c:pt idx="374">
                        <c:v>8.4680778000001737</c:v>
                      </c:pt>
                      <c:pt idx="375">
                        <c:v>8.4993426000000909</c:v>
                      </c:pt>
                      <c:pt idx="376">
                        <c:v>8.5301843000002009</c:v>
                      </c:pt>
                      <c:pt idx="377">
                        <c:v>8.5311843000002003</c:v>
                      </c:pt>
                      <c:pt idx="378">
                        <c:v>8.5615048000004208</c:v>
                      </c:pt>
                      <c:pt idx="379">
                        <c:v>8.6084997000002659</c:v>
                      </c:pt>
                      <c:pt idx="380">
                        <c:v>8.6396508000002541</c:v>
                      </c:pt>
                      <c:pt idx="381">
                        <c:v>8.6708717999999863</c:v>
                      </c:pt>
                      <c:pt idx="382">
                        <c:v>8.7026233000001412</c:v>
                      </c:pt>
                      <c:pt idx="383">
                        <c:v>8.7334623000001557</c:v>
                      </c:pt>
                      <c:pt idx="384">
                        <c:v>8.7646595000001071</c:v>
                      </c:pt>
                      <c:pt idx="385">
                        <c:v>8.8111308000002282</c:v>
                      </c:pt>
                      <c:pt idx="386">
                        <c:v>8.8430741000001944</c:v>
                      </c:pt>
                      <c:pt idx="387">
                        <c:v>8.8728994000002785</c:v>
                      </c:pt>
                      <c:pt idx="388">
                        <c:v>8.9049598000001424</c:v>
                      </c:pt>
                      <c:pt idx="389">
                        <c:v>8.920539700000063</c:v>
                      </c:pt>
                      <c:pt idx="390">
                        <c:v>8.9517083000000639</c:v>
                      </c:pt>
                      <c:pt idx="391">
                        <c:v>8.9822482000004129</c:v>
                      </c:pt>
                      <c:pt idx="392">
                        <c:v>9.0298377000003711</c:v>
                      </c:pt>
                      <c:pt idx="393">
                        <c:v>9.0611833000002662</c:v>
                      </c:pt>
                      <c:pt idx="394">
                        <c:v>9.0922832000001108</c:v>
                      </c:pt>
                      <c:pt idx="395">
                        <c:v>9.12239610000006</c:v>
                      </c:pt>
                      <c:pt idx="396">
                        <c:v>9.1532780000002276</c:v>
                      </c:pt>
                      <c:pt idx="397">
                        <c:v>9.1842184000001907</c:v>
                      </c:pt>
                      <c:pt idx="398">
                        <c:v>9.2300111000004108</c:v>
                      </c:pt>
                      <c:pt idx="399">
                        <c:v>9.2606885000000148</c:v>
                      </c:pt>
                      <c:pt idx="400">
                        <c:v>9.291738500000065</c:v>
                      </c:pt>
                      <c:pt idx="401">
                        <c:v>9.3234608000002481</c:v>
                      </c:pt>
                      <c:pt idx="402">
                        <c:v>9.3695388000001003</c:v>
                      </c:pt>
                      <c:pt idx="403">
                        <c:v>9.4001502000000983</c:v>
                      </c:pt>
                      <c:pt idx="404">
                        <c:v>9.4309679000002689</c:v>
                      </c:pt>
                      <c:pt idx="405">
                        <c:v>9.4623018000002048</c:v>
                      </c:pt>
                      <c:pt idx="406">
                        <c:v>9.4935661000004075</c:v>
                      </c:pt>
                      <c:pt idx="407">
                        <c:v>9.5246996000000763</c:v>
                      </c:pt>
                      <c:pt idx="408">
                        <c:v>9.5554276000002574</c:v>
                      </c:pt>
                      <c:pt idx="409">
                        <c:v>9.5555276000002571</c:v>
                      </c:pt>
                      <c:pt idx="410">
                        <c:v>9.5856540000004316</c:v>
                      </c:pt>
                      <c:pt idx="411">
                        <c:v>9.6167265000003681</c:v>
                      </c:pt>
                      <c:pt idx="412">
                        <c:v>9.6474853000004259</c:v>
                      </c:pt>
                      <c:pt idx="413">
                        <c:v>9.6789674999999988</c:v>
                      </c:pt>
                      <c:pt idx="414">
                        <c:v>9.7094308000000638</c:v>
                      </c:pt>
                      <c:pt idx="415">
                        <c:v>9.7403956000002836</c:v>
                      </c:pt>
                      <c:pt idx="416">
                        <c:v>9.7720160000003489</c:v>
                      </c:pt>
                      <c:pt idx="417">
                        <c:v>9.8176916000002166</c:v>
                      </c:pt>
                      <c:pt idx="418">
                        <c:v>9.8488786000002619</c:v>
                      </c:pt>
                      <c:pt idx="419">
                        <c:v>9.8793074000000161</c:v>
                      </c:pt>
                      <c:pt idx="420">
                        <c:v>9.9106115000004138</c:v>
                      </c:pt>
                      <c:pt idx="421">
                        <c:v>9.9409724000001916</c:v>
                      </c:pt>
                      <c:pt idx="422">
                        <c:v>9.9728406000003815</c:v>
                      </c:pt>
                      <c:pt idx="423">
                        <c:v>10.004080200000317</c:v>
                      </c:pt>
                      <c:pt idx="424">
                        <c:v>10.052269700000124</c:v>
                      </c:pt>
                      <c:pt idx="425">
                        <c:v>10.067612800000006</c:v>
                      </c:pt>
                      <c:pt idx="426">
                        <c:v>10.098507600000175</c:v>
                      </c:pt>
                      <c:pt idx="427">
                        <c:v>10.129110700000183</c:v>
                      </c:pt>
                      <c:pt idx="428">
                        <c:v>10.159869600000093</c:v>
                      </c:pt>
                      <c:pt idx="429">
                        <c:v>10.191697800000384</c:v>
                      </c:pt>
                      <c:pt idx="430">
                        <c:v>10.223350500000379</c:v>
                      </c:pt>
                      <c:pt idx="431">
                        <c:v>10.317478700000265</c:v>
                      </c:pt>
                      <c:pt idx="432">
                        <c:v>10.333174900000358</c:v>
                      </c:pt>
                      <c:pt idx="433">
                        <c:v>10.348560300000372</c:v>
                      </c:pt>
                      <c:pt idx="434">
                        <c:v>10.36367700000028</c:v>
                      </c:pt>
                      <c:pt idx="435">
                        <c:v>10.410301700000218</c:v>
                      </c:pt>
                      <c:pt idx="436">
                        <c:v>10.58332960000007</c:v>
                      </c:pt>
                      <c:pt idx="437">
                        <c:v>10.598769900000207</c:v>
                      </c:pt>
                      <c:pt idx="438">
                        <c:v>10.614560700000311</c:v>
                      </c:pt>
                      <c:pt idx="439">
                        <c:v>10.63024680000035</c:v>
                      </c:pt>
                      <c:pt idx="440">
                        <c:v>10.645605100000012</c:v>
                      </c:pt>
                      <c:pt idx="441">
                        <c:v>10.661888300000101</c:v>
                      </c:pt>
                      <c:pt idx="442">
                        <c:v>10.67790260000038</c:v>
                      </c:pt>
                      <c:pt idx="443">
                        <c:v>10.693193000000065</c:v>
                      </c:pt>
                      <c:pt idx="444">
                        <c:v>10.709016600000268</c:v>
                      </c:pt>
                      <c:pt idx="445">
                        <c:v>10.724044000000049</c:v>
                      </c:pt>
                      <c:pt idx="446">
                        <c:v>10.756220200000371</c:v>
                      </c:pt>
                      <c:pt idx="447">
                        <c:v>10.787308800000119</c:v>
                      </c:pt>
                      <c:pt idx="448">
                        <c:v>10.833230000000185</c:v>
                      </c:pt>
                      <c:pt idx="449">
                        <c:v>10.848908600000414</c:v>
                      </c:pt>
                      <c:pt idx="450">
                        <c:v>10.895104500000343</c:v>
                      </c:pt>
                      <c:pt idx="451">
                        <c:v>10.926145600000382</c:v>
                      </c:pt>
                      <c:pt idx="452">
                        <c:v>10.942143000000215</c:v>
                      </c:pt>
                      <c:pt idx="453">
                        <c:v>10.973500700000386</c:v>
                      </c:pt>
                      <c:pt idx="454">
                        <c:v>11.019185500000276</c:v>
                      </c:pt>
                      <c:pt idx="455">
                        <c:v>11.034989600000245</c:v>
                      </c:pt>
                      <c:pt idx="456">
                        <c:v>11.082045999999991</c:v>
                      </c:pt>
                      <c:pt idx="457">
                        <c:v>11.1128262000002</c:v>
                      </c:pt>
                      <c:pt idx="458">
                        <c:v>11.143854800000099</c:v>
                      </c:pt>
                      <c:pt idx="459">
                        <c:v>11.175350700000308</c:v>
                      </c:pt>
                      <c:pt idx="460">
                        <c:v>11.206693400000404</c:v>
                      </c:pt>
                      <c:pt idx="461">
                        <c:v>11.237335799999983</c:v>
                      </c:pt>
                      <c:pt idx="462">
                        <c:v>11.284025600000405</c:v>
                      </c:pt>
                      <c:pt idx="463">
                        <c:v>11.314848700000312</c:v>
                      </c:pt>
                      <c:pt idx="464">
                        <c:v>11.345894600000065</c:v>
                      </c:pt>
                      <c:pt idx="465">
                        <c:v>11.377582900000107</c:v>
                      </c:pt>
                      <c:pt idx="466">
                        <c:v>11.408712500000092</c:v>
                      </c:pt>
                      <c:pt idx="467">
                        <c:v>11.424737800000003</c:v>
                      </c:pt>
                      <c:pt idx="468">
                        <c:v>11.47156490000043</c:v>
                      </c:pt>
                      <c:pt idx="469">
                        <c:v>11.502535600000101</c:v>
                      </c:pt>
                      <c:pt idx="470">
                        <c:v>11.534924500000216</c:v>
                      </c:pt>
                      <c:pt idx="471">
                        <c:v>11.565958300000148</c:v>
                      </c:pt>
                      <c:pt idx="472">
                        <c:v>11.59783920000018</c:v>
                      </c:pt>
                      <c:pt idx="473">
                        <c:v>11.644704600000296</c:v>
                      </c:pt>
                      <c:pt idx="474">
                        <c:v>11.675825900000291</c:v>
                      </c:pt>
                      <c:pt idx="475">
                        <c:v>11.706475600000431</c:v>
                      </c:pt>
                      <c:pt idx="476">
                        <c:v>11.737749000000349</c:v>
                      </c:pt>
                      <c:pt idx="477">
                        <c:v>11.76921160000029</c:v>
                      </c:pt>
                      <c:pt idx="478">
                        <c:v>11.800858600000083</c:v>
                      </c:pt>
                      <c:pt idx="479">
                        <c:v>11.832110300000295</c:v>
                      </c:pt>
                      <c:pt idx="480">
                        <c:v>11.847406900000351</c:v>
                      </c:pt>
                      <c:pt idx="481">
                        <c:v>11.894228900000144</c:v>
                      </c:pt>
                      <c:pt idx="482">
                        <c:v>11.92492110000012</c:v>
                      </c:pt>
                      <c:pt idx="483">
                        <c:v>11.955142800000431</c:v>
                      </c:pt>
                      <c:pt idx="484">
                        <c:v>12.000833200000216</c:v>
                      </c:pt>
                      <c:pt idx="485">
                        <c:v>12.016915900000186</c:v>
                      </c:pt>
                      <c:pt idx="486">
                        <c:v>12.063823899999988</c:v>
                      </c:pt>
                      <c:pt idx="487">
                        <c:v>12.094814100000349</c:v>
                      </c:pt>
                      <c:pt idx="488">
                        <c:v>12.125114600000416</c:v>
                      </c:pt>
                      <c:pt idx="489">
                        <c:v>12.15568790000043</c:v>
                      </c:pt>
                      <c:pt idx="490">
                        <c:v>12.186626400000023</c:v>
                      </c:pt>
                      <c:pt idx="491">
                        <c:v>12.218306000000211</c:v>
                      </c:pt>
                      <c:pt idx="492">
                        <c:v>12.249259600000187</c:v>
                      </c:pt>
                      <c:pt idx="493">
                        <c:v>12.296085400000266</c:v>
                      </c:pt>
                      <c:pt idx="494">
                        <c:v>12.326275300000361</c:v>
                      </c:pt>
                      <c:pt idx="495">
                        <c:v>12.357014600000184</c:v>
                      </c:pt>
                      <c:pt idx="496">
                        <c:v>12.388153500000044</c:v>
                      </c:pt>
                      <c:pt idx="497">
                        <c:v>12.4197750000003</c:v>
                      </c:pt>
                      <c:pt idx="498">
                        <c:v>12.451095400000213</c:v>
                      </c:pt>
                      <c:pt idx="499">
                        <c:v>12.482295500000419</c:v>
                      </c:pt>
                      <c:pt idx="500">
                        <c:v>12.513406000000032</c:v>
                      </c:pt>
                      <c:pt idx="501">
                        <c:v>12.545510300000387</c:v>
                      </c:pt>
                      <c:pt idx="502">
                        <c:v>12.576301700000386</c:v>
                      </c:pt>
                      <c:pt idx="503">
                        <c:v>12.607888900000034</c:v>
                      </c:pt>
                      <c:pt idx="504">
                        <c:v>12.638797200000226</c:v>
                      </c:pt>
                      <c:pt idx="505">
                        <c:v>12.670864300000176</c:v>
                      </c:pt>
                      <c:pt idx="506">
                        <c:v>12.702406300000348</c:v>
                      </c:pt>
                      <c:pt idx="507">
                        <c:v>12.748906799999986</c:v>
                      </c:pt>
                      <c:pt idx="508">
                        <c:v>12.780055300000186</c:v>
                      </c:pt>
                      <c:pt idx="509">
                        <c:v>12.810586700000385</c:v>
                      </c:pt>
                      <c:pt idx="510">
                        <c:v>12.840667400000257</c:v>
                      </c:pt>
                      <c:pt idx="511">
                        <c:v>12.87273660000028</c:v>
                      </c:pt>
                      <c:pt idx="512">
                        <c:v>12.919059700000162</c:v>
                      </c:pt>
                      <c:pt idx="513">
                        <c:v>12.950166000000081</c:v>
                      </c:pt>
                      <c:pt idx="514">
                        <c:v>12.965575600000193</c:v>
                      </c:pt>
                      <c:pt idx="515">
                        <c:v>12.996916700000384</c:v>
                      </c:pt>
                      <c:pt idx="516">
                        <c:v>13.027586500000325</c:v>
                      </c:pt>
                      <c:pt idx="517">
                        <c:v>13.058944500000052</c:v>
                      </c:pt>
                      <c:pt idx="518">
                        <c:v>13.089599500000077</c:v>
                      </c:pt>
                      <c:pt idx="519">
                        <c:v>13.136956600000303</c:v>
                      </c:pt>
                      <c:pt idx="520">
                        <c:v>13.167147800000294</c:v>
                      </c:pt>
                      <c:pt idx="521">
                        <c:v>13.197788200000105</c:v>
                      </c:pt>
                      <c:pt idx="522">
                        <c:v>13.243707000000086</c:v>
                      </c:pt>
                      <c:pt idx="523">
                        <c:v>13.30562800000007</c:v>
                      </c:pt>
                      <c:pt idx="524">
                        <c:v>13.320852300000297</c:v>
                      </c:pt>
                      <c:pt idx="525">
                        <c:v>13.336251400000037</c:v>
                      </c:pt>
                      <c:pt idx="526">
                        <c:v>13.367295000000013</c:v>
                      </c:pt>
                      <c:pt idx="527">
                        <c:v>13.397435500000029</c:v>
                      </c:pt>
                      <c:pt idx="528">
                        <c:v>13.429170900000372</c:v>
                      </c:pt>
                      <c:pt idx="529">
                        <c:v>13.460952700000234</c:v>
                      </c:pt>
                      <c:pt idx="530">
                        <c:v>13.492381000000023</c:v>
                      </c:pt>
                      <c:pt idx="531">
                        <c:v>13.523081499999989</c:v>
                      </c:pt>
                      <c:pt idx="532">
                        <c:v>13.555078700000195</c:v>
                      </c:pt>
                      <c:pt idx="533">
                        <c:v>13.587006100000053</c:v>
                      </c:pt>
                      <c:pt idx="534">
                        <c:v>13.619073000000299</c:v>
                      </c:pt>
                      <c:pt idx="535">
                        <c:v>13.650212200000169</c:v>
                      </c:pt>
                      <c:pt idx="536">
                        <c:v>13.681003300000157</c:v>
                      </c:pt>
                      <c:pt idx="537">
                        <c:v>13.712306100000205</c:v>
                      </c:pt>
                      <c:pt idx="538">
                        <c:v>13.758961900000031</c:v>
                      </c:pt>
                      <c:pt idx="539">
                        <c:v>13.789472500000102</c:v>
                      </c:pt>
                      <c:pt idx="540">
                        <c:v>13.822084700000232</c:v>
                      </c:pt>
                      <c:pt idx="541">
                        <c:v>13.852689600000303</c:v>
                      </c:pt>
                      <c:pt idx="542">
                        <c:v>13.883946300000389</c:v>
                      </c:pt>
                      <c:pt idx="543">
                        <c:v>13.914673300000231</c:v>
                      </c:pt>
                      <c:pt idx="544">
                        <c:v>13.945167700000184</c:v>
                      </c:pt>
                      <c:pt idx="545">
                        <c:v>13.992031400000087</c:v>
                      </c:pt>
                      <c:pt idx="546">
                        <c:v>14.023872700000084</c:v>
                      </c:pt>
                      <c:pt idx="547">
                        <c:v>14.054001299999982</c:v>
                      </c:pt>
                      <c:pt idx="548">
                        <c:v>14.069429500000297</c:v>
                      </c:pt>
                      <c:pt idx="549">
                        <c:v>14.100932499999999</c:v>
                      </c:pt>
                      <c:pt idx="550">
                        <c:v>14.14680670000007</c:v>
                      </c:pt>
                      <c:pt idx="551">
                        <c:v>14.17827780000016</c:v>
                      </c:pt>
                      <c:pt idx="552">
                        <c:v>14.209291300000132</c:v>
                      </c:pt>
                      <c:pt idx="553">
                        <c:v>14.240556100000049</c:v>
                      </c:pt>
                      <c:pt idx="554">
                        <c:v>14.271950000000288</c:v>
                      </c:pt>
                      <c:pt idx="555">
                        <c:v>14.303397800000312</c:v>
                      </c:pt>
                      <c:pt idx="556">
                        <c:v>14.333667700000206</c:v>
                      </c:pt>
                      <c:pt idx="557">
                        <c:v>14.380823100000271</c:v>
                      </c:pt>
                      <c:pt idx="558">
                        <c:v>14.411975400000301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'Maju 0.1'!$L$7:$L$565</c15:sqref>
                        </c15:formulaRef>
                      </c:ext>
                    </c:extLst>
                    <c:numCache>
                      <c:formatCode>General</c:formatCode>
                      <c:ptCount val="55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23.298999999999999</c:v>
                      </c:pt>
                      <c:pt idx="172">
                        <c:v>23.561</c:v>
                      </c:pt>
                      <c:pt idx="173">
                        <c:v>23.823</c:v>
                      </c:pt>
                      <c:pt idx="174">
                        <c:v>23.823</c:v>
                      </c:pt>
                      <c:pt idx="175">
                        <c:v>23.692</c:v>
                      </c:pt>
                      <c:pt idx="176">
                        <c:v>23.298999999999999</c:v>
                      </c:pt>
                      <c:pt idx="177">
                        <c:v>22.774999999999999</c:v>
                      </c:pt>
                      <c:pt idx="178">
                        <c:v>22.251000000000001</c:v>
                      </c:pt>
                      <c:pt idx="179">
                        <c:v>21.465</c:v>
                      </c:pt>
                      <c:pt idx="180">
                        <c:v>20.678999999999998</c:v>
                      </c:pt>
                      <c:pt idx="181">
                        <c:v>19.762</c:v>
                      </c:pt>
                      <c:pt idx="182">
                        <c:v>18.975999999999999</c:v>
                      </c:pt>
                      <c:pt idx="183">
                        <c:v>17.928000000000001</c:v>
                      </c:pt>
                      <c:pt idx="184">
                        <c:v>16.748999999999999</c:v>
                      </c:pt>
                      <c:pt idx="185">
                        <c:v>15.701000000000001</c:v>
                      </c:pt>
                      <c:pt idx="186">
                        <c:v>14.391</c:v>
                      </c:pt>
                      <c:pt idx="187">
                        <c:v>13.212</c:v>
                      </c:pt>
                      <c:pt idx="188">
                        <c:v>12.164</c:v>
                      </c:pt>
                      <c:pt idx="189">
                        <c:v>11.247</c:v>
                      </c:pt>
                      <c:pt idx="190">
                        <c:v>27.954999999999998</c:v>
                      </c:pt>
                      <c:pt idx="191">
                        <c:v>27.3</c:v>
                      </c:pt>
                      <c:pt idx="192">
                        <c:v>31.477</c:v>
                      </c:pt>
                      <c:pt idx="193">
                        <c:v>31.215</c:v>
                      </c:pt>
                      <c:pt idx="194">
                        <c:v>31.608000000000001</c:v>
                      </c:pt>
                      <c:pt idx="195">
                        <c:v>22.003640000000001</c:v>
                      </c:pt>
                      <c:pt idx="196">
                        <c:v>22.362200000000001</c:v>
                      </c:pt>
                      <c:pt idx="197">
                        <c:v>22.5484399999999</c:v>
                      </c:pt>
                      <c:pt idx="198">
                        <c:v>22.045399999999901</c:v>
                      </c:pt>
                      <c:pt idx="199">
                        <c:v>21.558079999999901</c:v>
                      </c:pt>
                      <c:pt idx="200">
                        <c:v>21.0969599999999</c:v>
                      </c:pt>
                      <c:pt idx="201">
                        <c:v>20.6777599999999</c:v>
                      </c:pt>
                      <c:pt idx="202">
                        <c:v>20.300479999999901</c:v>
                      </c:pt>
                      <c:pt idx="203">
                        <c:v>19.954639999999898</c:v>
                      </c:pt>
                      <c:pt idx="204">
                        <c:v>19.640239999999999</c:v>
                      </c:pt>
                      <c:pt idx="205">
                        <c:v>19.346800000000002</c:v>
                      </c:pt>
                      <c:pt idx="206">
                        <c:v>19.084800000000001</c:v>
                      </c:pt>
                      <c:pt idx="207">
                        <c:v>18.833279999999998</c:v>
                      </c:pt>
                      <c:pt idx="208">
                        <c:v>18.602719999999898</c:v>
                      </c:pt>
                      <c:pt idx="209">
                        <c:v>18.382639999999999</c:v>
                      </c:pt>
                      <c:pt idx="210">
                        <c:v>19.03464</c:v>
                      </c:pt>
                      <c:pt idx="211">
                        <c:v>19.6814</c:v>
                      </c:pt>
                      <c:pt idx="212">
                        <c:v>20.312439999999999</c:v>
                      </c:pt>
                      <c:pt idx="213">
                        <c:v>20.922519999999999</c:v>
                      </c:pt>
                      <c:pt idx="214">
                        <c:v>21.958159999999999</c:v>
                      </c:pt>
                      <c:pt idx="215">
                        <c:v>22.709119999999999</c:v>
                      </c:pt>
                      <c:pt idx="216">
                        <c:v>23.439119999999999</c:v>
                      </c:pt>
                      <c:pt idx="217">
                        <c:v>23.965359999999901</c:v>
                      </c:pt>
                      <c:pt idx="218">
                        <c:v>24.4706399999999</c:v>
                      </c:pt>
                      <c:pt idx="219">
                        <c:v>24.928759999999901</c:v>
                      </c:pt>
                      <c:pt idx="220">
                        <c:v>25.350199999999901</c:v>
                      </c:pt>
                      <c:pt idx="221">
                        <c:v>25.729719999999901</c:v>
                      </c:pt>
                      <c:pt idx="222">
                        <c:v>26.244879999999998</c:v>
                      </c:pt>
                      <c:pt idx="223">
                        <c:v>27.41788</c:v>
                      </c:pt>
                      <c:pt idx="224">
                        <c:v>28.548959999999902</c:v>
                      </c:pt>
                      <c:pt idx="225">
                        <c:v>29.6276399999999</c:v>
                      </c:pt>
                      <c:pt idx="226">
                        <c:v>30.648679999999999</c:v>
                      </c:pt>
                      <c:pt idx="227">
                        <c:v>31.617319999999999</c:v>
                      </c:pt>
                      <c:pt idx="228">
                        <c:v>32.549279999999897</c:v>
                      </c:pt>
                      <c:pt idx="229">
                        <c:v>33.449800000000003</c:v>
                      </c:pt>
                      <c:pt idx="230">
                        <c:v>34.329360000000001</c:v>
                      </c:pt>
                      <c:pt idx="231">
                        <c:v>35.182719999999897</c:v>
                      </c:pt>
                      <c:pt idx="232">
                        <c:v>36.030839999999998</c:v>
                      </c:pt>
                      <c:pt idx="233">
                        <c:v>36.878959999999999</c:v>
                      </c:pt>
                      <c:pt idx="234">
                        <c:v>37.737560000000002</c:v>
                      </c:pt>
                      <c:pt idx="235">
                        <c:v>37.739800000000002</c:v>
                      </c:pt>
                      <c:pt idx="236">
                        <c:v>37.768239999999999</c:v>
                      </c:pt>
                      <c:pt idx="237">
                        <c:v>38.533119999999997</c:v>
                      </c:pt>
                      <c:pt idx="238">
                        <c:v>39.512239999999998</c:v>
                      </c:pt>
                      <c:pt idx="239">
                        <c:v>40.076279999999997</c:v>
                      </c:pt>
                      <c:pt idx="240">
                        <c:v>40.240960000000001</c:v>
                      </c:pt>
                      <c:pt idx="241">
                        <c:v>40.442320000000002</c:v>
                      </c:pt>
                      <c:pt idx="242">
                        <c:v>40.67512</c:v>
                      </c:pt>
                      <c:pt idx="243">
                        <c:v>40.949840000000002</c:v>
                      </c:pt>
                      <c:pt idx="244">
                        <c:v>41.276960000000003</c:v>
                      </c:pt>
                      <c:pt idx="245">
                        <c:v>41.661719999999903</c:v>
                      </c:pt>
                      <c:pt idx="246">
                        <c:v>42.0884</c:v>
                      </c:pt>
                      <c:pt idx="247">
                        <c:v>42.562240000000003</c:v>
                      </c:pt>
                      <c:pt idx="248">
                        <c:v>43.067520000000002</c:v>
                      </c:pt>
                      <c:pt idx="249">
                        <c:v>43.609479999999998</c:v>
                      </c:pt>
                      <c:pt idx="250">
                        <c:v>43.767799999999902</c:v>
                      </c:pt>
                      <c:pt idx="252">
                        <c:v>43.547719999999998</c:v>
                      </c:pt>
                      <c:pt idx="253">
                        <c:v>43.364319999999999</c:v>
                      </c:pt>
                      <c:pt idx="254">
                        <c:v>43.62744</c:v>
                      </c:pt>
                      <c:pt idx="255">
                        <c:v>44.33184</c:v>
                      </c:pt>
                      <c:pt idx="256">
                        <c:v>45.046720000000001</c:v>
                      </c:pt>
                      <c:pt idx="257">
                        <c:v>45.761600000000001</c:v>
                      </c:pt>
                      <c:pt idx="258">
                        <c:v>46.476479999999903</c:v>
                      </c:pt>
                      <c:pt idx="259">
                        <c:v>47.180879999999902</c:v>
                      </c:pt>
                      <c:pt idx="260">
                        <c:v>47.885280000000002</c:v>
                      </c:pt>
                      <c:pt idx="261">
                        <c:v>48.600159999999903</c:v>
                      </c:pt>
                      <c:pt idx="262">
                        <c:v>49.3412399999999</c:v>
                      </c:pt>
                      <c:pt idx="263">
                        <c:v>49.408760000000001</c:v>
                      </c:pt>
                      <c:pt idx="264">
                        <c:v>49.3353999999999</c:v>
                      </c:pt>
                      <c:pt idx="265">
                        <c:v>49.303959999999897</c:v>
                      </c:pt>
                      <c:pt idx="266">
                        <c:v>49.303959999999996</c:v>
                      </c:pt>
                      <c:pt idx="267">
                        <c:v>49.324919999999899</c:v>
                      </c:pt>
                      <c:pt idx="268">
                        <c:v>49.366839999999897</c:v>
                      </c:pt>
                      <c:pt idx="269">
                        <c:v>49.419240000000002</c:v>
                      </c:pt>
                      <c:pt idx="270">
                        <c:v>49.476880000000001</c:v>
                      </c:pt>
                      <c:pt idx="271">
                        <c:v>49.539759999999902</c:v>
                      </c:pt>
                      <c:pt idx="272">
                        <c:v>49.607880000000002</c:v>
                      </c:pt>
                      <c:pt idx="273">
                        <c:v>49.27664</c:v>
                      </c:pt>
                      <c:pt idx="274">
                        <c:v>48.551279999999899</c:v>
                      </c:pt>
                      <c:pt idx="275">
                        <c:v>47.836399999999998</c:v>
                      </c:pt>
                      <c:pt idx="276">
                        <c:v>47.552320000000002</c:v>
                      </c:pt>
                      <c:pt idx="277">
                        <c:v>47.678080000000001</c:v>
                      </c:pt>
                      <c:pt idx="278">
                        <c:v>47.7986</c:v>
                      </c:pt>
                      <c:pt idx="279">
                        <c:v>47.483080000000001</c:v>
                      </c:pt>
                      <c:pt idx="280">
                        <c:v>46.752479999999998</c:v>
                      </c:pt>
                      <c:pt idx="281">
                        <c:v>46.000919999999901</c:v>
                      </c:pt>
                      <c:pt idx="282">
                        <c:v>45.907200000000003</c:v>
                      </c:pt>
                      <c:pt idx="283">
                        <c:v>45.964839999999903</c:v>
                      </c:pt>
                      <c:pt idx="284">
                        <c:v>46.017240000000001</c:v>
                      </c:pt>
                      <c:pt idx="285">
                        <c:v>46.048679999999997</c:v>
                      </c:pt>
                      <c:pt idx="286">
                        <c:v>46.048679999999997</c:v>
                      </c:pt>
                      <c:pt idx="287">
                        <c:v>46.00676</c:v>
                      </c:pt>
                      <c:pt idx="288">
                        <c:v>45.755839999999999</c:v>
                      </c:pt>
                      <c:pt idx="289">
                        <c:v>45.609119999999898</c:v>
                      </c:pt>
                      <c:pt idx="290">
                        <c:v>45.394280000000002</c:v>
                      </c:pt>
                      <c:pt idx="291">
                        <c:v>45.11656</c:v>
                      </c:pt>
                      <c:pt idx="292">
                        <c:v>45.590400000000002</c:v>
                      </c:pt>
                      <c:pt idx="293">
                        <c:v>45.990879999999997</c:v>
                      </c:pt>
                      <c:pt idx="294">
                        <c:v>46.307519999999997</c:v>
                      </c:pt>
                      <c:pt idx="295">
                        <c:v>46.540320000000001</c:v>
                      </c:pt>
                      <c:pt idx="296">
                        <c:v>46.684039999999897</c:v>
                      </c:pt>
                      <c:pt idx="297">
                        <c:v>46.738680000000002</c:v>
                      </c:pt>
                      <c:pt idx="298">
                        <c:v>47.907559999999997</c:v>
                      </c:pt>
                      <c:pt idx="299">
                        <c:v>49.391959999999997</c:v>
                      </c:pt>
                      <c:pt idx="300">
                        <c:v>50.792520000000003</c:v>
                      </c:pt>
                      <c:pt idx="301">
                        <c:v>52.10924</c:v>
                      </c:pt>
                      <c:pt idx="302">
                        <c:v>53.357839999999896</c:v>
                      </c:pt>
                      <c:pt idx="303">
                        <c:v>54.527839999999998</c:v>
                      </c:pt>
                      <c:pt idx="304">
                        <c:v>55.640199999999901</c:v>
                      </c:pt>
                      <c:pt idx="305">
                        <c:v>57.477919999999997</c:v>
                      </c:pt>
                      <c:pt idx="306">
                        <c:v>59.278959999999998</c:v>
                      </c:pt>
                      <c:pt idx="307">
                        <c:v>60.369759999999999</c:v>
                      </c:pt>
                      <c:pt idx="308">
                        <c:v>61.262039999999999</c:v>
                      </c:pt>
                      <c:pt idx="309">
                        <c:v>62.516999999999904</c:v>
                      </c:pt>
                      <c:pt idx="310">
                        <c:v>64.145119999999906</c:v>
                      </c:pt>
                      <c:pt idx="311">
                        <c:v>65.736559999999898</c:v>
                      </c:pt>
                      <c:pt idx="312">
                        <c:v>67.291319999999899</c:v>
                      </c:pt>
                      <c:pt idx="313">
                        <c:v>68.960759999999993</c:v>
                      </c:pt>
                      <c:pt idx="314">
                        <c:v>70.410719999999998</c:v>
                      </c:pt>
                      <c:pt idx="315">
                        <c:v>72.61224</c:v>
                      </c:pt>
                      <c:pt idx="316">
                        <c:v>74.740399999999994</c:v>
                      </c:pt>
                      <c:pt idx="317">
                        <c:v>75.980760000000004</c:v>
                      </c:pt>
                      <c:pt idx="318">
                        <c:v>77.967439999999897</c:v>
                      </c:pt>
                      <c:pt idx="319">
                        <c:v>79.901719999999997</c:v>
                      </c:pt>
                      <c:pt idx="320">
                        <c:v>81.783599999999893</c:v>
                      </c:pt>
                      <c:pt idx="321">
                        <c:v>83.618319999999898</c:v>
                      </c:pt>
                      <c:pt idx="322">
                        <c:v>86.21508</c:v>
                      </c:pt>
                      <c:pt idx="323">
                        <c:v>87.992159999999899</c:v>
                      </c:pt>
                      <c:pt idx="324">
                        <c:v>89.743039999999993</c:v>
                      </c:pt>
                      <c:pt idx="325">
                        <c:v>91.472959999999901</c:v>
                      </c:pt>
                      <c:pt idx="326">
                        <c:v>93.985879999999995</c:v>
                      </c:pt>
                      <c:pt idx="327">
                        <c:v>96.4725999999999</c:v>
                      </c:pt>
                      <c:pt idx="328">
                        <c:v>98.943599999999904</c:v>
                      </c:pt>
                      <c:pt idx="329">
                        <c:v>101.3884</c:v>
                      </c:pt>
                      <c:pt idx="330">
                        <c:v>103.01352</c:v>
                      </c:pt>
                      <c:pt idx="331">
                        <c:v>105.42164</c:v>
                      </c:pt>
                      <c:pt idx="332">
                        <c:v>107.81404000000001</c:v>
                      </c:pt>
                      <c:pt idx="333">
                        <c:v>110.175</c:v>
                      </c:pt>
                      <c:pt idx="334">
                        <c:v>112.648119999999</c:v>
                      </c:pt>
                      <c:pt idx="335">
                        <c:v>114.967159999999</c:v>
                      </c:pt>
                      <c:pt idx="336">
                        <c:v>117.146645714285</c:v>
                      </c:pt>
                      <c:pt idx="337">
                        <c:v>119.418525714285</c:v>
                      </c:pt>
                      <c:pt idx="338">
                        <c:v>121.674685714285</c:v>
                      </c:pt>
                      <c:pt idx="339">
                        <c:v>124.734805714285</c:v>
                      </c:pt>
                      <c:pt idx="340">
                        <c:v>126.93856571428501</c:v>
                      </c:pt>
                      <c:pt idx="341">
                        <c:v>129.21044571428499</c:v>
                      </c:pt>
                      <c:pt idx="342">
                        <c:v>131.49804571428501</c:v>
                      </c:pt>
                      <c:pt idx="343">
                        <c:v>133.80660571428501</c:v>
                      </c:pt>
                      <c:pt idx="344">
                        <c:v>135.700085714285</c:v>
                      </c:pt>
                      <c:pt idx="345">
                        <c:v>137.94576571428499</c:v>
                      </c:pt>
                      <c:pt idx="346">
                        <c:v>141.005885714285</c:v>
                      </c:pt>
                      <c:pt idx="347">
                        <c:v>143.25680571428501</c:v>
                      </c:pt>
                      <c:pt idx="348">
                        <c:v>145.492005714285</c:v>
                      </c:pt>
                      <c:pt idx="349">
                        <c:v>148.34312571428501</c:v>
                      </c:pt>
                      <c:pt idx="350">
                        <c:v>151.335125714285</c:v>
                      </c:pt>
                      <c:pt idx="351">
                        <c:v>153.669285714285</c:v>
                      </c:pt>
                      <c:pt idx="352">
                        <c:v>155.82064571428501</c:v>
                      </c:pt>
                      <c:pt idx="353">
                        <c:v>157.79444571428499</c:v>
                      </c:pt>
                      <c:pt idx="354">
                        <c:v>160.702605714285</c:v>
                      </c:pt>
                      <c:pt idx="355">
                        <c:v>163.59504571428499</c:v>
                      </c:pt>
                      <c:pt idx="356">
                        <c:v>166.061925714285</c:v>
                      </c:pt>
                      <c:pt idx="357">
                        <c:v>168.93340571428499</c:v>
                      </c:pt>
                      <c:pt idx="358">
                        <c:v>171.81536571428501</c:v>
                      </c:pt>
                      <c:pt idx="359">
                        <c:v>174.15960571428499</c:v>
                      </c:pt>
                      <c:pt idx="360">
                        <c:v>176.237605714285</c:v>
                      </c:pt>
                      <c:pt idx="361">
                        <c:v>178.44467999999901</c:v>
                      </c:pt>
                      <c:pt idx="362">
                        <c:v>181.34759999999901</c:v>
                      </c:pt>
                      <c:pt idx="363">
                        <c:v>184.271479999999</c:v>
                      </c:pt>
                      <c:pt idx="364">
                        <c:v>186.407119999999</c:v>
                      </c:pt>
                      <c:pt idx="365">
                        <c:v>189.550479999999</c:v>
                      </c:pt>
                      <c:pt idx="366">
                        <c:v>192.75631999999899</c:v>
                      </c:pt>
                      <c:pt idx="367">
                        <c:v>195.70115999999999</c:v>
                      </c:pt>
                      <c:pt idx="368">
                        <c:v>197.95015428571401</c:v>
                      </c:pt>
                      <c:pt idx="369">
                        <c:v>200.50087428571399</c:v>
                      </c:pt>
                      <c:pt idx="370">
                        <c:v>203.498114285714</c:v>
                      </c:pt>
                      <c:pt idx="371">
                        <c:v>205.70187428571401</c:v>
                      </c:pt>
                      <c:pt idx="372">
                        <c:v>207.91087428571399</c:v>
                      </c:pt>
                      <c:pt idx="373">
                        <c:v>210.647114285714</c:v>
                      </c:pt>
                      <c:pt idx="374">
                        <c:v>212.92032</c:v>
                      </c:pt>
                      <c:pt idx="375">
                        <c:v>215.31736000000001</c:v>
                      </c:pt>
                      <c:pt idx="377">
                        <c:v>217.39595999999901</c:v>
                      </c:pt>
                      <c:pt idx="378">
                        <c:v>219.64687999999899</c:v>
                      </c:pt>
                      <c:pt idx="379">
                        <c:v>222.863599999999</c:v>
                      </c:pt>
                      <c:pt idx="380">
                        <c:v>225.14071999999899</c:v>
                      </c:pt>
                      <c:pt idx="381">
                        <c:v>227.43355999999901</c:v>
                      </c:pt>
                      <c:pt idx="382">
                        <c:v>229.98487999999901</c:v>
                      </c:pt>
                      <c:pt idx="383">
                        <c:v>232.28295999999901</c:v>
                      </c:pt>
                      <c:pt idx="384">
                        <c:v>234.57579999999899</c:v>
                      </c:pt>
                      <c:pt idx="385">
                        <c:v>236.86339999999899</c:v>
                      </c:pt>
                      <c:pt idx="386">
                        <c:v>239.25387428571401</c:v>
                      </c:pt>
                      <c:pt idx="387">
                        <c:v>242.32447428571399</c:v>
                      </c:pt>
                      <c:pt idx="388">
                        <c:v>244.59111428571401</c:v>
                      </c:pt>
                      <c:pt idx="389">
                        <c:v>246.85251428571399</c:v>
                      </c:pt>
                      <c:pt idx="390">
                        <c:v>249.09819428571399</c:v>
                      </c:pt>
                      <c:pt idx="391">
                        <c:v>251.05163428571399</c:v>
                      </c:pt>
                      <c:pt idx="392">
                        <c:v>253.219114285714</c:v>
                      </c:pt>
                      <c:pt idx="393">
                        <c:v>255.48575428571399</c:v>
                      </c:pt>
                      <c:pt idx="394">
                        <c:v>257.62331999999998</c:v>
                      </c:pt>
                      <c:pt idx="395">
                        <c:v>260.69391999999903</c:v>
                      </c:pt>
                      <c:pt idx="396">
                        <c:v>262.95007999999899</c:v>
                      </c:pt>
                      <c:pt idx="397">
                        <c:v>265.15384</c:v>
                      </c:pt>
                      <c:pt idx="398">
                        <c:v>268.13011999999998</c:v>
                      </c:pt>
                      <c:pt idx="399">
                        <c:v>270.54247999999899</c:v>
                      </c:pt>
                      <c:pt idx="400">
                        <c:v>272.76527428571399</c:v>
                      </c:pt>
                      <c:pt idx="401">
                        <c:v>275.08079428571398</c:v>
                      </c:pt>
                      <c:pt idx="402">
                        <c:v>277.931314285714</c:v>
                      </c:pt>
                      <c:pt idx="403">
                        <c:v>280.76611428571402</c:v>
                      </c:pt>
                      <c:pt idx="404">
                        <c:v>283.20679428571401</c:v>
                      </c:pt>
                      <c:pt idx="405">
                        <c:v>286.067794285714</c:v>
                      </c:pt>
                      <c:pt idx="406">
                        <c:v>289.07358857142799</c:v>
                      </c:pt>
                      <c:pt idx="407">
                        <c:v>291.47394285714199</c:v>
                      </c:pt>
                      <c:pt idx="409">
                        <c:v>293.759617142857</c:v>
                      </c:pt>
                      <c:pt idx="410">
                        <c:v>296.092451428571</c:v>
                      </c:pt>
                      <c:pt idx="411">
                        <c:v>298.47244571428502</c:v>
                      </c:pt>
                      <c:pt idx="412">
                        <c:v>301.48209142857098</c:v>
                      </c:pt>
                      <c:pt idx="413">
                        <c:v>303.87973142857101</c:v>
                      </c:pt>
                      <c:pt idx="414">
                        <c:v>306.30357142857099</c:v>
                      </c:pt>
                      <c:pt idx="415">
                        <c:v>308.80077142857101</c:v>
                      </c:pt>
                      <c:pt idx="416">
                        <c:v>311.32941142857101</c:v>
                      </c:pt>
                      <c:pt idx="417">
                        <c:v>313.27357142857102</c:v>
                      </c:pt>
                      <c:pt idx="418">
                        <c:v>314.92025142857102</c:v>
                      </c:pt>
                      <c:pt idx="419">
                        <c:v>316.80213142857099</c:v>
                      </c:pt>
                      <c:pt idx="420">
                        <c:v>319.15149142857098</c:v>
                      </c:pt>
                      <c:pt idx="421">
                        <c:v>320.99205142857102</c:v>
                      </c:pt>
                      <c:pt idx="422">
                        <c:v>322.93741142857101</c:v>
                      </c:pt>
                      <c:pt idx="423">
                        <c:v>324.97185142857097</c:v>
                      </c:pt>
                      <c:pt idx="424">
                        <c:v>326.32285142857103</c:v>
                      </c:pt>
                      <c:pt idx="425">
                        <c:v>327.94573142857098</c:v>
                      </c:pt>
                      <c:pt idx="426">
                        <c:v>329.66817142857099</c:v>
                      </c:pt>
                      <c:pt idx="427">
                        <c:v>331.096051428571</c:v>
                      </c:pt>
                      <c:pt idx="428">
                        <c:v>332.22937142857103</c:v>
                      </c:pt>
                      <c:pt idx="429">
                        <c:v>333.46225142857099</c:v>
                      </c:pt>
                      <c:pt idx="430">
                        <c:v>334.37437142857101</c:v>
                      </c:pt>
                      <c:pt idx="431">
                        <c:v>335.417491428571</c:v>
                      </c:pt>
                      <c:pt idx="432">
                        <c:v>336.40489714285701</c:v>
                      </c:pt>
                      <c:pt idx="433">
                        <c:v>337.44470285714198</c:v>
                      </c:pt>
                      <c:pt idx="434">
                        <c:v>338.98342857142802</c:v>
                      </c:pt>
                      <c:pt idx="435">
                        <c:v>340.600754285714</c:v>
                      </c:pt>
                      <c:pt idx="436">
                        <c:v>342.19188000000003</c:v>
                      </c:pt>
                      <c:pt idx="437">
                        <c:v>343.13955999999899</c:v>
                      </c:pt>
                      <c:pt idx="438">
                        <c:v>344.11344000000003</c:v>
                      </c:pt>
                      <c:pt idx="439">
                        <c:v>345.16068000000001</c:v>
                      </c:pt>
                      <c:pt idx="440">
                        <c:v>346.234119999999</c:v>
                      </c:pt>
                      <c:pt idx="441">
                        <c:v>346.234119999999</c:v>
                      </c:pt>
                      <c:pt idx="442">
                        <c:v>346.234119999999</c:v>
                      </c:pt>
                      <c:pt idx="443">
                        <c:v>346.234119999999</c:v>
                      </c:pt>
                      <c:pt idx="444">
                        <c:v>346.234119999999</c:v>
                      </c:pt>
                      <c:pt idx="445">
                        <c:v>346.234119999999</c:v>
                      </c:pt>
                      <c:pt idx="446">
                        <c:v>346.234119999999</c:v>
                      </c:pt>
                      <c:pt idx="447">
                        <c:v>346.234119999999</c:v>
                      </c:pt>
                      <c:pt idx="448">
                        <c:v>346.234119999999</c:v>
                      </c:pt>
                      <c:pt idx="449">
                        <c:v>346.234119999999</c:v>
                      </c:pt>
                      <c:pt idx="450">
                        <c:v>346.234119999999</c:v>
                      </c:pt>
                      <c:pt idx="451">
                        <c:v>346.234119999999</c:v>
                      </c:pt>
                      <c:pt idx="452">
                        <c:v>346.234119999999</c:v>
                      </c:pt>
                      <c:pt idx="453">
                        <c:v>346.234119999999</c:v>
                      </c:pt>
                      <c:pt idx="454">
                        <c:v>346.234119999999</c:v>
                      </c:pt>
                      <c:pt idx="455">
                        <c:v>346.234119999999</c:v>
                      </c:pt>
                      <c:pt idx="456">
                        <c:v>346.234119999999</c:v>
                      </c:pt>
                      <c:pt idx="457">
                        <c:v>346.234119999999</c:v>
                      </c:pt>
                      <c:pt idx="458">
                        <c:v>346.234119999999</c:v>
                      </c:pt>
                      <c:pt idx="459">
                        <c:v>346.234119999999</c:v>
                      </c:pt>
                      <c:pt idx="460">
                        <c:v>346.234119999999</c:v>
                      </c:pt>
                      <c:pt idx="461">
                        <c:v>346.234119999999</c:v>
                      </c:pt>
                      <c:pt idx="462">
                        <c:v>346.234119999999</c:v>
                      </c:pt>
                      <c:pt idx="463">
                        <c:v>346.234119999999</c:v>
                      </c:pt>
                      <c:pt idx="464">
                        <c:v>346.234119999999</c:v>
                      </c:pt>
                      <c:pt idx="465">
                        <c:v>346.234119999999</c:v>
                      </c:pt>
                      <c:pt idx="466">
                        <c:v>346.234119999999</c:v>
                      </c:pt>
                      <c:pt idx="467">
                        <c:v>346.234119999999</c:v>
                      </c:pt>
                      <c:pt idx="468">
                        <c:v>346.234119999999</c:v>
                      </c:pt>
                      <c:pt idx="469">
                        <c:v>346.234119999999</c:v>
                      </c:pt>
                      <c:pt idx="470">
                        <c:v>346.234119999999</c:v>
                      </c:pt>
                      <c:pt idx="471">
                        <c:v>346.234119999999</c:v>
                      </c:pt>
                      <c:pt idx="472">
                        <c:v>346.234119999999</c:v>
                      </c:pt>
                      <c:pt idx="473">
                        <c:v>346.234119999999</c:v>
                      </c:pt>
                      <c:pt idx="474">
                        <c:v>346.234119999999</c:v>
                      </c:pt>
                      <c:pt idx="475">
                        <c:v>346.234119999999</c:v>
                      </c:pt>
                      <c:pt idx="476">
                        <c:v>346.234119999999</c:v>
                      </c:pt>
                      <c:pt idx="477">
                        <c:v>346.234119999999</c:v>
                      </c:pt>
                      <c:pt idx="478">
                        <c:v>346.234119999999</c:v>
                      </c:pt>
                      <c:pt idx="479">
                        <c:v>346.234119999999</c:v>
                      </c:pt>
                      <c:pt idx="480">
                        <c:v>346.234119999999</c:v>
                      </c:pt>
                      <c:pt idx="481">
                        <c:v>346.234119999999</c:v>
                      </c:pt>
                      <c:pt idx="482">
                        <c:v>346.234119999999</c:v>
                      </c:pt>
                      <c:pt idx="483">
                        <c:v>346.234119999999</c:v>
                      </c:pt>
                      <c:pt idx="484">
                        <c:v>346.234119999999</c:v>
                      </c:pt>
                      <c:pt idx="485">
                        <c:v>346.234119999999</c:v>
                      </c:pt>
                      <c:pt idx="486">
                        <c:v>346.234119999999</c:v>
                      </c:pt>
                      <c:pt idx="487">
                        <c:v>346.234119999999</c:v>
                      </c:pt>
                      <c:pt idx="488">
                        <c:v>346.234119999999</c:v>
                      </c:pt>
                      <c:pt idx="489">
                        <c:v>346.234119999999</c:v>
                      </c:pt>
                      <c:pt idx="490">
                        <c:v>346.234119999999</c:v>
                      </c:pt>
                      <c:pt idx="491">
                        <c:v>346.234119999999</c:v>
                      </c:pt>
                      <c:pt idx="492">
                        <c:v>346.234119999999</c:v>
                      </c:pt>
                      <c:pt idx="493">
                        <c:v>346.234119999999</c:v>
                      </c:pt>
                      <c:pt idx="494">
                        <c:v>346.234119999999</c:v>
                      </c:pt>
                      <c:pt idx="495">
                        <c:v>346.234119999999</c:v>
                      </c:pt>
                      <c:pt idx="496">
                        <c:v>346.234119999999</c:v>
                      </c:pt>
                      <c:pt idx="497">
                        <c:v>346.234119999999</c:v>
                      </c:pt>
                      <c:pt idx="498">
                        <c:v>346.234119999999</c:v>
                      </c:pt>
                      <c:pt idx="499">
                        <c:v>346.234119999999</c:v>
                      </c:pt>
                      <c:pt idx="500">
                        <c:v>346.234119999999</c:v>
                      </c:pt>
                      <c:pt idx="501">
                        <c:v>346.234119999999</c:v>
                      </c:pt>
                      <c:pt idx="502">
                        <c:v>346.234119999999</c:v>
                      </c:pt>
                      <c:pt idx="503">
                        <c:v>346.234119999999</c:v>
                      </c:pt>
                      <c:pt idx="504">
                        <c:v>346.234119999999</c:v>
                      </c:pt>
                      <c:pt idx="505">
                        <c:v>346.234119999999</c:v>
                      </c:pt>
                      <c:pt idx="506">
                        <c:v>346.234119999999</c:v>
                      </c:pt>
                      <c:pt idx="507">
                        <c:v>346.234119999999</c:v>
                      </c:pt>
                      <c:pt idx="508">
                        <c:v>346.234119999999</c:v>
                      </c:pt>
                      <c:pt idx="509">
                        <c:v>346.234119999999</c:v>
                      </c:pt>
                      <c:pt idx="510">
                        <c:v>346.234119999999</c:v>
                      </c:pt>
                      <c:pt idx="511">
                        <c:v>346.234119999999</c:v>
                      </c:pt>
                      <c:pt idx="512">
                        <c:v>346.234119999999</c:v>
                      </c:pt>
                      <c:pt idx="513">
                        <c:v>346.234119999999</c:v>
                      </c:pt>
                      <c:pt idx="514">
                        <c:v>346.234119999999</c:v>
                      </c:pt>
                      <c:pt idx="515">
                        <c:v>346.234119999999</c:v>
                      </c:pt>
                      <c:pt idx="516">
                        <c:v>346.234119999999</c:v>
                      </c:pt>
                      <c:pt idx="517">
                        <c:v>346.234119999999</c:v>
                      </c:pt>
                      <c:pt idx="518">
                        <c:v>346.234119999999</c:v>
                      </c:pt>
                      <c:pt idx="519">
                        <c:v>346.234119999999</c:v>
                      </c:pt>
                      <c:pt idx="520">
                        <c:v>346.234119999999</c:v>
                      </c:pt>
                      <c:pt idx="521">
                        <c:v>346.234119999999</c:v>
                      </c:pt>
                      <c:pt idx="522">
                        <c:v>346.234119999999</c:v>
                      </c:pt>
                      <c:pt idx="523">
                        <c:v>346.234119999999</c:v>
                      </c:pt>
                      <c:pt idx="524">
                        <c:v>346.234119999999</c:v>
                      </c:pt>
                      <c:pt idx="525">
                        <c:v>346.234119999999</c:v>
                      </c:pt>
                      <c:pt idx="526">
                        <c:v>346.234119999999</c:v>
                      </c:pt>
                      <c:pt idx="527">
                        <c:v>346.234119999999</c:v>
                      </c:pt>
                      <c:pt idx="528">
                        <c:v>346.234119999999</c:v>
                      </c:pt>
                      <c:pt idx="529">
                        <c:v>346.234119999999</c:v>
                      </c:pt>
                      <c:pt idx="530">
                        <c:v>346.234119999999</c:v>
                      </c:pt>
                      <c:pt idx="531">
                        <c:v>346.234119999999</c:v>
                      </c:pt>
                      <c:pt idx="532">
                        <c:v>346.234119999999</c:v>
                      </c:pt>
                      <c:pt idx="533">
                        <c:v>346.234119999999</c:v>
                      </c:pt>
                      <c:pt idx="534">
                        <c:v>346.234119999999</c:v>
                      </c:pt>
                      <c:pt idx="535">
                        <c:v>346.234119999999</c:v>
                      </c:pt>
                      <c:pt idx="536">
                        <c:v>346.234119999999</c:v>
                      </c:pt>
                      <c:pt idx="537">
                        <c:v>346.234119999999</c:v>
                      </c:pt>
                      <c:pt idx="538">
                        <c:v>346.234119999999</c:v>
                      </c:pt>
                      <c:pt idx="539">
                        <c:v>346.234119999999</c:v>
                      </c:pt>
                      <c:pt idx="540">
                        <c:v>346.234119999999</c:v>
                      </c:pt>
                      <c:pt idx="541">
                        <c:v>346.234119999999</c:v>
                      </c:pt>
                      <c:pt idx="542">
                        <c:v>346.234119999999</c:v>
                      </c:pt>
                      <c:pt idx="543">
                        <c:v>346.234119999999</c:v>
                      </c:pt>
                      <c:pt idx="544">
                        <c:v>346.234119999999</c:v>
                      </c:pt>
                      <c:pt idx="545">
                        <c:v>346.234119999999</c:v>
                      </c:pt>
                      <c:pt idx="546">
                        <c:v>346.234119999999</c:v>
                      </c:pt>
                      <c:pt idx="547">
                        <c:v>346.234119999999</c:v>
                      </c:pt>
                      <c:pt idx="548">
                        <c:v>346.234119999999</c:v>
                      </c:pt>
                      <c:pt idx="549">
                        <c:v>346.234119999999</c:v>
                      </c:pt>
                      <c:pt idx="550">
                        <c:v>346.234119999999</c:v>
                      </c:pt>
                      <c:pt idx="551">
                        <c:v>346.234119999999</c:v>
                      </c:pt>
                      <c:pt idx="552">
                        <c:v>346.234119999999</c:v>
                      </c:pt>
                      <c:pt idx="553">
                        <c:v>346.234119999999</c:v>
                      </c:pt>
                      <c:pt idx="554">
                        <c:v>346.234119999999</c:v>
                      </c:pt>
                      <c:pt idx="555">
                        <c:v>346.234119999999</c:v>
                      </c:pt>
                      <c:pt idx="556">
                        <c:v>346.234119999999</c:v>
                      </c:pt>
                      <c:pt idx="557">
                        <c:v>346.234119999999</c:v>
                      </c:pt>
                      <c:pt idx="558">
                        <c:v>346.234119999999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018-41DB-89E6-123002D5EA0E}"/>
                  </c:ext>
                </c:extLst>
              </c15:ser>
            </c15:filteredScatterSeries>
            <c15:filteredScatterSeries>
              <c15:ser>
                <c:idx val="6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'Maju 0.1'!$M$6</c15:sqref>
                        </c15:formulaRef>
                      </c:ext>
                    </c:extLst>
                    <c:strCache>
                      <c:ptCount val="1"/>
                      <c:pt idx="0">
                        <c:v>'estimator'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'Maju 0.1'!$D$7:$D$565</c15:sqref>
                        </c15:formulaRef>
                      </c:ext>
                    </c:extLst>
                    <c:numCache>
                      <c:formatCode>0.000</c:formatCode>
                      <c:ptCount val="559"/>
                      <c:pt idx="0">
                        <c:v>0</c:v>
                      </c:pt>
                      <c:pt idx="1">
                        <c:v>0</c:v>
                      </c:pt>
                      <c:pt idx="2">
                        <c:v>5.2989000000707165E-3</c:v>
                      </c:pt>
                      <c:pt idx="3">
                        <c:v>9.2048999999860825E-3</c:v>
                      </c:pt>
                      <c:pt idx="4">
                        <c:v>2.7168100000380946E-2</c:v>
                      </c:pt>
                      <c:pt idx="5">
                        <c:v>4.3313000000125612E-2</c:v>
                      </c:pt>
                      <c:pt idx="6">
                        <c:v>5.8556899999985035E-2</c:v>
                      </c:pt>
                      <c:pt idx="7">
                        <c:v>7.4511200000415556E-2</c:v>
                      </c:pt>
                      <c:pt idx="8">
                        <c:v>8.9335699999992357E-2</c:v>
                      </c:pt>
                      <c:pt idx="9">
                        <c:v>0.10529730000007476</c:v>
                      </c:pt>
                      <c:pt idx="10">
                        <c:v>0.12134990000004109</c:v>
                      </c:pt>
                      <c:pt idx="11">
                        <c:v>0.13719690000016271</c:v>
                      </c:pt>
                      <c:pt idx="12">
                        <c:v>0.15306950000012876</c:v>
                      </c:pt>
                      <c:pt idx="13">
                        <c:v>0.16923990000032063</c:v>
                      </c:pt>
                      <c:pt idx="14">
                        <c:v>0.18482170000015685</c:v>
                      </c:pt>
                      <c:pt idx="15">
                        <c:v>0.20079230000010284</c:v>
                      </c:pt>
                      <c:pt idx="16">
                        <c:v>0.21585990000039601</c:v>
                      </c:pt>
                      <c:pt idx="17">
                        <c:v>0.23115530000040962</c:v>
                      </c:pt>
                      <c:pt idx="18">
                        <c:v>0.24731440000005023</c:v>
                      </c:pt>
                      <c:pt idx="19">
                        <c:v>0.26257580000037706</c:v>
                      </c:pt>
                      <c:pt idx="20">
                        <c:v>0.2780137000004288</c:v>
                      </c:pt>
                      <c:pt idx="21">
                        <c:v>0.2941795000001548</c:v>
                      </c:pt>
                      <c:pt idx="22">
                        <c:v>0.30981510000037815</c:v>
                      </c:pt>
                      <c:pt idx="23">
                        <c:v>0.32596110000031331</c:v>
                      </c:pt>
                      <c:pt idx="24">
                        <c:v>0.34174560000019483</c:v>
                      </c:pt>
                      <c:pt idx="25">
                        <c:v>0.35752370000000155</c:v>
                      </c:pt>
                      <c:pt idx="26">
                        <c:v>0.37302320000026157</c:v>
                      </c:pt>
                      <c:pt idx="27">
                        <c:v>0.38870820000011008</c:v>
                      </c:pt>
                      <c:pt idx="28">
                        <c:v>0.40394320000041262</c:v>
                      </c:pt>
                      <c:pt idx="29">
                        <c:v>0.4197916000002806</c:v>
                      </c:pt>
                      <c:pt idx="30">
                        <c:v>0.43575710000004619</c:v>
                      </c:pt>
                      <c:pt idx="31">
                        <c:v>0.45149400000036621</c:v>
                      </c:pt>
                      <c:pt idx="32">
                        <c:v>0.46699660000012955</c:v>
                      </c:pt>
                      <c:pt idx="33">
                        <c:v>0.4830205000002934</c:v>
                      </c:pt>
                      <c:pt idx="34">
                        <c:v>0.49845470000036585</c:v>
                      </c:pt>
                      <c:pt idx="35">
                        <c:v>0.51411460000008447</c:v>
                      </c:pt>
                      <c:pt idx="36">
                        <c:v>0.52958090000038283</c:v>
                      </c:pt>
                      <c:pt idx="37">
                        <c:v>0.54471950000015568</c:v>
                      </c:pt>
                      <c:pt idx="38">
                        <c:v>0.55994790000022476</c:v>
                      </c:pt>
                      <c:pt idx="39">
                        <c:v>0.57620560000032128</c:v>
                      </c:pt>
                      <c:pt idx="40">
                        <c:v>0.59083770000006552</c:v>
                      </c:pt>
                      <c:pt idx="41">
                        <c:v>0.60626369999999952</c:v>
                      </c:pt>
                      <c:pt idx="42">
                        <c:v>0.6214124000002812</c:v>
                      </c:pt>
                      <c:pt idx="43">
                        <c:v>0.63753459999998086</c:v>
                      </c:pt>
                      <c:pt idx="44">
                        <c:v>0.65260699999998906</c:v>
                      </c:pt>
                      <c:pt idx="45">
                        <c:v>0.66794340000024022</c:v>
                      </c:pt>
                      <c:pt idx="46">
                        <c:v>0.68331380000017816</c:v>
                      </c:pt>
                      <c:pt idx="47">
                        <c:v>0.69856420000041908</c:v>
                      </c:pt>
                      <c:pt idx="48">
                        <c:v>0.7138716000004024</c:v>
                      </c:pt>
                      <c:pt idx="49">
                        <c:v>0.73025120000011157</c:v>
                      </c:pt>
                      <c:pt idx="50">
                        <c:v>0.74559630000021571</c:v>
                      </c:pt>
                      <c:pt idx="51">
                        <c:v>0.7610821000002943</c:v>
                      </c:pt>
                      <c:pt idx="52">
                        <c:v>0.77641560000029131</c:v>
                      </c:pt>
                      <c:pt idx="53">
                        <c:v>0.79153070000029402</c:v>
                      </c:pt>
                      <c:pt idx="54">
                        <c:v>0.80748250000033295</c:v>
                      </c:pt>
                      <c:pt idx="55">
                        <c:v>0.82297660000040196</c:v>
                      </c:pt>
                      <c:pt idx="56">
                        <c:v>0.83904410000013741</c:v>
                      </c:pt>
                      <c:pt idx="57">
                        <c:v>0.85417240000015227</c:v>
                      </c:pt>
                      <c:pt idx="58">
                        <c:v>0.86972920000016529</c:v>
                      </c:pt>
                      <c:pt idx="59">
                        <c:v>0.88524850000021615</c:v>
                      </c:pt>
                      <c:pt idx="60">
                        <c:v>0.90091920000031678</c:v>
                      </c:pt>
                      <c:pt idx="61">
                        <c:v>0.90367850000029648</c:v>
                      </c:pt>
                      <c:pt idx="62">
                        <c:v>0.91670670000030441</c:v>
                      </c:pt>
                      <c:pt idx="63">
                        <c:v>0.93219020000015007</c:v>
                      </c:pt>
                      <c:pt idx="64">
                        <c:v>0.94763220000004367</c:v>
                      </c:pt>
                      <c:pt idx="65">
                        <c:v>0.96272680000038235</c:v>
                      </c:pt>
                      <c:pt idx="66">
                        <c:v>0.97808190000023387</c:v>
                      </c:pt>
                      <c:pt idx="67">
                        <c:v>0.9934240000002319</c:v>
                      </c:pt>
                      <c:pt idx="68">
                        <c:v>1.0095186000003196</c:v>
                      </c:pt>
                      <c:pt idx="69">
                        <c:v>1.0249522000003708</c:v>
                      </c:pt>
                      <c:pt idx="70">
                        <c:v>1.0401796000001013</c:v>
                      </c:pt>
                      <c:pt idx="71">
                        <c:v>1.055965400000332</c:v>
                      </c:pt>
                      <c:pt idx="72">
                        <c:v>1.0718302000000222</c:v>
                      </c:pt>
                      <c:pt idx="73">
                        <c:v>1.0875557000003937</c:v>
                      </c:pt>
                      <c:pt idx="74">
                        <c:v>1.1028458000000683</c:v>
                      </c:pt>
                      <c:pt idx="75">
                        <c:v>1.1188025999999809</c:v>
                      </c:pt>
                      <c:pt idx="76">
                        <c:v>1.1348634000000857</c:v>
                      </c:pt>
                      <c:pt idx="77">
                        <c:v>1.1506616000001486</c:v>
                      </c:pt>
                      <c:pt idx="78">
                        <c:v>1.1660625000004075</c:v>
                      </c:pt>
                      <c:pt idx="79">
                        <c:v>1.1819746000001032</c:v>
                      </c:pt>
                      <c:pt idx="80">
                        <c:v>1.197920300000078</c:v>
                      </c:pt>
                      <c:pt idx="81">
                        <c:v>1.2132191000000603</c:v>
                      </c:pt>
                      <c:pt idx="82">
                        <c:v>1.2292172000002211</c:v>
                      </c:pt>
                      <c:pt idx="83">
                        <c:v>1.2446591000002627</c:v>
                      </c:pt>
                      <c:pt idx="84">
                        <c:v>1.2601951999999983</c:v>
                      </c:pt>
                      <c:pt idx="85">
                        <c:v>1.2756392000001142</c:v>
                      </c:pt>
                      <c:pt idx="86">
                        <c:v>1.2915996000001542</c:v>
                      </c:pt>
                      <c:pt idx="87">
                        <c:v>1.3068004000001565</c:v>
                      </c:pt>
                      <c:pt idx="88">
                        <c:v>1.3228144000004249</c:v>
                      </c:pt>
                      <c:pt idx="89">
                        <c:v>1.338255300000128</c:v>
                      </c:pt>
                      <c:pt idx="90">
                        <c:v>1.3536158000001706</c:v>
                      </c:pt>
                      <c:pt idx="91">
                        <c:v>1.3692170000003898</c:v>
                      </c:pt>
                      <c:pt idx="92">
                        <c:v>1.3851982000001044</c:v>
                      </c:pt>
                      <c:pt idx="93">
                        <c:v>1.4013238000002275</c:v>
                      </c:pt>
                      <c:pt idx="94">
                        <c:v>1.4175716000004286</c:v>
                      </c:pt>
                      <c:pt idx="95">
                        <c:v>1.433107000000291</c:v>
                      </c:pt>
                      <c:pt idx="96">
                        <c:v>1.4486382000000049</c:v>
                      </c:pt>
                      <c:pt idx="97">
                        <c:v>1.464110900000378</c:v>
                      </c:pt>
                      <c:pt idx="98">
                        <c:v>1.4797096000002057</c:v>
                      </c:pt>
                      <c:pt idx="99">
                        <c:v>1.4950284000001375</c:v>
                      </c:pt>
                      <c:pt idx="100">
                        <c:v>1.511221100000057</c:v>
                      </c:pt>
                      <c:pt idx="101">
                        <c:v>1.5267674000001534</c:v>
                      </c:pt>
                      <c:pt idx="102">
                        <c:v>1.542782200000147</c:v>
                      </c:pt>
                      <c:pt idx="103">
                        <c:v>1.5579615000001468</c:v>
                      </c:pt>
                      <c:pt idx="104">
                        <c:v>1.573585400000411</c:v>
                      </c:pt>
                      <c:pt idx="105">
                        <c:v>1.589252000000215</c:v>
                      </c:pt>
                      <c:pt idx="106">
                        <c:v>1.603999400000248</c:v>
                      </c:pt>
                      <c:pt idx="107">
                        <c:v>1.6198876000003111</c:v>
                      </c:pt>
                      <c:pt idx="108">
                        <c:v>1.6361267000002044</c:v>
                      </c:pt>
                      <c:pt idx="109">
                        <c:v>1.6512564000004204</c:v>
                      </c:pt>
                      <c:pt idx="110">
                        <c:v>1.6663169000003109</c:v>
                      </c:pt>
                      <c:pt idx="111">
                        <c:v>1.6817897000000812</c:v>
                      </c:pt>
                      <c:pt idx="112">
                        <c:v>1.6973350000002938</c:v>
                      </c:pt>
                      <c:pt idx="113">
                        <c:v>1.7125753000000259</c:v>
                      </c:pt>
                      <c:pt idx="114">
                        <c:v>1.7276518000003307</c:v>
                      </c:pt>
                      <c:pt idx="115">
                        <c:v>1.7429422000000159</c:v>
                      </c:pt>
                      <c:pt idx="116">
                        <c:v>1.7582855000000563</c:v>
                      </c:pt>
                      <c:pt idx="117">
                        <c:v>1.773996200000056</c:v>
                      </c:pt>
                      <c:pt idx="118">
                        <c:v>1.7897581000001992</c:v>
                      </c:pt>
                      <c:pt idx="119">
                        <c:v>1.8050165000004199</c:v>
                      </c:pt>
                      <c:pt idx="120">
                        <c:v>1.8200581000000966</c:v>
                      </c:pt>
                      <c:pt idx="121">
                        <c:v>1.8358427000002848</c:v>
                      </c:pt>
                      <c:pt idx="122">
                        <c:v>1.8507931000003737</c:v>
                      </c:pt>
                      <c:pt idx="123">
                        <c:v>1.8669764000001123</c:v>
                      </c:pt>
                      <c:pt idx="124">
                        <c:v>1.8826533000001291</c:v>
                      </c:pt>
                      <c:pt idx="125">
                        <c:v>1.8972933000000012</c:v>
                      </c:pt>
                      <c:pt idx="126">
                        <c:v>1.9133269000003565</c:v>
                      </c:pt>
                      <c:pt idx="127">
                        <c:v>1.9296000000003914</c:v>
                      </c:pt>
                      <c:pt idx="128">
                        <c:v>1.9452049000001352</c:v>
                      </c:pt>
                      <c:pt idx="129">
                        <c:v>1.9606398000000809</c:v>
                      </c:pt>
                      <c:pt idx="130">
                        <c:v>1.9759725000003527</c:v>
                      </c:pt>
                      <c:pt idx="131">
                        <c:v>1.9914278000001104</c:v>
                      </c:pt>
                      <c:pt idx="132">
                        <c:v>2.0069760000001224</c:v>
                      </c:pt>
                      <c:pt idx="133">
                        <c:v>2.0227060000001984</c:v>
                      </c:pt>
                      <c:pt idx="134">
                        <c:v>2.0380438000001959</c:v>
                      </c:pt>
                      <c:pt idx="135">
                        <c:v>2.0530307000003631</c:v>
                      </c:pt>
                      <c:pt idx="136">
                        <c:v>2.0684856000002583</c:v>
                      </c:pt>
                      <c:pt idx="137">
                        <c:v>2.0836755000000267</c:v>
                      </c:pt>
                      <c:pt idx="138">
                        <c:v>2.0990962000000764</c:v>
                      </c:pt>
                      <c:pt idx="139">
                        <c:v>2.1141289000001962</c:v>
                      </c:pt>
                      <c:pt idx="140">
                        <c:v>2.1296484000004057</c:v>
                      </c:pt>
                      <c:pt idx="141">
                        <c:v>2.1453720000004068</c:v>
                      </c:pt>
                      <c:pt idx="142">
                        <c:v>2.1608561000002737</c:v>
                      </c:pt>
                      <c:pt idx="143">
                        <c:v>2.1762023000001136</c:v>
                      </c:pt>
                      <c:pt idx="144">
                        <c:v>2.191330999999991</c:v>
                      </c:pt>
                      <c:pt idx="145">
                        <c:v>2.2065747000001465</c:v>
                      </c:pt>
                      <c:pt idx="146">
                        <c:v>2.2223314000002574</c:v>
                      </c:pt>
                      <c:pt idx="147">
                        <c:v>2.2377394000000095</c:v>
                      </c:pt>
                      <c:pt idx="148">
                        <c:v>2.2529523000002882</c:v>
                      </c:pt>
                      <c:pt idx="149">
                        <c:v>2.2684573999999884</c:v>
                      </c:pt>
                      <c:pt idx="150">
                        <c:v>2.2840030000002116</c:v>
                      </c:pt>
                      <c:pt idx="151">
                        <c:v>2.2868802000002688</c:v>
                      </c:pt>
                      <c:pt idx="152">
                        <c:v>2.2995488000001387</c:v>
                      </c:pt>
                      <c:pt idx="153">
                        <c:v>2.3149207999999817</c:v>
                      </c:pt>
                      <c:pt idx="154">
                        <c:v>2.3300423000000592</c:v>
                      </c:pt>
                      <c:pt idx="155">
                        <c:v>2.3454623000002357</c:v>
                      </c:pt>
                      <c:pt idx="156">
                        <c:v>2.3615370000002258</c:v>
                      </c:pt>
                      <c:pt idx="157">
                        <c:v>2.3767136000001301</c:v>
                      </c:pt>
                      <c:pt idx="158">
                        <c:v>2.3927026000001206</c:v>
                      </c:pt>
                      <c:pt idx="159">
                        <c:v>2.4083026000002974</c:v>
                      </c:pt>
                      <c:pt idx="160">
                        <c:v>2.4243546000002425</c:v>
                      </c:pt>
                      <c:pt idx="161">
                        <c:v>2.4402967000000899</c:v>
                      </c:pt>
                      <c:pt idx="162">
                        <c:v>2.4554897000002711</c:v>
                      </c:pt>
                      <c:pt idx="163">
                        <c:v>2.4712208000000828</c:v>
                      </c:pt>
                      <c:pt idx="164">
                        <c:v>2.4867932000001929</c:v>
                      </c:pt>
                      <c:pt idx="165">
                        <c:v>2.5027567000001909</c:v>
                      </c:pt>
                      <c:pt idx="166">
                        <c:v>2.5181257000003825</c:v>
                      </c:pt>
                      <c:pt idx="167">
                        <c:v>2.5331108000000313</c:v>
                      </c:pt>
                      <c:pt idx="168">
                        <c:v>2.5489589000003434</c:v>
                      </c:pt>
                      <c:pt idx="169">
                        <c:v>2.5650508000003356</c:v>
                      </c:pt>
                      <c:pt idx="170">
                        <c:v>2.5803182000004199</c:v>
                      </c:pt>
                      <c:pt idx="171">
                        <c:v>2.5957627000002503</c:v>
                      </c:pt>
                      <c:pt idx="172">
                        <c:v>2.6111039000002165</c:v>
                      </c:pt>
                      <c:pt idx="173">
                        <c:v>2.6267086000002564</c:v>
                      </c:pt>
                      <c:pt idx="174">
                        <c:v>2.6419436000001042</c:v>
                      </c:pt>
                      <c:pt idx="175">
                        <c:v>2.6580228000002535</c:v>
                      </c:pt>
                      <c:pt idx="176">
                        <c:v>2.6738740000000689</c:v>
                      </c:pt>
                      <c:pt idx="177">
                        <c:v>2.6894137000003866</c:v>
                      </c:pt>
                      <c:pt idx="178">
                        <c:v>2.7046626000001197</c:v>
                      </c:pt>
                      <c:pt idx="179">
                        <c:v>2.7199347000000671</c:v>
                      </c:pt>
                      <c:pt idx="180">
                        <c:v>2.7358025000003181</c:v>
                      </c:pt>
                      <c:pt idx="181">
                        <c:v>2.7508734000002733</c:v>
                      </c:pt>
                      <c:pt idx="182">
                        <c:v>2.7659552000000076</c:v>
                      </c:pt>
                      <c:pt idx="183">
                        <c:v>2.7808774000000085</c:v>
                      </c:pt>
                      <c:pt idx="184">
                        <c:v>2.7956675000000359</c:v>
                      </c:pt>
                      <c:pt idx="185">
                        <c:v>2.811707800000022</c:v>
                      </c:pt>
                      <c:pt idx="186">
                        <c:v>2.8270329000001766</c:v>
                      </c:pt>
                      <c:pt idx="187">
                        <c:v>2.8423720000000685</c:v>
                      </c:pt>
                      <c:pt idx="188">
                        <c:v>2.858502700000372</c:v>
                      </c:pt>
                      <c:pt idx="189">
                        <c:v>2.8740185000001475</c:v>
                      </c:pt>
                      <c:pt idx="190">
                        <c:v>2.8900909000003594</c:v>
                      </c:pt>
                      <c:pt idx="191">
                        <c:v>2.9053735000002234</c:v>
                      </c:pt>
                      <c:pt idx="192">
                        <c:v>2.921306100000038</c:v>
                      </c:pt>
                      <c:pt idx="193">
                        <c:v>2.9369955000001937</c:v>
                      </c:pt>
                      <c:pt idx="194">
                        <c:v>2.9526253000003635</c:v>
                      </c:pt>
                      <c:pt idx="195">
                        <c:v>2.9675974000001588</c:v>
                      </c:pt>
                      <c:pt idx="196">
                        <c:v>2.9831733000000895</c:v>
                      </c:pt>
                      <c:pt idx="197">
                        <c:v>2.9984130000002551</c:v>
                      </c:pt>
                      <c:pt idx="198">
                        <c:v>3.0135693000001993</c:v>
                      </c:pt>
                      <c:pt idx="199">
                        <c:v>3.0290494000000763</c:v>
                      </c:pt>
                      <c:pt idx="200">
                        <c:v>3.0444785000004231</c:v>
                      </c:pt>
                      <c:pt idx="201">
                        <c:v>3.0598500000000968</c:v>
                      </c:pt>
                      <c:pt idx="202">
                        <c:v>3.0750644000004286</c:v>
                      </c:pt>
                      <c:pt idx="203">
                        <c:v>3.0904241000002912</c:v>
                      </c:pt>
                      <c:pt idx="204">
                        <c:v>3.1064377000002423</c:v>
                      </c:pt>
                      <c:pt idx="205">
                        <c:v>3.1225518000001102</c:v>
                      </c:pt>
                      <c:pt idx="206">
                        <c:v>3.138448800000333</c:v>
                      </c:pt>
                      <c:pt idx="207">
                        <c:v>3.1540184000000409</c:v>
                      </c:pt>
                      <c:pt idx="208">
                        <c:v>3.1689089999999851</c:v>
                      </c:pt>
                      <c:pt idx="209">
                        <c:v>3.1849315000004026</c:v>
                      </c:pt>
                      <c:pt idx="210">
                        <c:v>3.2003816000001279</c:v>
                      </c:pt>
                      <c:pt idx="211">
                        <c:v>3.2153074000002562</c:v>
                      </c:pt>
                      <c:pt idx="212">
                        <c:v>3.2629249999999956</c:v>
                      </c:pt>
                      <c:pt idx="213">
                        <c:v>3.2789824000001317</c:v>
                      </c:pt>
                      <c:pt idx="214">
                        <c:v>3.2943454000001111</c:v>
                      </c:pt>
                      <c:pt idx="215">
                        <c:v>3.3418642999999975</c:v>
                      </c:pt>
                      <c:pt idx="216">
                        <c:v>3.357551400000375</c:v>
                      </c:pt>
                      <c:pt idx="217">
                        <c:v>3.4502027000003181</c:v>
                      </c:pt>
                      <c:pt idx="218">
                        <c:v>3.466481400000248</c:v>
                      </c:pt>
                      <c:pt idx="219">
                        <c:v>3.4815856000000167</c:v>
                      </c:pt>
                      <c:pt idx="220">
                        <c:v>3.496932100000322</c:v>
                      </c:pt>
                      <c:pt idx="221">
                        <c:v>3.5277230000001509</c:v>
                      </c:pt>
                      <c:pt idx="222">
                        <c:v>3.5595329000002494</c:v>
                      </c:pt>
                      <c:pt idx="223">
                        <c:v>3.590596000000005</c:v>
                      </c:pt>
                      <c:pt idx="224">
                        <c:v>3.6220025000002352</c:v>
                      </c:pt>
                      <c:pt idx="225">
                        <c:v>3.6521181000002798</c:v>
                      </c:pt>
                      <c:pt idx="226">
                        <c:v>3.7453942000001916</c:v>
                      </c:pt>
                      <c:pt idx="227">
                        <c:v>3.7610059000003275</c:v>
                      </c:pt>
                      <c:pt idx="228">
                        <c:v>3.7763112000002366</c:v>
                      </c:pt>
                      <c:pt idx="229">
                        <c:v>3.7926324000000022</c:v>
                      </c:pt>
                      <c:pt idx="230">
                        <c:v>3.8087636000000202</c:v>
                      </c:pt>
                      <c:pt idx="231">
                        <c:v>3.8874061999999867</c:v>
                      </c:pt>
                      <c:pt idx="232">
                        <c:v>3.9030201000000488</c:v>
                      </c:pt>
                      <c:pt idx="233">
                        <c:v>3.9183447000000342</c:v>
                      </c:pt>
                      <c:pt idx="234">
                        <c:v>3.9338287000000491</c:v>
                      </c:pt>
                      <c:pt idx="235">
                        <c:v>3.9800678999999946</c:v>
                      </c:pt>
                      <c:pt idx="236">
                        <c:v>3.995798900000409</c:v>
                      </c:pt>
                      <c:pt idx="237">
                        <c:v>4.0423875999999836</c:v>
                      </c:pt>
                      <c:pt idx="238">
                        <c:v>4.0739817000003313</c:v>
                      </c:pt>
                      <c:pt idx="239">
                        <c:v>4.1044402000002265</c:v>
                      </c:pt>
                      <c:pt idx="240">
                        <c:v>4.1355275000000802</c:v>
                      </c:pt>
                      <c:pt idx="241">
                        <c:v>4.1654601000000184</c:v>
                      </c:pt>
                      <c:pt idx="242">
                        <c:v>4.1966453000000001</c:v>
                      </c:pt>
                      <c:pt idx="243">
                        <c:v>4.2278092000001379</c:v>
                      </c:pt>
                      <c:pt idx="244">
                        <c:v>4.2745982000001277</c:v>
                      </c:pt>
                      <c:pt idx="245">
                        <c:v>4.3050646000001507</c:v>
                      </c:pt>
                      <c:pt idx="246">
                        <c:v>4.3357205000002068</c:v>
                      </c:pt>
                      <c:pt idx="247">
                        <c:v>4.3668618000001516</c:v>
                      </c:pt>
                      <c:pt idx="248">
                        <c:v>4.3979300000000876</c:v>
                      </c:pt>
                      <c:pt idx="249">
                        <c:v>4.4284158000000389</c:v>
                      </c:pt>
                      <c:pt idx="250">
                        <c:v>4.4752190000003793</c:v>
                      </c:pt>
                      <c:pt idx="251">
                        <c:v>4.5070405000001301</c:v>
                      </c:pt>
                      <c:pt idx="252">
                        <c:v>4.5080405000001305</c:v>
                      </c:pt>
                      <c:pt idx="253">
                        <c:v>4.537615900000219</c:v>
                      </c:pt>
                      <c:pt idx="254">
                        <c:v>4.5528210000002218</c:v>
                      </c:pt>
                      <c:pt idx="255">
                        <c:v>4.5840331000003971</c:v>
                      </c:pt>
                      <c:pt idx="256">
                        <c:v>4.6146783000003779</c:v>
                      </c:pt>
                      <c:pt idx="257">
                        <c:v>4.6612142000003587</c:v>
                      </c:pt>
                      <c:pt idx="258">
                        <c:v>4.6927078000003348</c:v>
                      </c:pt>
                      <c:pt idx="259">
                        <c:v>4.7241723000001912</c:v>
                      </c:pt>
                      <c:pt idx="260">
                        <c:v>4.7552841000001536</c:v>
                      </c:pt>
                      <c:pt idx="261">
                        <c:v>4.7871487000002162</c:v>
                      </c:pt>
                      <c:pt idx="262">
                        <c:v>4.8184103000003233</c:v>
                      </c:pt>
                      <c:pt idx="263">
                        <c:v>4.8648840000000746</c:v>
                      </c:pt>
                      <c:pt idx="264">
                        <c:v>4.8959517000002961</c:v>
                      </c:pt>
                      <c:pt idx="265">
                        <c:v>4.9267509000001155</c:v>
                      </c:pt>
                      <c:pt idx="266">
                        <c:v>4.9738620000002811</c:v>
                      </c:pt>
                      <c:pt idx="267">
                        <c:v>4.9892149000002064</c:v>
                      </c:pt>
                      <c:pt idx="268">
                        <c:v>5.0212012000001778</c:v>
                      </c:pt>
                      <c:pt idx="269">
                        <c:v>5.0516725000002225</c:v>
                      </c:pt>
                      <c:pt idx="270">
                        <c:v>5.0827851000003648</c:v>
                      </c:pt>
                      <c:pt idx="271">
                        <c:v>5.1137316000003921</c:v>
                      </c:pt>
                      <c:pt idx="272">
                        <c:v>5.1452981000002183</c:v>
                      </c:pt>
                      <c:pt idx="273">
                        <c:v>5.1763471000003847</c:v>
                      </c:pt>
                      <c:pt idx="274">
                        <c:v>5.206453700000111</c:v>
                      </c:pt>
                      <c:pt idx="275">
                        <c:v>5.2538562000004276</c:v>
                      </c:pt>
                      <c:pt idx="276">
                        <c:v>5.2850330000001122</c:v>
                      </c:pt>
                      <c:pt idx="277">
                        <c:v>5.3151507000002312</c:v>
                      </c:pt>
                      <c:pt idx="278">
                        <c:v>5.3462414000000535</c:v>
                      </c:pt>
                      <c:pt idx="279">
                        <c:v>5.3769308000000819</c:v>
                      </c:pt>
                      <c:pt idx="280">
                        <c:v>5.4089211000000432</c:v>
                      </c:pt>
                      <c:pt idx="281">
                        <c:v>5.4551541000000725</c:v>
                      </c:pt>
                      <c:pt idx="282">
                        <c:v>5.4857228000000759</c:v>
                      </c:pt>
                      <c:pt idx="283">
                        <c:v>5.5166819000000942</c:v>
                      </c:pt>
                      <c:pt idx="284">
                        <c:v>5.5484199000002263</c:v>
                      </c:pt>
                      <c:pt idx="285">
                        <c:v>5.5797838000003139</c:v>
                      </c:pt>
                      <c:pt idx="286">
                        <c:v>5.6095580000001064</c:v>
                      </c:pt>
                      <c:pt idx="287">
                        <c:v>5.6410262000003968</c:v>
                      </c:pt>
                      <c:pt idx="288">
                        <c:v>5.6720820000000458</c:v>
                      </c:pt>
                      <c:pt idx="289">
                        <c:v>5.7036822000000029</c:v>
                      </c:pt>
                      <c:pt idx="290">
                        <c:v>5.7347582000002149</c:v>
                      </c:pt>
                      <c:pt idx="291">
                        <c:v>5.7660101999999824</c:v>
                      </c:pt>
                      <c:pt idx="292">
                        <c:v>5.7983756000003268</c:v>
                      </c:pt>
                      <c:pt idx="293">
                        <c:v>5.8292917000003399</c:v>
                      </c:pt>
                      <c:pt idx="294">
                        <c:v>5.8760879999999815</c:v>
                      </c:pt>
                      <c:pt idx="295">
                        <c:v>5.9069489000003159</c:v>
                      </c:pt>
                      <c:pt idx="296">
                        <c:v>5.9376335000001745</c:v>
                      </c:pt>
                      <c:pt idx="297">
                        <c:v>5.9686227000001963</c:v>
                      </c:pt>
                      <c:pt idx="298">
                        <c:v>5.999062700000195</c:v>
                      </c:pt>
                      <c:pt idx="299">
                        <c:v>6.0304338000000826</c:v>
                      </c:pt>
                      <c:pt idx="300">
                        <c:v>6.0618288000000575</c:v>
                      </c:pt>
                      <c:pt idx="301">
                        <c:v>6.0927022000000761</c:v>
                      </c:pt>
                      <c:pt idx="302">
                        <c:v>6.1397364000004018</c:v>
                      </c:pt>
                      <c:pt idx="303">
                        <c:v>6.1711775000003399</c:v>
                      </c:pt>
                      <c:pt idx="304">
                        <c:v>6.1872160000002623</c:v>
                      </c:pt>
                      <c:pt idx="305">
                        <c:v>6.2184366000001319</c:v>
                      </c:pt>
                      <c:pt idx="306">
                        <c:v>6.2489861000003657</c:v>
                      </c:pt>
                      <c:pt idx="307">
                        <c:v>6.2801828999999998</c:v>
                      </c:pt>
                      <c:pt idx="308">
                        <c:v>6.3263348000000406</c:v>
                      </c:pt>
                      <c:pt idx="309">
                        <c:v>6.3577290000002904</c:v>
                      </c:pt>
                      <c:pt idx="310">
                        <c:v>6.3879193000002488</c:v>
                      </c:pt>
                      <c:pt idx="311">
                        <c:v>6.4188283000003139</c:v>
                      </c:pt>
                      <c:pt idx="312">
                        <c:v>6.4498166000003039</c:v>
                      </c:pt>
                      <c:pt idx="313">
                        <c:v>6.4810206000001926</c:v>
                      </c:pt>
                      <c:pt idx="314">
                        <c:v>6.5271981000000778</c:v>
                      </c:pt>
                      <c:pt idx="315">
                        <c:v>6.5573610000001281</c:v>
                      </c:pt>
                      <c:pt idx="316">
                        <c:v>6.5885600000001432</c:v>
                      </c:pt>
                      <c:pt idx="317">
                        <c:v>6.6192061000001559</c:v>
                      </c:pt>
                      <c:pt idx="318">
                        <c:v>6.6495939999999791</c:v>
                      </c:pt>
                      <c:pt idx="319">
                        <c:v>6.6809850000004189</c:v>
                      </c:pt>
                      <c:pt idx="320">
                        <c:v>6.7279085000000123</c:v>
                      </c:pt>
                      <c:pt idx="321">
                        <c:v>6.7590113000001111</c:v>
                      </c:pt>
                      <c:pt idx="322">
                        <c:v>6.7899225000001024</c:v>
                      </c:pt>
                      <c:pt idx="323">
                        <c:v>6.8056283000000803</c:v>
                      </c:pt>
                      <c:pt idx="324">
                        <c:v>6.8376799000002393</c:v>
                      </c:pt>
                      <c:pt idx="325">
                        <c:v>6.8684104000003572</c:v>
                      </c:pt>
                      <c:pt idx="326">
                        <c:v>6.9149276000002828</c:v>
                      </c:pt>
                      <c:pt idx="327">
                        <c:v>6.946722900000168</c:v>
                      </c:pt>
                      <c:pt idx="328">
                        <c:v>6.9777452000002995</c:v>
                      </c:pt>
                      <c:pt idx="329">
                        <c:v>7.0080390000002808</c:v>
                      </c:pt>
                      <c:pt idx="330">
                        <c:v>7.039289700000154</c:v>
                      </c:pt>
                      <c:pt idx="331">
                        <c:v>7.0705900000002657</c:v>
                      </c:pt>
                      <c:pt idx="332">
                        <c:v>7.1177352000004248</c:v>
                      </c:pt>
                      <c:pt idx="333">
                        <c:v>7.149779700000181</c:v>
                      </c:pt>
                      <c:pt idx="334">
                        <c:v>7.1810393000000659</c:v>
                      </c:pt>
                      <c:pt idx="335">
                        <c:v>7.2121169000001828</c:v>
                      </c:pt>
                      <c:pt idx="336">
                        <c:v>7.2427593000002162</c:v>
                      </c:pt>
                      <c:pt idx="337">
                        <c:v>7.2730527000003349</c:v>
                      </c:pt>
                      <c:pt idx="338">
                        <c:v>7.3046481000001222</c:v>
                      </c:pt>
                      <c:pt idx="339">
                        <c:v>7.3364228000000367</c:v>
                      </c:pt>
                      <c:pt idx="340">
                        <c:v>7.367167000000336</c:v>
                      </c:pt>
                      <c:pt idx="341">
                        <c:v>7.3981877000001077</c:v>
                      </c:pt>
                      <c:pt idx="342">
                        <c:v>7.4297265000000152</c:v>
                      </c:pt>
                      <c:pt idx="343">
                        <c:v>7.4607101999999941</c:v>
                      </c:pt>
                      <c:pt idx="344">
                        <c:v>7.4922096000000238</c:v>
                      </c:pt>
                      <c:pt idx="345">
                        <c:v>7.5385995000001458</c:v>
                      </c:pt>
                      <c:pt idx="346">
                        <c:v>7.570056200000181</c:v>
                      </c:pt>
                      <c:pt idx="347">
                        <c:v>7.6007871000001614</c:v>
                      </c:pt>
                      <c:pt idx="348">
                        <c:v>7.6318452000000434</c:v>
                      </c:pt>
                      <c:pt idx="349">
                        <c:v>7.6628080000000409</c:v>
                      </c:pt>
                      <c:pt idx="350">
                        <c:v>7.693853300000228</c:v>
                      </c:pt>
                      <c:pt idx="351">
                        <c:v>7.740906300000006</c:v>
                      </c:pt>
                      <c:pt idx="352">
                        <c:v>7.7560024000003978</c:v>
                      </c:pt>
                      <c:pt idx="353">
                        <c:v>7.8027047000000493</c:v>
                      </c:pt>
                      <c:pt idx="354">
                        <c:v>7.818170800000189</c:v>
                      </c:pt>
                      <c:pt idx="355">
                        <c:v>7.849333900000147</c:v>
                      </c:pt>
                      <c:pt idx="356">
                        <c:v>7.8953836000000592</c:v>
                      </c:pt>
                      <c:pt idx="357">
                        <c:v>7.9105360000003202</c:v>
                      </c:pt>
                      <c:pt idx="358">
                        <c:v>7.9416419000003771</c:v>
                      </c:pt>
                      <c:pt idx="359">
                        <c:v>7.988133000000289</c:v>
                      </c:pt>
                      <c:pt idx="360">
                        <c:v>8.0195339000001695</c:v>
                      </c:pt>
                      <c:pt idx="361">
                        <c:v>8.0499366000003647</c:v>
                      </c:pt>
                      <c:pt idx="362">
                        <c:v>8.0813528000003316</c:v>
                      </c:pt>
                      <c:pt idx="363">
                        <c:v>8.1119710000002669</c:v>
                      </c:pt>
                      <c:pt idx="364">
                        <c:v>8.1418160000002899</c:v>
                      </c:pt>
                      <c:pt idx="365">
                        <c:v>8.1884018000000651</c:v>
                      </c:pt>
                      <c:pt idx="366">
                        <c:v>8.2195125000002918</c:v>
                      </c:pt>
                      <c:pt idx="367">
                        <c:v>8.2505235000003267</c:v>
                      </c:pt>
                      <c:pt idx="368">
                        <c:v>8.2813416000003599</c:v>
                      </c:pt>
                      <c:pt idx="369">
                        <c:v>8.3130092000001241</c:v>
                      </c:pt>
                      <c:pt idx="370">
                        <c:v>8.3439578000002257</c:v>
                      </c:pt>
                      <c:pt idx="371">
                        <c:v>8.3752976000000672</c:v>
                      </c:pt>
                      <c:pt idx="372">
                        <c:v>8.4216149000003497</c:v>
                      </c:pt>
                      <c:pt idx="373">
                        <c:v>8.435135100000025</c:v>
                      </c:pt>
                      <c:pt idx="374">
                        <c:v>8.4680778000001737</c:v>
                      </c:pt>
                      <c:pt idx="375">
                        <c:v>8.4993426000000909</c:v>
                      </c:pt>
                      <c:pt idx="376">
                        <c:v>8.5301843000002009</c:v>
                      </c:pt>
                      <c:pt idx="377">
                        <c:v>8.5311843000002003</c:v>
                      </c:pt>
                      <c:pt idx="378">
                        <c:v>8.5615048000004208</c:v>
                      </c:pt>
                      <c:pt idx="379">
                        <c:v>8.6084997000002659</c:v>
                      </c:pt>
                      <c:pt idx="380">
                        <c:v>8.6396508000002541</c:v>
                      </c:pt>
                      <c:pt idx="381">
                        <c:v>8.6708717999999863</c:v>
                      </c:pt>
                      <c:pt idx="382">
                        <c:v>8.7026233000001412</c:v>
                      </c:pt>
                      <c:pt idx="383">
                        <c:v>8.7334623000001557</c:v>
                      </c:pt>
                      <c:pt idx="384">
                        <c:v>8.7646595000001071</c:v>
                      </c:pt>
                      <c:pt idx="385">
                        <c:v>8.8111308000002282</c:v>
                      </c:pt>
                      <c:pt idx="386">
                        <c:v>8.8430741000001944</c:v>
                      </c:pt>
                      <c:pt idx="387">
                        <c:v>8.8728994000002785</c:v>
                      </c:pt>
                      <c:pt idx="388">
                        <c:v>8.9049598000001424</c:v>
                      </c:pt>
                      <c:pt idx="389">
                        <c:v>8.920539700000063</c:v>
                      </c:pt>
                      <c:pt idx="390">
                        <c:v>8.9517083000000639</c:v>
                      </c:pt>
                      <c:pt idx="391">
                        <c:v>8.9822482000004129</c:v>
                      </c:pt>
                      <c:pt idx="392">
                        <c:v>9.0298377000003711</c:v>
                      </c:pt>
                      <c:pt idx="393">
                        <c:v>9.0611833000002662</c:v>
                      </c:pt>
                      <c:pt idx="394">
                        <c:v>9.0922832000001108</c:v>
                      </c:pt>
                      <c:pt idx="395">
                        <c:v>9.12239610000006</c:v>
                      </c:pt>
                      <c:pt idx="396">
                        <c:v>9.1532780000002276</c:v>
                      </c:pt>
                      <c:pt idx="397">
                        <c:v>9.1842184000001907</c:v>
                      </c:pt>
                      <c:pt idx="398">
                        <c:v>9.2300111000004108</c:v>
                      </c:pt>
                      <c:pt idx="399">
                        <c:v>9.2606885000000148</c:v>
                      </c:pt>
                      <c:pt idx="400">
                        <c:v>9.291738500000065</c:v>
                      </c:pt>
                      <c:pt idx="401">
                        <c:v>9.3234608000002481</c:v>
                      </c:pt>
                      <c:pt idx="402">
                        <c:v>9.3695388000001003</c:v>
                      </c:pt>
                      <c:pt idx="403">
                        <c:v>9.4001502000000983</c:v>
                      </c:pt>
                      <c:pt idx="404">
                        <c:v>9.4309679000002689</c:v>
                      </c:pt>
                      <c:pt idx="405">
                        <c:v>9.4623018000002048</c:v>
                      </c:pt>
                      <c:pt idx="406">
                        <c:v>9.4935661000004075</c:v>
                      </c:pt>
                      <c:pt idx="407">
                        <c:v>9.5246996000000763</c:v>
                      </c:pt>
                      <c:pt idx="408">
                        <c:v>9.5554276000002574</c:v>
                      </c:pt>
                      <c:pt idx="409">
                        <c:v>9.5555276000002571</c:v>
                      </c:pt>
                      <c:pt idx="410">
                        <c:v>9.5856540000004316</c:v>
                      </c:pt>
                      <c:pt idx="411">
                        <c:v>9.6167265000003681</c:v>
                      </c:pt>
                      <c:pt idx="412">
                        <c:v>9.6474853000004259</c:v>
                      </c:pt>
                      <c:pt idx="413">
                        <c:v>9.6789674999999988</c:v>
                      </c:pt>
                      <c:pt idx="414">
                        <c:v>9.7094308000000638</c:v>
                      </c:pt>
                      <c:pt idx="415">
                        <c:v>9.7403956000002836</c:v>
                      </c:pt>
                      <c:pt idx="416">
                        <c:v>9.7720160000003489</c:v>
                      </c:pt>
                      <c:pt idx="417">
                        <c:v>9.8176916000002166</c:v>
                      </c:pt>
                      <c:pt idx="418">
                        <c:v>9.8488786000002619</c:v>
                      </c:pt>
                      <c:pt idx="419">
                        <c:v>9.8793074000000161</c:v>
                      </c:pt>
                      <c:pt idx="420">
                        <c:v>9.9106115000004138</c:v>
                      </c:pt>
                      <c:pt idx="421">
                        <c:v>9.9409724000001916</c:v>
                      </c:pt>
                      <c:pt idx="422">
                        <c:v>9.9728406000003815</c:v>
                      </c:pt>
                      <c:pt idx="423">
                        <c:v>10.004080200000317</c:v>
                      </c:pt>
                      <c:pt idx="424">
                        <c:v>10.052269700000124</c:v>
                      </c:pt>
                      <c:pt idx="425">
                        <c:v>10.067612800000006</c:v>
                      </c:pt>
                      <c:pt idx="426">
                        <c:v>10.098507600000175</c:v>
                      </c:pt>
                      <c:pt idx="427">
                        <c:v>10.129110700000183</c:v>
                      </c:pt>
                      <c:pt idx="428">
                        <c:v>10.159869600000093</c:v>
                      </c:pt>
                      <c:pt idx="429">
                        <c:v>10.191697800000384</c:v>
                      </c:pt>
                      <c:pt idx="430">
                        <c:v>10.223350500000379</c:v>
                      </c:pt>
                      <c:pt idx="431">
                        <c:v>10.317478700000265</c:v>
                      </c:pt>
                      <c:pt idx="432">
                        <c:v>10.333174900000358</c:v>
                      </c:pt>
                      <c:pt idx="433">
                        <c:v>10.348560300000372</c:v>
                      </c:pt>
                      <c:pt idx="434">
                        <c:v>10.36367700000028</c:v>
                      </c:pt>
                      <c:pt idx="435">
                        <c:v>10.410301700000218</c:v>
                      </c:pt>
                      <c:pt idx="436">
                        <c:v>10.58332960000007</c:v>
                      </c:pt>
                      <c:pt idx="437">
                        <c:v>10.598769900000207</c:v>
                      </c:pt>
                      <c:pt idx="438">
                        <c:v>10.614560700000311</c:v>
                      </c:pt>
                      <c:pt idx="439">
                        <c:v>10.63024680000035</c:v>
                      </c:pt>
                      <c:pt idx="440">
                        <c:v>10.645605100000012</c:v>
                      </c:pt>
                      <c:pt idx="441">
                        <c:v>10.661888300000101</c:v>
                      </c:pt>
                      <c:pt idx="442">
                        <c:v>10.67790260000038</c:v>
                      </c:pt>
                      <c:pt idx="443">
                        <c:v>10.693193000000065</c:v>
                      </c:pt>
                      <c:pt idx="444">
                        <c:v>10.709016600000268</c:v>
                      </c:pt>
                      <c:pt idx="445">
                        <c:v>10.724044000000049</c:v>
                      </c:pt>
                      <c:pt idx="446">
                        <c:v>10.756220200000371</c:v>
                      </c:pt>
                      <c:pt idx="447">
                        <c:v>10.787308800000119</c:v>
                      </c:pt>
                      <c:pt idx="448">
                        <c:v>10.833230000000185</c:v>
                      </c:pt>
                      <c:pt idx="449">
                        <c:v>10.848908600000414</c:v>
                      </c:pt>
                      <c:pt idx="450">
                        <c:v>10.895104500000343</c:v>
                      </c:pt>
                      <c:pt idx="451">
                        <c:v>10.926145600000382</c:v>
                      </c:pt>
                      <c:pt idx="452">
                        <c:v>10.942143000000215</c:v>
                      </c:pt>
                      <c:pt idx="453">
                        <c:v>10.973500700000386</c:v>
                      </c:pt>
                      <c:pt idx="454">
                        <c:v>11.019185500000276</c:v>
                      </c:pt>
                      <c:pt idx="455">
                        <c:v>11.034989600000245</c:v>
                      </c:pt>
                      <c:pt idx="456">
                        <c:v>11.082045999999991</c:v>
                      </c:pt>
                      <c:pt idx="457">
                        <c:v>11.1128262000002</c:v>
                      </c:pt>
                      <c:pt idx="458">
                        <c:v>11.143854800000099</c:v>
                      </c:pt>
                      <c:pt idx="459">
                        <c:v>11.175350700000308</c:v>
                      </c:pt>
                      <c:pt idx="460">
                        <c:v>11.206693400000404</c:v>
                      </c:pt>
                      <c:pt idx="461">
                        <c:v>11.237335799999983</c:v>
                      </c:pt>
                      <c:pt idx="462">
                        <c:v>11.284025600000405</c:v>
                      </c:pt>
                      <c:pt idx="463">
                        <c:v>11.314848700000312</c:v>
                      </c:pt>
                      <c:pt idx="464">
                        <c:v>11.345894600000065</c:v>
                      </c:pt>
                      <c:pt idx="465">
                        <c:v>11.377582900000107</c:v>
                      </c:pt>
                      <c:pt idx="466">
                        <c:v>11.408712500000092</c:v>
                      </c:pt>
                      <c:pt idx="467">
                        <c:v>11.424737800000003</c:v>
                      </c:pt>
                      <c:pt idx="468">
                        <c:v>11.47156490000043</c:v>
                      </c:pt>
                      <c:pt idx="469">
                        <c:v>11.502535600000101</c:v>
                      </c:pt>
                      <c:pt idx="470">
                        <c:v>11.534924500000216</c:v>
                      </c:pt>
                      <c:pt idx="471">
                        <c:v>11.565958300000148</c:v>
                      </c:pt>
                      <c:pt idx="472">
                        <c:v>11.59783920000018</c:v>
                      </c:pt>
                      <c:pt idx="473">
                        <c:v>11.644704600000296</c:v>
                      </c:pt>
                      <c:pt idx="474">
                        <c:v>11.675825900000291</c:v>
                      </c:pt>
                      <c:pt idx="475">
                        <c:v>11.706475600000431</c:v>
                      </c:pt>
                      <c:pt idx="476">
                        <c:v>11.737749000000349</c:v>
                      </c:pt>
                      <c:pt idx="477">
                        <c:v>11.76921160000029</c:v>
                      </c:pt>
                      <c:pt idx="478">
                        <c:v>11.800858600000083</c:v>
                      </c:pt>
                      <c:pt idx="479">
                        <c:v>11.832110300000295</c:v>
                      </c:pt>
                      <c:pt idx="480">
                        <c:v>11.847406900000351</c:v>
                      </c:pt>
                      <c:pt idx="481">
                        <c:v>11.894228900000144</c:v>
                      </c:pt>
                      <c:pt idx="482">
                        <c:v>11.92492110000012</c:v>
                      </c:pt>
                      <c:pt idx="483">
                        <c:v>11.955142800000431</c:v>
                      </c:pt>
                      <c:pt idx="484">
                        <c:v>12.000833200000216</c:v>
                      </c:pt>
                      <c:pt idx="485">
                        <c:v>12.016915900000186</c:v>
                      </c:pt>
                      <c:pt idx="486">
                        <c:v>12.063823899999988</c:v>
                      </c:pt>
                      <c:pt idx="487">
                        <c:v>12.094814100000349</c:v>
                      </c:pt>
                      <c:pt idx="488">
                        <c:v>12.125114600000416</c:v>
                      </c:pt>
                      <c:pt idx="489">
                        <c:v>12.15568790000043</c:v>
                      </c:pt>
                      <c:pt idx="490">
                        <c:v>12.186626400000023</c:v>
                      </c:pt>
                      <c:pt idx="491">
                        <c:v>12.218306000000211</c:v>
                      </c:pt>
                      <c:pt idx="492">
                        <c:v>12.249259600000187</c:v>
                      </c:pt>
                      <c:pt idx="493">
                        <c:v>12.296085400000266</c:v>
                      </c:pt>
                      <c:pt idx="494">
                        <c:v>12.326275300000361</c:v>
                      </c:pt>
                      <c:pt idx="495">
                        <c:v>12.357014600000184</c:v>
                      </c:pt>
                      <c:pt idx="496">
                        <c:v>12.388153500000044</c:v>
                      </c:pt>
                      <c:pt idx="497">
                        <c:v>12.4197750000003</c:v>
                      </c:pt>
                      <c:pt idx="498">
                        <c:v>12.451095400000213</c:v>
                      </c:pt>
                      <c:pt idx="499">
                        <c:v>12.482295500000419</c:v>
                      </c:pt>
                      <c:pt idx="500">
                        <c:v>12.513406000000032</c:v>
                      </c:pt>
                      <c:pt idx="501">
                        <c:v>12.545510300000387</c:v>
                      </c:pt>
                      <c:pt idx="502">
                        <c:v>12.576301700000386</c:v>
                      </c:pt>
                      <c:pt idx="503">
                        <c:v>12.607888900000034</c:v>
                      </c:pt>
                      <c:pt idx="504">
                        <c:v>12.638797200000226</c:v>
                      </c:pt>
                      <c:pt idx="505">
                        <c:v>12.670864300000176</c:v>
                      </c:pt>
                      <c:pt idx="506">
                        <c:v>12.702406300000348</c:v>
                      </c:pt>
                      <c:pt idx="507">
                        <c:v>12.748906799999986</c:v>
                      </c:pt>
                      <c:pt idx="508">
                        <c:v>12.780055300000186</c:v>
                      </c:pt>
                      <c:pt idx="509">
                        <c:v>12.810586700000385</c:v>
                      </c:pt>
                      <c:pt idx="510">
                        <c:v>12.840667400000257</c:v>
                      </c:pt>
                      <c:pt idx="511">
                        <c:v>12.87273660000028</c:v>
                      </c:pt>
                      <c:pt idx="512">
                        <c:v>12.919059700000162</c:v>
                      </c:pt>
                      <c:pt idx="513">
                        <c:v>12.950166000000081</c:v>
                      </c:pt>
                      <c:pt idx="514">
                        <c:v>12.965575600000193</c:v>
                      </c:pt>
                      <c:pt idx="515">
                        <c:v>12.996916700000384</c:v>
                      </c:pt>
                      <c:pt idx="516">
                        <c:v>13.027586500000325</c:v>
                      </c:pt>
                      <c:pt idx="517">
                        <c:v>13.058944500000052</c:v>
                      </c:pt>
                      <c:pt idx="518">
                        <c:v>13.089599500000077</c:v>
                      </c:pt>
                      <c:pt idx="519">
                        <c:v>13.136956600000303</c:v>
                      </c:pt>
                      <c:pt idx="520">
                        <c:v>13.167147800000294</c:v>
                      </c:pt>
                      <c:pt idx="521">
                        <c:v>13.197788200000105</c:v>
                      </c:pt>
                      <c:pt idx="522">
                        <c:v>13.243707000000086</c:v>
                      </c:pt>
                      <c:pt idx="523">
                        <c:v>13.30562800000007</c:v>
                      </c:pt>
                      <c:pt idx="524">
                        <c:v>13.320852300000297</c:v>
                      </c:pt>
                      <c:pt idx="525">
                        <c:v>13.336251400000037</c:v>
                      </c:pt>
                      <c:pt idx="526">
                        <c:v>13.367295000000013</c:v>
                      </c:pt>
                      <c:pt idx="527">
                        <c:v>13.397435500000029</c:v>
                      </c:pt>
                      <c:pt idx="528">
                        <c:v>13.429170900000372</c:v>
                      </c:pt>
                      <c:pt idx="529">
                        <c:v>13.460952700000234</c:v>
                      </c:pt>
                      <c:pt idx="530">
                        <c:v>13.492381000000023</c:v>
                      </c:pt>
                      <c:pt idx="531">
                        <c:v>13.523081499999989</c:v>
                      </c:pt>
                      <c:pt idx="532">
                        <c:v>13.555078700000195</c:v>
                      </c:pt>
                      <c:pt idx="533">
                        <c:v>13.587006100000053</c:v>
                      </c:pt>
                      <c:pt idx="534">
                        <c:v>13.619073000000299</c:v>
                      </c:pt>
                      <c:pt idx="535">
                        <c:v>13.650212200000169</c:v>
                      </c:pt>
                      <c:pt idx="536">
                        <c:v>13.681003300000157</c:v>
                      </c:pt>
                      <c:pt idx="537">
                        <c:v>13.712306100000205</c:v>
                      </c:pt>
                      <c:pt idx="538">
                        <c:v>13.758961900000031</c:v>
                      </c:pt>
                      <c:pt idx="539">
                        <c:v>13.789472500000102</c:v>
                      </c:pt>
                      <c:pt idx="540">
                        <c:v>13.822084700000232</c:v>
                      </c:pt>
                      <c:pt idx="541">
                        <c:v>13.852689600000303</c:v>
                      </c:pt>
                      <c:pt idx="542">
                        <c:v>13.883946300000389</c:v>
                      </c:pt>
                      <c:pt idx="543">
                        <c:v>13.914673300000231</c:v>
                      </c:pt>
                      <c:pt idx="544">
                        <c:v>13.945167700000184</c:v>
                      </c:pt>
                      <c:pt idx="545">
                        <c:v>13.992031400000087</c:v>
                      </c:pt>
                      <c:pt idx="546">
                        <c:v>14.023872700000084</c:v>
                      </c:pt>
                      <c:pt idx="547">
                        <c:v>14.054001299999982</c:v>
                      </c:pt>
                      <c:pt idx="548">
                        <c:v>14.069429500000297</c:v>
                      </c:pt>
                      <c:pt idx="549">
                        <c:v>14.100932499999999</c:v>
                      </c:pt>
                      <c:pt idx="550">
                        <c:v>14.14680670000007</c:v>
                      </c:pt>
                      <c:pt idx="551">
                        <c:v>14.17827780000016</c:v>
                      </c:pt>
                      <c:pt idx="552">
                        <c:v>14.209291300000132</c:v>
                      </c:pt>
                      <c:pt idx="553">
                        <c:v>14.240556100000049</c:v>
                      </c:pt>
                      <c:pt idx="554">
                        <c:v>14.271950000000288</c:v>
                      </c:pt>
                      <c:pt idx="555">
                        <c:v>14.303397800000312</c:v>
                      </c:pt>
                      <c:pt idx="556">
                        <c:v>14.333667700000206</c:v>
                      </c:pt>
                      <c:pt idx="557">
                        <c:v>14.380823100000271</c:v>
                      </c:pt>
                      <c:pt idx="558">
                        <c:v>14.411975400000301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'Maju 0.1'!$M$7:$M$565</c15:sqref>
                        </c15:formulaRef>
                      </c:ext>
                    </c:extLst>
                    <c:numCache>
                      <c:formatCode>General</c:formatCode>
                      <c:ptCount val="55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</c:v>
                      </c:pt>
                      <c:pt idx="203">
                        <c:v>0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</c:v>
                      </c:pt>
                      <c:pt idx="210">
                        <c:v>0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</c:v>
                      </c:pt>
                      <c:pt idx="218">
                        <c:v>0</c:v>
                      </c:pt>
                      <c:pt idx="219">
                        <c:v>0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</c:v>
                      </c:pt>
                      <c:pt idx="224">
                        <c:v>0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</c:v>
                      </c:pt>
                      <c:pt idx="237">
                        <c:v>0</c:v>
                      </c:pt>
                      <c:pt idx="238">
                        <c:v>0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2">
                        <c:v>43.547719999999998</c:v>
                      </c:pt>
                      <c:pt idx="253">
                        <c:v>43.399510226369301</c:v>
                      </c:pt>
                      <c:pt idx="254">
                        <c:v>43.706012798231001</c:v>
                      </c:pt>
                      <c:pt idx="255">
                        <c:v>44.552231100176797</c:v>
                      </c:pt>
                      <c:pt idx="256">
                        <c:v>45.473978832654602</c:v>
                      </c:pt>
                      <c:pt idx="257">
                        <c:v>46.627449389442297</c:v>
                      </c:pt>
                      <c:pt idx="258">
                        <c:v>47.721848635003298</c:v>
                      </c:pt>
                      <c:pt idx="259">
                        <c:v>48.870145131601703</c:v>
                      </c:pt>
                      <c:pt idx="260">
                        <c:v>50.075490988117103</c:v>
                      </c:pt>
                      <c:pt idx="261">
                        <c:v>51.365767098946499</c:v>
                      </c:pt>
                      <c:pt idx="262">
                        <c:v>52.731115787156099</c:v>
                      </c:pt>
                      <c:pt idx="263">
                        <c:v>53.832905373869501</c:v>
                      </c:pt>
                      <c:pt idx="264">
                        <c:v>54.519748935239697</c:v>
                      </c:pt>
                      <c:pt idx="265">
                        <c:v>55.294791599857398</c:v>
                      </c:pt>
                      <c:pt idx="266">
                        <c:v>56.627269841491099</c:v>
                      </c:pt>
                      <c:pt idx="267">
                        <c:v>57.107658238318002</c:v>
                      </c:pt>
                      <c:pt idx="268">
                        <c:v>58.145529776792998</c:v>
                      </c:pt>
                      <c:pt idx="269">
                        <c:v>59.194437876320599</c:v>
                      </c:pt>
                      <c:pt idx="270">
                        <c:v>60.316416111509497</c:v>
                      </c:pt>
                      <c:pt idx="271">
                        <c:v>61.483765095936</c:v>
                      </c:pt>
                      <c:pt idx="272">
                        <c:v>62.724383898813201</c:v>
                      </c:pt>
                      <c:pt idx="273">
                        <c:v>63.590520970445901</c:v>
                      </c:pt>
                      <c:pt idx="274">
                        <c:v>64.066931306427506</c:v>
                      </c:pt>
                      <c:pt idx="275">
                        <c:v>65.3231785566947</c:v>
                      </c:pt>
                      <c:pt idx="276">
                        <c:v>66.386645030740397</c:v>
                      </c:pt>
                      <c:pt idx="277">
                        <c:v>67.851590553699495</c:v>
                      </c:pt>
                      <c:pt idx="278">
                        <c:v>69.392184959774994</c:v>
                      </c:pt>
                      <c:pt idx="279">
                        <c:v>70.514980581166398</c:v>
                      </c:pt>
                      <c:pt idx="280">
                        <c:v>71.321378291341304</c:v>
                      </c:pt>
                      <c:pt idx="281">
                        <c:v>72.857175504815203</c:v>
                      </c:pt>
                      <c:pt idx="282">
                        <c:v>74.317475189273296</c:v>
                      </c:pt>
                      <c:pt idx="283">
                        <c:v>75.981805939872402</c:v>
                      </c:pt>
                      <c:pt idx="284">
                        <c:v>77.714759861313496</c:v>
                      </c:pt>
                      <c:pt idx="285">
                        <c:v>79.439373828025197</c:v>
                      </c:pt>
                      <c:pt idx="286">
                        <c:v>81.0758195577084</c:v>
                      </c:pt>
                      <c:pt idx="287">
                        <c:v>82.793492218735906</c:v>
                      </c:pt>
                      <c:pt idx="288">
                        <c:v>84.308631222085495</c:v>
                      </c:pt>
                      <c:pt idx="289">
                        <c:v>85.988283654193495</c:v>
                      </c:pt>
                      <c:pt idx="290">
                        <c:v>87.594103130555695</c:v>
                      </c:pt>
                      <c:pt idx="291">
                        <c:v>89.118973844071405</c:v>
                      </c:pt>
                      <c:pt idx="292">
                        <c:v>91.412334258681597</c:v>
                      </c:pt>
                      <c:pt idx="293">
                        <c:v>93.507051502899898</c:v>
                      </c:pt>
                      <c:pt idx="294">
                        <c:v>96.309125767298497</c:v>
                      </c:pt>
                      <c:pt idx="295">
                        <c:v>98.130403603869695</c:v>
                      </c:pt>
                      <c:pt idx="296">
                        <c:v>99.814800828035004</c:v>
                      </c:pt>
                      <c:pt idx="297">
                        <c:v>101.38718320026901</c:v>
                      </c:pt>
                      <c:pt idx="298">
                        <c:v>104.01042034673399</c:v>
                      </c:pt>
                      <c:pt idx="299">
                        <c:v>106.956758738262</c:v>
                      </c:pt>
                      <c:pt idx="300">
                        <c:v>109.783795699232</c:v>
                      </c:pt>
                      <c:pt idx="301">
                        <c:v>112.468497970389</c:v>
                      </c:pt>
                      <c:pt idx="302">
                        <c:v>115.736752622279</c:v>
                      </c:pt>
                      <c:pt idx="303">
                        <c:v>118.214728528389</c:v>
                      </c:pt>
                      <c:pt idx="304">
                        <c:v>119.98163411319899</c:v>
                      </c:pt>
                      <c:pt idx="305">
                        <c:v>123.069461205282</c:v>
                      </c:pt>
                      <c:pt idx="306">
                        <c:v>126.063634595008</c:v>
                      </c:pt>
                      <c:pt idx="307">
                        <c:v>128.342879323902</c:v>
                      </c:pt>
                      <c:pt idx="308">
                        <c:v>130.939367204343</c:v>
                      </c:pt>
                      <c:pt idx="309">
                        <c:v>133.31785745665499</c:v>
                      </c:pt>
                      <c:pt idx="310">
                        <c:v>135.99991245228301</c:v>
                      </c:pt>
                      <c:pt idx="311">
                        <c:v>138.644111016805</c:v>
                      </c:pt>
                      <c:pt idx="312">
                        <c:v>141.22830562175699</c:v>
                      </c:pt>
                      <c:pt idx="313">
                        <c:v>143.90866585031199</c:v>
                      </c:pt>
                      <c:pt idx="314">
                        <c:v>146.808717179307</c:v>
                      </c:pt>
                      <c:pt idx="315">
                        <c:v>149.92867696203001</c:v>
                      </c:pt>
                      <c:pt idx="316">
                        <c:v>152.98360261395999</c:v>
                      </c:pt>
                      <c:pt idx="317">
                        <c:v>155.11187545363401</c:v>
                      </c:pt>
                      <c:pt idx="318">
                        <c:v>157.95757684445499</c:v>
                      </c:pt>
                      <c:pt idx="319">
                        <c:v>160.757396631619</c:v>
                      </c:pt>
                      <c:pt idx="320">
                        <c:v>163.89290221491601</c:v>
                      </c:pt>
                      <c:pt idx="321">
                        <c:v>166.53280433468601</c:v>
                      </c:pt>
                      <c:pt idx="322">
                        <c:v>169.910017850907</c:v>
                      </c:pt>
                      <c:pt idx="323">
                        <c:v>172.07624759328101</c:v>
                      </c:pt>
                      <c:pt idx="324">
                        <c:v>174.60614951166801</c:v>
                      </c:pt>
                      <c:pt idx="325">
                        <c:v>177.064303161211</c:v>
                      </c:pt>
                      <c:pt idx="326">
                        <c:v>180.64577884098401</c:v>
                      </c:pt>
                      <c:pt idx="327">
                        <c:v>183.84014235439</c:v>
                      </c:pt>
                      <c:pt idx="328">
                        <c:v>186.98430643705001</c:v>
                      </c:pt>
                      <c:pt idx="329">
                        <c:v>190.070403287478</c:v>
                      </c:pt>
                      <c:pt idx="330">
                        <c:v>192.34085754942001</c:v>
                      </c:pt>
                      <c:pt idx="331">
                        <c:v>195.379232292822</c:v>
                      </c:pt>
                      <c:pt idx="332">
                        <c:v>198.69139973501601</c:v>
                      </c:pt>
                      <c:pt idx="333">
                        <c:v>201.657851013347</c:v>
                      </c:pt>
                      <c:pt idx="334">
                        <c:v>204.706739527726</c:v>
                      </c:pt>
                      <c:pt idx="335">
                        <c:v>207.58398218539401</c:v>
                      </c:pt>
                      <c:pt idx="336">
                        <c:v>210.300320513549</c:v>
                      </c:pt>
                      <c:pt idx="337">
                        <c:v>213.090052467687</c:v>
                      </c:pt>
                      <c:pt idx="338">
                        <c:v>215.873006711427</c:v>
                      </c:pt>
                      <c:pt idx="339">
                        <c:v>219.449540562648</c:v>
                      </c:pt>
                      <c:pt idx="340">
                        <c:v>222.14052279524299</c:v>
                      </c:pt>
                      <c:pt idx="341">
                        <c:v>224.891910968085</c:v>
                      </c:pt>
                      <c:pt idx="342">
                        <c:v>227.65488022410099</c:v>
                      </c:pt>
                      <c:pt idx="343">
                        <c:v>230.41881230606</c:v>
                      </c:pt>
                      <c:pt idx="344">
                        <c:v>232.76372217464399</c:v>
                      </c:pt>
                      <c:pt idx="345">
                        <c:v>235.653691336609</c:v>
                      </c:pt>
                      <c:pt idx="346">
                        <c:v>239.13718131901501</c:v>
                      </c:pt>
                      <c:pt idx="347">
                        <c:v>241.79145676174201</c:v>
                      </c:pt>
                      <c:pt idx="348">
                        <c:v>244.42427276958901</c:v>
                      </c:pt>
                      <c:pt idx="349">
                        <c:v>247.66199522483299</c:v>
                      </c:pt>
                      <c:pt idx="350">
                        <c:v>251.03205286314</c:v>
                      </c:pt>
                      <c:pt idx="351">
                        <c:v>253.92145613837499</c:v>
                      </c:pt>
                      <c:pt idx="352">
                        <c:v>256.24653636221899</c:v>
                      </c:pt>
                      <c:pt idx="353">
                        <c:v>258.74456571772299</c:v>
                      </c:pt>
                      <c:pt idx="354">
                        <c:v>261.82202325789501</c:v>
                      </c:pt>
                      <c:pt idx="355">
                        <c:v>265.04923656696599</c:v>
                      </c:pt>
                      <c:pt idx="356">
                        <c:v>267.99565645921803</c:v>
                      </c:pt>
                      <c:pt idx="357">
                        <c:v>271.021070971808</c:v>
                      </c:pt>
                      <c:pt idx="358">
                        <c:v>274.21320306952401</c:v>
                      </c:pt>
                      <c:pt idx="359">
                        <c:v>277.00675790935702</c:v>
                      </c:pt>
                      <c:pt idx="360">
                        <c:v>279.37883720135</c:v>
                      </c:pt>
                      <c:pt idx="361">
                        <c:v>281.86363158822297</c:v>
                      </c:pt>
                      <c:pt idx="362">
                        <c:v>285.04646287466602</c:v>
                      </c:pt>
                      <c:pt idx="363">
                        <c:v>288.236402477345</c:v>
                      </c:pt>
                      <c:pt idx="364">
                        <c:v>290.62513461799898</c:v>
                      </c:pt>
                      <c:pt idx="365">
                        <c:v>294.15157235824</c:v>
                      </c:pt>
                      <c:pt idx="366">
                        <c:v>297.60533630615902</c:v>
                      </c:pt>
                      <c:pt idx="367">
                        <c:v>300.79119027235402</c:v>
                      </c:pt>
                      <c:pt idx="368">
                        <c:v>303.27379983001299</c:v>
                      </c:pt>
                      <c:pt idx="369">
                        <c:v>306.05860030911299</c:v>
                      </c:pt>
                      <c:pt idx="370">
                        <c:v>309.27890031855202</c:v>
                      </c:pt>
                      <c:pt idx="371">
                        <c:v>311.702935632954</c:v>
                      </c:pt>
                      <c:pt idx="372">
                        <c:v>314.22745276016099</c:v>
                      </c:pt>
                      <c:pt idx="373">
                        <c:v>317.053592339663</c:v>
                      </c:pt>
                      <c:pt idx="374">
                        <c:v>319.541781595327</c:v>
                      </c:pt>
                      <c:pt idx="375">
                        <c:v>322.13763828690099</c:v>
                      </c:pt>
                      <c:pt idx="377">
                        <c:v>322.13763828690099</c:v>
                      </c:pt>
                      <c:pt idx="378">
                        <c:v>322.13763828690099</c:v>
                      </c:pt>
                      <c:pt idx="379">
                        <c:v>322.13763828690099</c:v>
                      </c:pt>
                      <c:pt idx="380">
                        <c:v>322.13763828690099</c:v>
                      </c:pt>
                      <c:pt idx="381">
                        <c:v>322.13763828690099</c:v>
                      </c:pt>
                      <c:pt idx="382">
                        <c:v>322.13763828690099</c:v>
                      </c:pt>
                      <c:pt idx="383">
                        <c:v>322.13763828690099</c:v>
                      </c:pt>
                      <c:pt idx="384">
                        <c:v>322.13763828690099</c:v>
                      </c:pt>
                      <c:pt idx="385">
                        <c:v>322.13763828690099</c:v>
                      </c:pt>
                      <c:pt idx="386">
                        <c:v>322.13763828690099</c:v>
                      </c:pt>
                      <c:pt idx="387">
                        <c:v>322.13763828690099</c:v>
                      </c:pt>
                      <c:pt idx="388">
                        <c:v>322.13763828690099</c:v>
                      </c:pt>
                      <c:pt idx="389">
                        <c:v>322.13763828690099</c:v>
                      </c:pt>
                      <c:pt idx="390">
                        <c:v>322.13763828690099</c:v>
                      </c:pt>
                      <c:pt idx="391">
                        <c:v>322.13763828690099</c:v>
                      </c:pt>
                      <c:pt idx="392">
                        <c:v>322.13763828690099</c:v>
                      </c:pt>
                      <c:pt idx="393">
                        <c:v>322.13763828690099</c:v>
                      </c:pt>
                      <c:pt idx="394">
                        <c:v>322.13763828690099</c:v>
                      </c:pt>
                      <c:pt idx="395">
                        <c:v>322.13763828690099</c:v>
                      </c:pt>
                      <c:pt idx="396">
                        <c:v>322.13763828690099</c:v>
                      </c:pt>
                      <c:pt idx="397">
                        <c:v>322.13763828690099</c:v>
                      </c:pt>
                      <c:pt idx="398">
                        <c:v>322.13763828690099</c:v>
                      </c:pt>
                      <c:pt idx="399">
                        <c:v>322.13763828690099</c:v>
                      </c:pt>
                      <c:pt idx="400">
                        <c:v>322.13763828690099</c:v>
                      </c:pt>
                      <c:pt idx="401">
                        <c:v>322.13763828690099</c:v>
                      </c:pt>
                      <c:pt idx="402">
                        <c:v>322.13763828690099</c:v>
                      </c:pt>
                      <c:pt idx="403">
                        <c:v>322.13763828690099</c:v>
                      </c:pt>
                      <c:pt idx="404">
                        <c:v>322.13763828690099</c:v>
                      </c:pt>
                      <c:pt idx="405">
                        <c:v>322.13763828690099</c:v>
                      </c:pt>
                      <c:pt idx="406">
                        <c:v>322.13763828690099</c:v>
                      </c:pt>
                      <c:pt idx="407">
                        <c:v>322.13763828690099</c:v>
                      </c:pt>
                      <c:pt idx="409">
                        <c:v>322.13763828690099</c:v>
                      </c:pt>
                      <c:pt idx="410">
                        <c:v>322.13763828690099</c:v>
                      </c:pt>
                      <c:pt idx="411">
                        <c:v>322.13763828690099</c:v>
                      </c:pt>
                      <c:pt idx="412">
                        <c:v>322.13763828690099</c:v>
                      </c:pt>
                      <c:pt idx="413">
                        <c:v>322.13763828690099</c:v>
                      </c:pt>
                      <c:pt idx="414">
                        <c:v>322.13763828690099</c:v>
                      </c:pt>
                      <c:pt idx="415">
                        <c:v>322.13763828690099</c:v>
                      </c:pt>
                      <c:pt idx="416">
                        <c:v>322.13763828690099</c:v>
                      </c:pt>
                      <c:pt idx="417">
                        <c:v>322.13763828690099</c:v>
                      </c:pt>
                      <c:pt idx="418">
                        <c:v>322.13763828690099</c:v>
                      </c:pt>
                      <c:pt idx="419">
                        <c:v>322.13763828690099</c:v>
                      </c:pt>
                      <c:pt idx="420">
                        <c:v>322.13763828690099</c:v>
                      </c:pt>
                      <c:pt idx="421">
                        <c:v>322.13763828690099</c:v>
                      </c:pt>
                      <c:pt idx="422">
                        <c:v>322.13763828690099</c:v>
                      </c:pt>
                      <c:pt idx="423">
                        <c:v>322.13763828690099</c:v>
                      </c:pt>
                      <c:pt idx="424">
                        <c:v>322.13763828690099</c:v>
                      </c:pt>
                      <c:pt idx="425">
                        <c:v>322.13763828690099</c:v>
                      </c:pt>
                      <c:pt idx="426">
                        <c:v>322.13763828690099</c:v>
                      </c:pt>
                      <c:pt idx="427">
                        <c:v>322.13763828690099</c:v>
                      </c:pt>
                      <c:pt idx="428">
                        <c:v>322.13763828690099</c:v>
                      </c:pt>
                      <c:pt idx="429">
                        <c:v>322.13763828690099</c:v>
                      </c:pt>
                      <c:pt idx="430">
                        <c:v>322.13763828690099</c:v>
                      </c:pt>
                      <c:pt idx="431">
                        <c:v>322.13763828690099</c:v>
                      </c:pt>
                      <c:pt idx="432">
                        <c:v>322.13763828690099</c:v>
                      </c:pt>
                      <c:pt idx="433">
                        <c:v>322.13763828690099</c:v>
                      </c:pt>
                      <c:pt idx="434">
                        <c:v>322.13763828690099</c:v>
                      </c:pt>
                      <c:pt idx="435">
                        <c:v>322.13763828690099</c:v>
                      </c:pt>
                      <c:pt idx="436">
                        <c:v>322.13763828690099</c:v>
                      </c:pt>
                      <c:pt idx="437">
                        <c:v>322.13763828690099</c:v>
                      </c:pt>
                      <c:pt idx="438">
                        <c:v>322.13763828690099</c:v>
                      </c:pt>
                      <c:pt idx="439">
                        <c:v>322.13763828690099</c:v>
                      </c:pt>
                      <c:pt idx="440">
                        <c:v>322.13763828690099</c:v>
                      </c:pt>
                      <c:pt idx="441">
                        <c:v>322.13763828690099</c:v>
                      </c:pt>
                      <c:pt idx="442">
                        <c:v>322.13763828690099</c:v>
                      </c:pt>
                      <c:pt idx="443">
                        <c:v>322.13763828690099</c:v>
                      </c:pt>
                      <c:pt idx="444">
                        <c:v>322.13763828690099</c:v>
                      </c:pt>
                      <c:pt idx="445">
                        <c:v>322.13763828690099</c:v>
                      </c:pt>
                      <c:pt idx="446">
                        <c:v>322.13763828690099</c:v>
                      </c:pt>
                      <c:pt idx="447">
                        <c:v>322.13763828690099</c:v>
                      </c:pt>
                      <c:pt idx="448">
                        <c:v>322.13763828690099</c:v>
                      </c:pt>
                      <c:pt idx="449">
                        <c:v>322.13763828690099</c:v>
                      </c:pt>
                      <c:pt idx="450">
                        <c:v>322.13763828690099</c:v>
                      </c:pt>
                      <c:pt idx="451">
                        <c:v>322.13763828690099</c:v>
                      </c:pt>
                      <c:pt idx="452">
                        <c:v>322.13763828690099</c:v>
                      </c:pt>
                      <c:pt idx="453">
                        <c:v>322.13763828690099</c:v>
                      </c:pt>
                      <c:pt idx="454">
                        <c:v>322.13763828690099</c:v>
                      </c:pt>
                      <c:pt idx="455">
                        <c:v>322.13763828690099</c:v>
                      </c:pt>
                      <c:pt idx="456">
                        <c:v>322.13763828690099</c:v>
                      </c:pt>
                      <c:pt idx="457">
                        <c:v>322.13763828690099</c:v>
                      </c:pt>
                      <c:pt idx="458">
                        <c:v>322.13763828690099</c:v>
                      </c:pt>
                      <c:pt idx="459">
                        <c:v>322.13763828690099</c:v>
                      </c:pt>
                      <c:pt idx="460">
                        <c:v>322.13763828690099</c:v>
                      </c:pt>
                      <c:pt idx="461">
                        <c:v>322.13763828690099</c:v>
                      </c:pt>
                      <c:pt idx="462">
                        <c:v>322.13763828690099</c:v>
                      </c:pt>
                      <c:pt idx="463">
                        <c:v>322.13763828690099</c:v>
                      </c:pt>
                      <c:pt idx="464">
                        <c:v>322.13763828690099</c:v>
                      </c:pt>
                      <c:pt idx="465">
                        <c:v>322.13763828690099</c:v>
                      </c:pt>
                      <c:pt idx="466">
                        <c:v>322.13763828690099</c:v>
                      </c:pt>
                      <c:pt idx="467">
                        <c:v>322.13763828690099</c:v>
                      </c:pt>
                      <c:pt idx="468">
                        <c:v>322.13763828690099</c:v>
                      </c:pt>
                      <c:pt idx="469">
                        <c:v>322.13763828690099</c:v>
                      </c:pt>
                      <c:pt idx="470">
                        <c:v>322.13763828690099</c:v>
                      </c:pt>
                      <c:pt idx="471">
                        <c:v>322.13763828690099</c:v>
                      </c:pt>
                      <c:pt idx="472">
                        <c:v>322.13763828690099</c:v>
                      </c:pt>
                      <c:pt idx="473">
                        <c:v>322.13763828690099</c:v>
                      </c:pt>
                      <c:pt idx="474">
                        <c:v>322.13763828690099</c:v>
                      </c:pt>
                      <c:pt idx="475">
                        <c:v>322.13763828690099</c:v>
                      </c:pt>
                      <c:pt idx="476">
                        <c:v>322.13763828690099</c:v>
                      </c:pt>
                      <c:pt idx="477">
                        <c:v>322.13763828690099</c:v>
                      </c:pt>
                      <c:pt idx="478">
                        <c:v>322.13763828690099</c:v>
                      </c:pt>
                      <c:pt idx="479">
                        <c:v>322.13763828690099</c:v>
                      </c:pt>
                      <c:pt idx="480">
                        <c:v>322.13763828690099</c:v>
                      </c:pt>
                      <c:pt idx="481">
                        <c:v>322.13763828690099</c:v>
                      </c:pt>
                      <c:pt idx="482">
                        <c:v>322.13763828690099</c:v>
                      </c:pt>
                      <c:pt idx="483">
                        <c:v>322.13763828690099</c:v>
                      </c:pt>
                      <c:pt idx="484">
                        <c:v>322.13763828690099</c:v>
                      </c:pt>
                      <c:pt idx="485">
                        <c:v>322.13763828690099</c:v>
                      </c:pt>
                      <c:pt idx="486">
                        <c:v>322.13763828690099</c:v>
                      </c:pt>
                      <c:pt idx="487">
                        <c:v>322.13763828690099</c:v>
                      </c:pt>
                      <c:pt idx="488">
                        <c:v>322.13763828690099</c:v>
                      </c:pt>
                      <c:pt idx="489">
                        <c:v>322.13763828690099</c:v>
                      </c:pt>
                      <c:pt idx="490">
                        <c:v>322.13763828690099</c:v>
                      </c:pt>
                      <c:pt idx="491">
                        <c:v>322.13763828690099</c:v>
                      </c:pt>
                      <c:pt idx="492">
                        <c:v>322.13763828690099</c:v>
                      </c:pt>
                      <c:pt idx="493">
                        <c:v>322.13763828690099</c:v>
                      </c:pt>
                      <c:pt idx="494">
                        <c:v>322.13763828690099</c:v>
                      </c:pt>
                      <c:pt idx="495">
                        <c:v>322.13763828690099</c:v>
                      </c:pt>
                      <c:pt idx="496">
                        <c:v>322.13763828690099</c:v>
                      </c:pt>
                      <c:pt idx="497">
                        <c:v>322.13763828690099</c:v>
                      </c:pt>
                      <c:pt idx="498">
                        <c:v>322.13763828690099</c:v>
                      </c:pt>
                      <c:pt idx="499">
                        <c:v>322.13763828690099</c:v>
                      </c:pt>
                      <c:pt idx="500">
                        <c:v>322.13763828690099</c:v>
                      </c:pt>
                      <c:pt idx="501">
                        <c:v>322.13763828690099</c:v>
                      </c:pt>
                      <c:pt idx="502">
                        <c:v>322.13763828690099</c:v>
                      </c:pt>
                      <c:pt idx="503">
                        <c:v>322.13763828690099</c:v>
                      </c:pt>
                      <c:pt idx="504">
                        <c:v>322.13763828690099</c:v>
                      </c:pt>
                      <c:pt idx="505">
                        <c:v>322.13763828690099</c:v>
                      </c:pt>
                      <c:pt idx="506">
                        <c:v>322.13763828690099</c:v>
                      </c:pt>
                      <c:pt idx="507">
                        <c:v>322.13763828690099</c:v>
                      </c:pt>
                      <c:pt idx="508">
                        <c:v>322.13763828690099</c:v>
                      </c:pt>
                      <c:pt idx="509">
                        <c:v>322.13763828690099</c:v>
                      </c:pt>
                      <c:pt idx="510">
                        <c:v>322.13763828690099</c:v>
                      </c:pt>
                      <c:pt idx="511">
                        <c:v>322.13763828690099</c:v>
                      </c:pt>
                      <c:pt idx="512">
                        <c:v>322.13763828690099</c:v>
                      </c:pt>
                      <c:pt idx="513">
                        <c:v>322.13763828690099</c:v>
                      </c:pt>
                      <c:pt idx="514">
                        <c:v>322.13763828690099</c:v>
                      </c:pt>
                      <c:pt idx="515">
                        <c:v>322.13763828690099</c:v>
                      </c:pt>
                      <c:pt idx="516">
                        <c:v>322.13763828690099</c:v>
                      </c:pt>
                      <c:pt idx="517">
                        <c:v>322.13763828690099</c:v>
                      </c:pt>
                      <c:pt idx="518">
                        <c:v>322.13763828690099</c:v>
                      </c:pt>
                      <c:pt idx="519">
                        <c:v>322.13763828690099</c:v>
                      </c:pt>
                      <c:pt idx="520">
                        <c:v>322.13763828690099</c:v>
                      </c:pt>
                      <c:pt idx="521">
                        <c:v>322.13763828690099</c:v>
                      </c:pt>
                      <c:pt idx="522">
                        <c:v>322.13763828690099</c:v>
                      </c:pt>
                      <c:pt idx="523">
                        <c:v>322.13763828690099</c:v>
                      </c:pt>
                      <c:pt idx="524">
                        <c:v>322.13763828690099</c:v>
                      </c:pt>
                      <c:pt idx="525">
                        <c:v>322.13763828690099</c:v>
                      </c:pt>
                      <c:pt idx="526">
                        <c:v>322.13763828690099</c:v>
                      </c:pt>
                      <c:pt idx="527">
                        <c:v>322.13763828690099</c:v>
                      </c:pt>
                      <c:pt idx="528">
                        <c:v>322.13763828690099</c:v>
                      </c:pt>
                      <c:pt idx="529">
                        <c:v>322.13763828690099</c:v>
                      </c:pt>
                      <c:pt idx="530">
                        <c:v>322.13763828690099</c:v>
                      </c:pt>
                      <c:pt idx="531">
                        <c:v>322.13763828690099</c:v>
                      </c:pt>
                      <c:pt idx="532">
                        <c:v>322.13763828690099</c:v>
                      </c:pt>
                      <c:pt idx="533">
                        <c:v>322.13763828690099</c:v>
                      </c:pt>
                      <c:pt idx="534">
                        <c:v>322.13763828690099</c:v>
                      </c:pt>
                      <c:pt idx="535">
                        <c:v>322.13763828690099</c:v>
                      </c:pt>
                      <c:pt idx="536">
                        <c:v>322.13763828690099</c:v>
                      </c:pt>
                      <c:pt idx="537">
                        <c:v>322.13763828690099</c:v>
                      </c:pt>
                      <c:pt idx="538">
                        <c:v>322.13763828690099</c:v>
                      </c:pt>
                      <c:pt idx="539">
                        <c:v>322.13763828690099</c:v>
                      </c:pt>
                      <c:pt idx="540">
                        <c:v>322.13763828690099</c:v>
                      </c:pt>
                      <c:pt idx="541">
                        <c:v>322.13763828690099</c:v>
                      </c:pt>
                      <c:pt idx="542">
                        <c:v>322.13763828690099</c:v>
                      </c:pt>
                      <c:pt idx="543">
                        <c:v>322.13763828690099</c:v>
                      </c:pt>
                      <c:pt idx="544">
                        <c:v>322.13763828690099</c:v>
                      </c:pt>
                      <c:pt idx="545">
                        <c:v>322.13763828690099</c:v>
                      </c:pt>
                      <c:pt idx="546">
                        <c:v>322.13763828690099</c:v>
                      </c:pt>
                      <c:pt idx="547">
                        <c:v>322.13763828690099</c:v>
                      </c:pt>
                      <c:pt idx="548">
                        <c:v>322.13763828690099</c:v>
                      </c:pt>
                      <c:pt idx="549">
                        <c:v>322.13763828690099</c:v>
                      </c:pt>
                      <c:pt idx="550">
                        <c:v>322.13763828690099</c:v>
                      </c:pt>
                      <c:pt idx="551">
                        <c:v>322.13763828690099</c:v>
                      </c:pt>
                      <c:pt idx="552">
                        <c:v>322.13763828690099</c:v>
                      </c:pt>
                      <c:pt idx="553">
                        <c:v>322.13763828690099</c:v>
                      </c:pt>
                      <c:pt idx="554">
                        <c:v>322.13763828690099</c:v>
                      </c:pt>
                      <c:pt idx="555">
                        <c:v>322.13763828690099</c:v>
                      </c:pt>
                      <c:pt idx="556">
                        <c:v>322.13763828690099</c:v>
                      </c:pt>
                      <c:pt idx="557">
                        <c:v>322.13763828690099</c:v>
                      </c:pt>
                      <c:pt idx="558">
                        <c:v>322.13763828690099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018-41DB-89E6-123002D5EA0E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7"/>
          <c:order val="4"/>
          <c:tx>
            <c:strRef>
              <c:f>'Maju 0.1'!$A$6</c:f>
              <c:strCache>
                <c:ptCount val="1"/>
                <c:pt idx="0">
                  <c:v>Input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'Maju 0.1'!$D$7:$D$565</c:f>
              <c:numCache>
                <c:formatCode>0.000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5.2989000000707165E-3</c:v>
                </c:pt>
                <c:pt idx="3">
                  <c:v>9.2048999999860825E-3</c:v>
                </c:pt>
                <c:pt idx="4">
                  <c:v>2.7168100000380946E-2</c:v>
                </c:pt>
                <c:pt idx="5">
                  <c:v>4.3313000000125612E-2</c:v>
                </c:pt>
                <c:pt idx="6">
                  <c:v>5.8556899999985035E-2</c:v>
                </c:pt>
                <c:pt idx="7">
                  <c:v>7.4511200000415556E-2</c:v>
                </c:pt>
                <c:pt idx="8">
                  <c:v>8.9335699999992357E-2</c:v>
                </c:pt>
                <c:pt idx="9">
                  <c:v>0.10529730000007476</c:v>
                </c:pt>
                <c:pt idx="10">
                  <c:v>0.12134990000004109</c:v>
                </c:pt>
                <c:pt idx="11">
                  <c:v>0.13719690000016271</c:v>
                </c:pt>
                <c:pt idx="12">
                  <c:v>0.15306950000012876</c:v>
                </c:pt>
                <c:pt idx="13">
                  <c:v>0.16923990000032063</c:v>
                </c:pt>
                <c:pt idx="14">
                  <c:v>0.18482170000015685</c:v>
                </c:pt>
                <c:pt idx="15">
                  <c:v>0.20079230000010284</c:v>
                </c:pt>
                <c:pt idx="16">
                  <c:v>0.21585990000039601</c:v>
                </c:pt>
                <c:pt idx="17">
                  <c:v>0.23115530000040962</c:v>
                </c:pt>
                <c:pt idx="18">
                  <c:v>0.24731440000005023</c:v>
                </c:pt>
                <c:pt idx="19">
                  <c:v>0.26257580000037706</c:v>
                </c:pt>
                <c:pt idx="20">
                  <c:v>0.2780137000004288</c:v>
                </c:pt>
                <c:pt idx="21">
                  <c:v>0.2941795000001548</c:v>
                </c:pt>
                <c:pt idx="22">
                  <c:v>0.30981510000037815</c:v>
                </c:pt>
                <c:pt idx="23">
                  <c:v>0.32596110000031331</c:v>
                </c:pt>
                <c:pt idx="24">
                  <c:v>0.34174560000019483</c:v>
                </c:pt>
                <c:pt idx="25">
                  <c:v>0.35752370000000155</c:v>
                </c:pt>
                <c:pt idx="26">
                  <c:v>0.37302320000026157</c:v>
                </c:pt>
                <c:pt idx="27">
                  <c:v>0.38870820000011008</c:v>
                </c:pt>
                <c:pt idx="28">
                  <c:v>0.40394320000041262</c:v>
                </c:pt>
                <c:pt idx="29">
                  <c:v>0.4197916000002806</c:v>
                </c:pt>
                <c:pt idx="30">
                  <c:v>0.43575710000004619</c:v>
                </c:pt>
                <c:pt idx="31">
                  <c:v>0.45149400000036621</c:v>
                </c:pt>
                <c:pt idx="32">
                  <c:v>0.46699660000012955</c:v>
                </c:pt>
                <c:pt idx="33">
                  <c:v>0.4830205000002934</c:v>
                </c:pt>
                <c:pt idx="34">
                  <c:v>0.49845470000036585</c:v>
                </c:pt>
                <c:pt idx="35">
                  <c:v>0.51411460000008447</c:v>
                </c:pt>
                <c:pt idx="36">
                  <c:v>0.52958090000038283</c:v>
                </c:pt>
                <c:pt idx="37">
                  <c:v>0.54471950000015568</c:v>
                </c:pt>
                <c:pt idx="38">
                  <c:v>0.55994790000022476</c:v>
                </c:pt>
                <c:pt idx="39">
                  <c:v>0.57620560000032128</c:v>
                </c:pt>
                <c:pt idx="40">
                  <c:v>0.59083770000006552</c:v>
                </c:pt>
                <c:pt idx="41">
                  <c:v>0.60626369999999952</c:v>
                </c:pt>
                <c:pt idx="42">
                  <c:v>0.6214124000002812</c:v>
                </c:pt>
                <c:pt idx="43">
                  <c:v>0.63753459999998086</c:v>
                </c:pt>
                <c:pt idx="44">
                  <c:v>0.65260699999998906</c:v>
                </c:pt>
                <c:pt idx="45">
                  <c:v>0.66794340000024022</c:v>
                </c:pt>
                <c:pt idx="46">
                  <c:v>0.68331380000017816</c:v>
                </c:pt>
                <c:pt idx="47">
                  <c:v>0.69856420000041908</c:v>
                </c:pt>
                <c:pt idx="48">
                  <c:v>0.7138716000004024</c:v>
                </c:pt>
                <c:pt idx="49">
                  <c:v>0.73025120000011157</c:v>
                </c:pt>
                <c:pt idx="50">
                  <c:v>0.74559630000021571</c:v>
                </c:pt>
                <c:pt idx="51">
                  <c:v>0.7610821000002943</c:v>
                </c:pt>
                <c:pt idx="52">
                  <c:v>0.77641560000029131</c:v>
                </c:pt>
                <c:pt idx="53">
                  <c:v>0.79153070000029402</c:v>
                </c:pt>
                <c:pt idx="54">
                  <c:v>0.80748250000033295</c:v>
                </c:pt>
                <c:pt idx="55">
                  <c:v>0.82297660000040196</c:v>
                </c:pt>
                <c:pt idx="56">
                  <c:v>0.83904410000013741</c:v>
                </c:pt>
                <c:pt idx="57">
                  <c:v>0.85417240000015227</c:v>
                </c:pt>
                <c:pt idx="58">
                  <c:v>0.86972920000016529</c:v>
                </c:pt>
                <c:pt idx="59">
                  <c:v>0.88524850000021615</c:v>
                </c:pt>
                <c:pt idx="60">
                  <c:v>0.90091920000031678</c:v>
                </c:pt>
                <c:pt idx="61">
                  <c:v>0.90367850000029648</c:v>
                </c:pt>
                <c:pt idx="62">
                  <c:v>0.91670670000030441</c:v>
                </c:pt>
                <c:pt idx="63">
                  <c:v>0.93219020000015007</c:v>
                </c:pt>
                <c:pt idx="64">
                  <c:v>0.94763220000004367</c:v>
                </c:pt>
                <c:pt idx="65">
                  <c:v>0.96272680000038235</c:v>
                </c:pt>
                <c:pt idx="66">
                  <c:v>0.97808190000023387</c:v>
                </c:pt>
                <c:pt idx="67">
                  <c:v>0.9934240000002319</c:v>
                </c:pt>
                <c:pt idx="68">
                  <c:v>1.0095186000003196</c:v>
                </c:pt>
                <c:pt idx="69">
                  <c:v>1.0249522000003708</c:v>
                </c:pt>
                <c:pt idx="70">
                  <c:v>1.0401796000001013</c:v>
                </c:pt>
                <c:pt idx="71">
                  <c:v>1.055965400000332</c:v>
                </c:pt>
                <c:pt idx="72">
                  <c:v>1.0718302000000222</c:v>
                </c:pt>
                <c:pt idx="73">
                  <c:v>1.0875557000003937</c:v>
                </c:pt>
                <c:pt idx="74">
                  <c:v>1.1028458000000683</c:v>
                </c:pt>
                <c:pt idx="75">
                  <c:v>1.1188025999999809</c:v>
                </c:pt>
                <c:pt idx="76">
                  <c:v>1.1348634000000857</c:v>
                </c:pt>
                <c:pt idx="77">
                  <c:v>1.1506616000001486</c:v>
                </c:pt>
                <c:pt idx="78">
                  <c:v>1.1660625000004075</c:v>
                </c:pt>
                <c:pt idx="79">
                  <c:v>1.1819746000001032</c:v>
                </c:pt>
                <c:pt idx="80">
                  <c:v>1.197920300000078</c:v>
                </c:pt>
                <c:pt idx="81">
                  <c:v>1.2132191000000603</c:v>
                </c:pt>
                <c:pt idx="82">
                  <c:v>1.2292172000002211</c:v>
                </c:pt>
                <c:pt idx="83">
                  <c:v>1.2446591000002627</c:v>
                </c:pt>
                <c:pt idx="84">
                  <c:v>1.2601951999999983</c:v>
                </c:pt>
                <c:pt idx="85">
                  <c:v>1.2756392000001142</c:v>
                </c:pt>
                <c:pt idx="86">
                  <c:v>1.2915996000001542</c:v>
                </c:pt>
                <c:pt idx="87">
                  <c:v>1.3068004000001565</c:v>
                </c:pt>
                <c:pt idx="88">
                  <c:v>1.3228144000004249</c:v>
                </c:pt>
                <c:pt idx="89">
                  <c:v>1.338255300000128</c:v>
                </c:pt>
                <c:pt idx="90">
                  <c:v>1.3536158000001706</c:v>
                </c:pt>
                <c:pt idx="91">
                  <c:v>1.3692170000003898</c:v>
                </c:pt>
                <c:pt idx="92">
                  <c:v>1.3851982000001044</c:v>
                </c:pt>
                <c:pt idx="93">
                  <c:v>1.4013238000002275</c:v>
                </c:pt>
                <c:pt idx="94">
                  <c:v>1.4175716000004286</c:v>
                </c:pt>
                <c:pt idx="95">
                  <c:v>1.433107000000291</c:v>
                </c:pt>
                <c:pt idx="96">
                  <c:v>1.4486382000000049</c:v>
                </c:pt>
                <c:pt idx="97">
                  <c:v>1.464110900000378</c:v>
                </c:pt>
                <c:pt idx="98">
                  <c:v>1.4797096000002057</c:v>
                </c:pt>
                <c:pt idx="99">
                  <c:v>1.4950284000001375</c:v>
                </c:pt>
                <c:pt idx="100">
                  <c:v>1.511221100000057</c:v>
                </c:pt>
                <c:pt idx="101">
                  <c:v>1.5267674000001534</c:v>
                </c:pt>
                <c:pt idx="102">
                  <c:v>1.542782200000147</c:v>
                </c:pt>
                <c:pt idx="103">
                  <c:v>1.5579615000001468</c:v>
                </c:pt>
                <c:pt idx="104">
                  <c:v>1.573585400000411</c:v>
                </c:pt>
                <c:pt idx="105">
                  <c:v>1.589252000000215</c:v>
                </c:pt>
                <c:pt idx="106">
                  <c:v>1.603999400000248</c:v>
                </c:pt>
                <c:pt idx="107">
                  <c:v>1.6198876000003111</c:v>
                </c:pt>
                <c:pt idx="108">
                  <c:v>1.6361267000002044</c:v>
                </c:pt>
                <c:pt idx="109">
                  <c:v>1.6512564000004204</c:v>
                </c:pt>
                <c:pt idx="110">
                  <c:v>1.6663169000003109</c:v>
                </c:pt>
                <c:pt idx="111">
                  <c:v>1.6817897000000812</c:v>
                </c:pt>
                <c:pt idx="112">
                  <c:v>1.6973350000002938</c:v>
                </c:pt>
                <c:pt idx="113">
                  <c:v>1.7125753000000259</c:v>
                </c:pt>
                <c:pt idx="114">
                  <c:v>1.7276518000003307</c:v>
                </c:pt>
                <c:pt idx="115">
                  <c:v>1.7429422000000159</c:v>
                </c:pt>
                <c:pt idx="116">
                  <c:v>1.7582855000000563</c:v>
                </c:pt>
                <c:pt idx="117">
                  <c:v>1.773996200000056</c:v>
                </c:pt>
                <c:pt idx="118">
                  <c:v>1.7897581000001992</c:v>
                </c:pt>
                <c:pt idx="119">
                  <c:v>1.8050165000004199</c:v>
                </c:pt>
                <c:pt idx="120">
                  <c:v>1.8200581000000966</c:v>
                </c:pt>
                <c:pt idx="121">
                  <c:v>1.8358427000002848</c:v>
                </c:pt>
                <c:pt idx="122">
                  <c:v>1.8507931000003737</c:v>
                </c:pt>
                <c:pt idx="123">
                  <c:v>1.8669764000001123</c:v>
                </c:pt>
                <c:pt idx="124">
                  <c:v>1.8826533000001291</c:v>
                </c:pt>
                <c:pt idx="125">
                  <c:v>1.8972933000000012</c:v>
                </c:pt>
                <c:pt idx="126">
                  <c:v>1.9133269000003565</c:v>
                </c:pt>
                <c:pt idx="127">
                  <c:v>1.9296000000003914</c:v>
                </c:pt>
                <c:pt idx="128">
                  <c:v>1.9452049000001352</c:v>
                </c:pt>
                <c:pt idx="129">
                  <c:v>1.9606398000000809</c:v>
                </c:pt>
                <c:pt idx="130">
                  <c:v>1.9759725000003527</c:v>
                </c:pt>
                <c:pt idx="131">
                  <c:v>1.9914278000001104</c:v>
                </c:pt>
                <c:pt idx="132">
                  <c:v>2.0069760000001224</c:v>
                </c:pt>
                <c:pt idx="133">
                  <c:v>2.0227060000001984</c:v>
                </c:pt>
                <c:pt idx="134">
                  <c:v>2.0380438000001959</c:v>
                </c:pt>
                <c:pt idx="135">
                  <c:v>2.0530307000003631</c:v>
                </c:pt>
                <c:pt idx="136">
                  <c:v>2.0684856000002583</c:v>
                </c:pt>
                <c:pt idx="137">
                  <c:v>2.0836755000000267</c:v>
                </c:pt>
                <c:pt idx="138">
                  <c:v>2.0990962000000764</c:v>
                </c:pt>
                <c:pt idx="139">
                  <c:v>2.1141289000001962</c:v>
                </c:pt>
                <c:pt idx="140">
                  <c:v>2.1296484000004057</c:v>
                </c:pt>
                <c:pt idx="141">
                  <c:v>2.1453720000004068</c:v>
                </c:pt>
                <c:pt idx="142">
                  <c:v>2.1608561000002737</c:v>
                </c:pt>
                <c:pt idx="143">
                  <c:v>2.1762023000001136</c:v>
                </c:pt>
                <c:pt idx="144">
                  <c:v>2.191330999999991</c:v>
                </c:pt>
                <c:pt idx="145">
                  <c:v>2.2065747000001465</c:v>
                </c:pt>
                <c:pt idx="146">
                  <c:v>2.2223314000002574</c:v>
                </c:pt>
                <c:pt idx="147">
                  <c:v>2.2377394000000095</c:v>
                </c:pt>
                <c:pt idx="148">
                  <c:v>2.2529523000002882</c:v>
                </c:pt>
                <c:pt idx="149">
                  <c:v>2.2684573999999884</c:v>
                </c:pt>
                <c:pt idx="150">
                  <c:v>2.2840030000002116</c:v>
                </c:pt>
                <c:pt idx="151">
                  <c:v>2.2868802000002688</c:v>
                </c:pt>
                <c:pt idx="152">
                  <c:v>2.2995488000001387</c:v>
                </c:pt>
                <c:pt idx="153">
                  <c:v>2.3149207999999817</c:v>
                </c:pt>
                <c:pt idx="154">
                  <c:v>2.3300423000000592</c:v>
                </c:pt>
                <c:pt idx="155">
                  <c:v>2.3454623000002357</c:v>
                </c:pt>
                <c:pt idx="156">
                  <c:v>2.3615370000002258</c:v>
                </c:pt>
                <c:pt idx="157">
                  <c:v>2.3767136000001301</c:v>
                </c:pt>
                <c:pt idx="158">
                  <c:v>2.3927026000001206</c:v>
                </c:pt>
                <c:pt idx="159">
                  <c:v>2.4083026000002974</c:v>
                </c:pt>
                <c:pt idx="160">
                  <c:v>2.4243546000002425</c:v>
                </c:pt>
                <c:pt idx="161">
                  <c:v>2.4402967000000899</c:v>
                </c:pt>
                <c:pt idx="162">
                  <c:v>2.4554897000002711</c:v>
                </c:pt>
                <c:pt idx="163">
                  <c:v>2.4712208000000828</c:v>
                </c:pt>
                <c:pt idx="164">
                  <c:v>2.4867932000001929</c:v>
                </c:pt>
                <c:pt idx="165">
                  <c:v>2.5027567000001909</c:v>
                </c:pt>
                <c:pt idx="166">
                  <c:v>2.5181257000003825</c:v>
                </c:pt>
                <c:pt idx="167">
                  <c:v>2.5331108000000313</c:v>
                </c:pt>
                <c:pt idx="168">
                  <c:v>2.5489589000003434</c:v>
                </c:pt>
                <c:pt idx="169">
                  <c:v>2.5650508000003356</c:v>
                </c:pt>
                <c:pt idx="170">
                  <c:v>2.5803182000004199</c:v>
                </c:pt>
                <c:pt idx="171">
                  <c:v>2.5957627000002503</c:v>
                </c:pt>
                <c:pt idx="172">
                  <c:v>2.6111039000002165</c:v>
                </c:pt>
                <c:pt idx="173">
                  <c:v>2.6267086000002564</c:v>
                </c:pt>
                <c:pt idx="174">
                  <c:v>2.6419436000001042</c:v>
                </c:pt>
                <c:pt idx="175">
                  <c:v>2.6580228000002535</c:v>
                </c:pt>
                <c:pt idx="176">
                  <c:v>2.6738740000000689</c:v>
                </c:pt>
                <c:pt idx="177">
                  <c:v>2.6894137000003866</c:v>
                </c:pt>
                <c:pt idx="178">
                  <c:v>2.7046626000001197</c:v>
                </c:pt>
                <c:pt idx="179">
                  <c:v>2.7199347000000671</c:v>
                </c:pt>
                <c:pt idx="180">
                  <c:v>2.7358025000003181</c:v>
                </c:pt>
                <c:pt idx="181">
                  <c:v>2.7508734000002733</c:v>
                </c:pt>
                <c:pt idx="182">
                  <c:v>2.7659552000000076</c:v>
                </c:pt>
                <c:pt idx="183">
                  <c:v>2.7808774000000085</c:v>
                </c:pt>
                <c:pt idx="184">
                  <c:v>2.7956675000000359</c:v>
                </c:pt>
                <c:pt idx="185">
                  <c:v>2.811707800000022</c:v>
                </c:pt>
                <c:pt idx="186">
                  <c:v>2.8270329000001766</c:v>
                </c:pt>
                <c:pt idx="187">
                  <c:v>2.8423720000000685</c:v>
                </c:pt>
                <c:pt idx="188">
                  <c:v>2.858502700000372</c:v>
                </c:pt>
                <c:pt idx="189">
                  <c:v>2.8740185000001475</c:v>
                </c:pt>
                <c:pt idx="190">
                  <c:v>2.8900909000003594</c:v>
                </c:pt>
                <c:pt idx="191">
                  <c:v>2.9053735000002234</c:v>
                </c:pt>
                <c:pt idx="192">
                  <c:v>2.921306100000038</c:v>
                </c:pt>
                <c:pt idx="193">
                  <c:v>2.9369955000001937</c:v>
                </c:pt>
                <c:pt idx="194">
                  <c:v>2.9526253000003635</c:v>
                </c:pt>
                <c:pt idx="195">
                  <c:v>2.9675974000001588</c:v>
                </c:pt>
                <c:pt idx="196">
                  <c:v>2.9831733000000895</c:v>
                </c:pt>
                <c:pt idx="197">
                  <c:v>2.9984130000002551</c:v>
                </c:pt>
                <c:pt idx="198">
                  <c:v>3.0135693000001993</c:v>
                </c:pt>
                <c:pt idx="199">
                  <c:v>3.0290494000000763</c:v>
                </c:pt>
                <c:pt idx="200">
                  <c:v>3.0444785000004231</c:v>
                </c:pt>
                <c:pt idx="201">
                  <c:v>3.0598500000000968</c:v>
                </c:pt>
                <c:pt idx="202">
                  <c:v>3.0750644000004286</c:v>
                </c:pt>
                <c:pt idx="203">
                  <c:v>3.0904241000002912</c:v>
                </c:pt>
                <c:pt idx="204">
                  <c:v>3.1064377000002423</c:v>
                </c:pt>
                <c:pt idx="205">
                  <c:v>3.1225518000001102</c:v>
                </c:pt>
                <c:pt idx="206">
                  <c:v>3.138448800000333</c:v>
                </c:pt>
                <c:pt idx="207">
                  <c:v>3.1540184000000409</c:v>
                </c:pt>
                <c:pt idx="208">
                  <c:v>3.1689089999999851</c:v>
                </c:pt>
                <c:pt idx="209">
                  <c:v>3.1849315000004026</c:v>
                </c:pt>
                <c:pt idx="210">
                  <c:v>3.2003816000001279</c:v>
                </c:pt>
                <c:pt idx="211">
                  <c:v>3.2153074000002562</c:v>
                </c:pt>
                <c:pt idx="212">
                  <c:v>3.2629249999999956</c:v>
                </c:pt>
                <c:pt idx="213">
                  <c:v>3.2789824000001317</c:v>
                </c:pt>
                <c:pt idx="214">
                  <c:v>3.2943454000001111</c:v>
                </c:pt>
                <c:pt idx="215">
                  <c:v>3.3418642999999975</c:v>
                </c:pt>
                <c:pt idx="216">
                  <c:v>3.357551400000375</c:v>
                </c:pt>
                <c:pt idx="217">
                  <c:v>3.4502027000003181</c:v>
                </c:pt>
                <c:pt idx="218">
                  <c:v>3.466481400000248</c:v>
                </c:pt>
                <c:pt idx="219">
                  <c:v>3.4815856000000167</c:v>
                </c:pt>
                <c:pt idx="220">
                  <c:v>3.496932100000322</c:v>
                </c:pt>
                <c:pt idx="221">
                  <c:v>3.5277230000001509</c:v>
                </c:pt>
                <c:pt idx="222">
                  <c:v>3.5595329000002494</c:v>
                </c:pt>
                <c:pt idx="223">
                  <c:v>3.590596000000005</c:v>
                </c:pt>
                <c:pt idx="224">
                  <c:v>3.6220025000002352</c:v>
                </c:pt>
                <c:pt idx="225">
                  <c:v>3.6521181000002798</c:v>
                </c:pt>
                <c:pt idx="226">
                  <c:v>3.7453942000001916</c:v>
                </c:pt>
                <c:pt idx="227">
                  <c:v>3.7610059000003275</c:v>
                </c:pt>
                <c:pt idx="228">
                  <c:v>3.7763112000002366</c:v>
                </c:pt>
                <c:pt idx="229">
                  <c:v>3.7926324000000022</c:v>
                </c:pt>
                <c:pt idx="230">
                  <c:v>3.8087636000000202</c:v>
                </c:pt>
                <c:pt idx="231">
                  <c:v>3.8874061999999867</c:v>
                </c:pt>
                <c:pt idx="232">
                  <c:v>3.9030201000000488</c:v>
                </c:pt>
                <c:pt idx="233">
                  <c:v>3.9183447000000342</c:v>
                </c:pt>
                <c:pt idx="234">
                  <c:v>3.9338287000000491</c:v>
                </c:pt>
                <c:pt idx="235">
                  <c:v>3.9800678999999946</c:v>
                </c:pt>
                <c:pt idx="236">
                  <c:v>3.995798900000409</c:v>
                </c:pt>
                <c:pt idx="237">
                  <c:v>4.0423875999999836</c:v>
                </c:pt>
                <c:pt idx="238">
                  <c:v>4.0739817000003313</c:v>
                </c:pt>
                <c:pt idx="239">
                  <c:v>4.1044402000002265</c:v>
                </c:pt>
                <c:pt idx="240">
                  <c:v>4.1355275000000802</c:v>
                </c:pt>
                <c:pt idx="241">
                  <c:v>4.1654601000000184</c:v>
                </c:pt>
                <c:pt idx="242">
                  <c:v>4.1966453000000001</c:v>
                </c:pt>
                <c:pt idx="243">
                  <c:v>4.2278092000001379</c:v>
                </c:pt>
                <c:pt idx="244">
                  <c:v>4.2745982000001277</c:v>
                </c:pt>
                <c:pt idx="245">
                  <c:v>4.3050646000001507</c:v>
                </c:pt>
                <c:pt idx="246">
                  <c:v>4.3357205000002068</c:v>
                </c:pt>
                <c:pt idx="247">
                  <c:v>4.3668618000001516</c:v>
                </c:pt>
                <c:pt idx="248">
                  <c:v>4.3979300000000876</c:v>
                </c:pt>
                <c:pt idx="249">
                  <c:v>4.4284158000000389</c:v>
                </c:pt>
                <c:pt idx="250">
                  <c:v>4.4752190000003793</c:v>
                </c:pt>
                <c:pt idx="251">
                  <c:v>4.5070405000001301</c:v>
                </c:pt>
                <c:pt idx="252">
                  <c:v>4.5080405000001305</c:v>
                </c:pt>
                <c:pt idx="253">
                  <c:v>4.537615900000219</c:v>
                </c:pt>
                <c:pt idx="254">
                  <c:v>4.5528210000002218</c:v>
                </c:pt>
                <c:pt idx="255">
                  <c:v>4.5840331000003971</c:v>
                </c:pt>
                <c:pt idx="256">
                  <c:v>4.6146783000003779</c:v>
                </c:pt>
                <c:pt idx="257">
                  <c:v>4.6612142000003587</c:v>
                </c:pt>
                <c:pt idx="258">
                  <c:v>4.6927078000003348</c:v>
                </c:pt>
                <c:pt idx="259">
                  <c:v>4.7241723000001912</c:v>
                </c:pt>
                <c:pt idx="260">
                  <c:v>4.7552841000001536</c:v>
                </c:pt>
                <c:pt idx="261">
                  <c:v>4.7871487000002162</c:v>
                </c:pt>
                <c:pt idx="262">
                  <c:v>4.8184103000003233</c:v>
                </c:pt>
                <c:pt idx="263">
                  <c:v>4.8648840000000746</c:v>
                </c:pt>
                <c:pt idx="264">
                  <c:v>4.8959517000002961</c:v>
                </c:pt>
                <c:pt idx="265">
                  <c:v>4.9267509000001155</c:v>
                </c:pt>
                <c:pt idx="266">
                  <c:v>4.9738620000002811</c:v>
                </c:pt>
                <c:pt idx="267">
                  <c:v>4.9892149000002064</c:v>
                </c:pt>
                <c:pt idx="268">
                  <c:v>5.0212012000001778</c:v>
                </c:pt>
                <c:pt idx="269">
                  <c:v>5.0516725000002225</c:v>
                </c:pt>
                <c:pt idx="270">
                  <c:v>5.0827851000003648</c:v>
                </c:pt>
                <c:pt idx="271">
                  <c:v>5.1137316000003921</c:v>
                </c:pt>
                <c:pt idx="272">
                  <c:v>5.1452981000002183</c:v>
                </c:pt>
                <c:pt idx="273">
                  <c:v>5.1763471000003847</c:v>
                </c:pt>
                <c:pt idx="274">
                  <c:v>5.206453700000111</c:v>
                </c:pt>
                <c:pt idx="275">
                  <c:v>5.2538562000004276</c:v>
                </c:pt>
                <c:pt idx="276">
                  <c:v>5.2850330000001122</c:v>
                </c:pt>
                <c:pt idx="277">
                  <c:v>5.3151507000002312</c:v>
                </c:pt>
                <c:pt idx="278">
                  <c:v>5.3462414000000535</c:v>
                </c:pt>
                <c:pt idx="279">
                  <c:v>5.3769308000000819</c:v>
                </c:pt>
                <c:pt idx="280">
                  <c:v>5.4089211000000432</c:v>
                </c:pt>
                <c:pt idx="281">
                  <c:v>5.4551541000000725</c:v>
                </c:pt>
                <c:pt idx="282">
                  <c:v>5.4857228000000759</c:v>
                </c:pt>
                <c:pt idx="283">
                  <c:v>5.5166819000000942</c:v>
                </c:pt>
                <c:pt idx="284">
                  <c:v>5.5484199000002263</c:v>
                </c:pt>
                <c:pt idx="285">
                  <c:v>5.5797838000003139</c:v>
                </c:pt>
                <c:pt idx="286">
                  <c:v>5.6095580000001064</c:v>
                </c:pt>
                <c:pt idx="287">
                  <c:v>5.6410262000003968</c:v>
                </c:pt>
                <c:pt idx="288">
                  <c:v>5.6720820000000458</c:v>
                </c:pt>
                <c:pt idx="289">
                  <c:v>5.7036822000000029</c:v>
                </c:pt>
                <c:pt idx="290">
                  <c:v>5.7347582000002149</c:v>
                </c:pt>
                <c:pt idx="291">
                  <c:v>5.7660101999999824</c:v>
                </c:pt>
                <c:pt idx="292">
                  <c:v>5.7983756000003268</c:v>
                </c:pt>
                <c:pt idx="293">
                  <c:v>5.8292917000003399</c:v>
                </c:pt>
                <c:pt idx="294">
                  <c:v>5.8760879999999815</c:v>
                </c:pt>
                <c:pt idx="295">
                  <c:v>5.9069489000003159</c:v>
                </c:pt>
                <c:pt idx="296">
                  <c:v>5.9376335000001745</c:v>
                </c:pt>
                <c:pt idx="297">
                  <c:v>5.9686227000001963</c:v>
                </c:pt>
                <c:pt idx="298">
                  <c:v>5.999062700000195</c:v>
                </c:pt>
                <c:pt idx="299">
                  <c:v>6.0304338000000826</c:v>
                </c:pt>
                <c:pt idx="300">
                  <c:v>6.0618288000000575</c:v>
                </c:pt>
                <c:pt idx="301">
                  <c:v>6.0927022000000761</c:v>
                </c:pt>
                <c:pt idx="302">
                  <c:v>6.1397364000004018</c:v>
                </c:pt>
                <c:pt idx="303">
                  <c:v>6.1711775000003399</c:v>
                </c:pt>
                <c:pt idx="304">
                  <c:v>6.1872160000002623</c:v>
                </c:pt>
                <c:pt idx="305">
                  <c:v>6.2184366000001319</c:v>
                </c:pt>
                <c:pt idx="306">
                  <c:v>6.2489861000003657</c:v>
                </c:pt>
                <c:pt idx="307">
                  <c:v>6.2801828999999998</c:v>
                </c:pt>
                <c:pt idx="308">
                  <c:v>6.3263348000000406</c:v>
                </c:pt>
                <c:pt idx="309">
                  <c:v>6.3577290000002904</c:v>
                </c:pt>
                <c:pt idx="310">
                  <c:v>6.3879193000002488</c:v>
                </c:pt>
                <c:pt idx="311">
                  <c:v>6.4188283000003139</c:v>
                </c:pt>
                <c:pt idx="312">
                  <c:v>6.4498166000003039</c:v>
                </c:pt>
                <c:pt idx="313">
                  <c:v>6.4810206000001926</c:v>
                </c:pt>
                <c:pt idx="314">
                  <c:v>6.5271981000000778</c:v>
                </c:pt>
                <c:pt idx="315">
                  <c:v>6.5573610000001281</c:v>
                </c:pt>
                <c:pt idx="316">
                  <c:v>6.5885600000001432</c:v>
                </c:pt>
                <c:pt idx="317">
                  <c:v>6.6192061000001559</c:v>
                </c:pt>
                <c:pt idx="318">
                  <c:v>6.6495939999999791</c:v>
                </c:pt>
                <c:pt idx="319">
                  <c:v>6.6809850000004189</c:v>
                </c:pt>
                <c:pt idx="320">
                  <c:v>6.7279085000000123</c:v>
                </c:pt>
                <c:pt idx="321">
                  <c:v>6.7590113000001111</c:v>
                </c:pt>
                <c:pt idx="322">
                  <c:v>6.7899225000001024</c:v>
                </c:pt>
                <c:pt idx="323">
                  <c:v>6.8056283000000803</c:v>
                </c:pt>
                <c:pt idx="324">
                  <c:v>6.8376799000002393</c:v>
                </c:pt>
                <c:pt idx="325">
                  <c:v>6.8684104000003572</c:v>
                </c:pt>
                <c:pt idx="326">
                  <c:v>6.9149276000002828</c:v>
                </c:pt>
                <c:pt idx="327">
                  <c:v>6.946722900000168</c:v>
                </c:pt>
                <c:pt idx="328">
                  <c:v>6.9777452000002995</c:v>
                </c:pt>
                <c:pt idx="329">
                  <c:v>7.0080390000002808</c:v>
                </c:pt>
                <c:pt idx="330">
                  <c:v>7.039289700000154</c:v>
                </c:pt>
                <c:pt idx="331">
                  <c:v>7.0705900000002657</c:v>
                </c:pt>
                <c:pt idx="332">
                  <c:v>7.1177352000004248</c:v>
                </c:pt>
                <c:pt idx="333">
                  <c:v>7.149779700000181</c:v>
                </c:pt>
                <c:pt idx="334">
                  <c:v>7.1810393000000659</c:v>
                </c:pt>
                <c:pt idx="335">
                  <c:v>7.2121169000001828</c:v>
                </c:pt>
                <c:pt idx="336">
                  <c:v>7.2427593000002162</c:v>
                </c:pt>
                <c:pt idx="337">
                  <c:v>7.2730527000003349</c:v>
                </c:pt>
                <c:pt idx="338">
                  <c:v>7.3046481000001222</c:v>
                </c:pt>
                <c:pt idx="339">
                  <c:v>7.3364228000000367</c:v>
                </c:pt>
                <c:pt idx="340">
                  <c:v>7.367167000000336</c:v>
                </c:pt>
                <c:pt idx="341">
                  <c:v>7.3981877000001077</c:v>
                </c:pt>
                <c:pt idx="342">
                  <c:v>7.4297265000000152</c:v>
                </c:pt>
                <c:pt idx="343">
                  <c:v>7.4607101999999941</c:v>
                </c:pt>
                <c:pt idx="344">
                  <c:v>7.4922096000000238</c:v>
                </c:pt>
                <c:pt idx="345">
                  <c:v>7.5385995000001458</c:v>
                </c:pt>
                <c:pt idx="346">
                  <c:v>7.570056200000181</c:v>
                </c:pt>
                <c:pt idx="347">
                  <c:v>7.6007871000001614</c:v>
                </c:pt>
                <c:pt idx="348">
                  <c:v>7.6318452000000434</c:v>
                </c:pt>
                <c:pt idx="349">
                  <c:v>7.6628080000000409</c:v>
                </c:pt>
                <c:pt idx="350">
                  <c:v>7.693853300000228</c:v>
                </c:pt>
                <c:pt idx="351">
                  <c:v>7.740906300000006</c:v>
                </c:pt>
                <c:pt idx="352">
                  <c:v>7.7560024000003978</c:v>
                </c:pt>
                <c:pt idx="353">
                  <c:v>7.8027047000000493</c:v>
                </c:pt>
                <c:pt idx="354">
                  <c:v>7.818170800000189</c:v>
                </c:pt>
                <c:pt idx="355">
                  <c:v>7.849333900000147</c:v>
                </c:pt>
                <c:pt idx="356">
                  <c:v>7.8953836000000592</c:v>
                </c:pt>
                <c:pt idx="357">
                  <c:v>7.9105360000003202</c:v>
                </c:pt>
                <c:pt idx="358">
                  <c:v>7.9416419000003771</c:v>
                </c:pt>
                <c:pt idx="359">
                  <c:v>7.988133000000289</c:v>
                </c:pt>
                <c:pt idx="360">
                  <c:v>8.0195339000001695</c:v>
                </c:pt>
                <c:pt idx="361">
                  <c:v>8.0499366000003647</c:v>
                </c:pt>
                <c:pt idx="362">
                  <c:v>8.0813528000003316</c:v>
                </c:pt>
                <c:pt idx="363">
                  <c:v>8.1119710000002669</c:v>
                </c:pt>
                <c:pt idx="364">
                  <c:v>8.1418160000002899</c:v>
                </c:pt>
                <c:pt idx="365">
                  <c:v>8.1884018000000651</c:v>
                </c:pt>
                <c:pt idx="366">
                  <c:v>8.2195125000002918</c:v>
                </c:pt>
                <c:pt idx="367">
                  <c:v>8.2505235000003267</c:v>
                </c:pt>
                <c:pt idx="368">
                  <c:v>8.2813416000003599</c:v>
                </c:pt>
                <c:pt idx="369">
                  <c:v>8.3130092000001241</c:v>
                </c:pt>
                <c:pt idx="370">
                  <c:v>8.3439578000002257</c:v>
                </c:pt>
                <c:pt idx="371">
                  <c:v>8.3752976000000672</c:v>
                </c:pt>
                <c:pt idx="372">
                  <c:v>8.4216149000003497</c:v>
                </c:pt>
                <c:pt idx="373">
                  <c:v>8.435135100000025</c:v>
                </c:pt>
                <c:pt idx="374">
                  <c:v>8.4680778000001737</c:v>
                </c:pt>
                <c:pt idx="375">
                  <c:v>8.4993426000000909</c:v>
                </c:pt>
                <c:pt idx="376">
                  <c:v>8.5301843000002009</c:v>
                </c:pt>
                <c:pt idx="377">
                  <c:v>8.5311843000002003</c:v>
                </c:pt>
                <c:pt idx="378">
                  <c:v>8.5615048000004208</c:v>
                </c:pt>
                <c:pt idx="379">
                  <c:v>8.6084997000002659</c:v>
                </c:pt>
                <c:pt idx="380">
                  <c:v>8.6396508000002541</c:v>
                </c:pt>
                <c:pt idx="381">
                  <c:v>8.6708717999999863</c:v>
                </c:pt>
                <c:pt idx="382">
                  <c:v>8.7026233000001412</c:v>
                </c:pt>
                <c:pt idx="383">
                  <c:v>8.7334623000001557</c:v>
                </c:pt>
                <c:pt idx="384">
                  <c:v>8.7646595000001071</c:v>
                </c:pt>
                <c:pt idx="385">
                  <c:v>8.8111308000002282</c:v>
                </c:pt>
                <c:pt idx="386">
                  <c:v>8.8430741000001944</c:v>
                </c:pt>
                <c:pt idx="387">
                  <c:v>8.8728994000002785</c:v>
                </c:pt>
                <c:pt idx="388">
                  <c:v>8.9049598000001424</c:v>
                </c:pt>
                <c:pt idx="389">
                  <c:v>8.920539700000063</c:v>
                </c:pt>
                <c:pt idx="390">
                  <c:v>8.9517083000000639</c:v>
                </c:pt>
                <c:pt idx="391">
                  <c:v>8.9822482000004129</c:v>
                </c:pt>
                <c:pt idx="392">
                  <c:v>9.0298377000003711</c:v>
                </c:pt>
                <c:pt idx="393">
                  <c:v>9.0611833000002662</c:v>
                </c:pt>
                <c:pt idx="394">
                  <c:v>9.0922832000001108</c:v>
                </c:pt>
                <c:pt idx="395">
                  <c:v>9.12239610000006</c:v>
                </c:pt>
                <c:pt idx="396">
                  <c:v>9.1532780000002276</c:v>
                </c:pt>
                <c:pt idx="397">
                  <c:v>9.1842184000001907</c:v>
                </c:pt>
                <c:pt idx="398">
                  <c:v>9.2300111000004108</c:v>
                </c:pt>
                <c:pt idx="399">
                  <c:v>9.2606885000000148</c:v>
                </c:pt>
                <c:pt idx="400">
                  <c:v>9.291738500000065</c:v>
                </c:pt>
                <c:pt idx="401">
                  <c:v>9.3234608000002481</c:v>
                </c:pt>
                <c:pt idx="402">
                  <c:v>9.3695388000001003</c:v>
                </c:pt>
                <c:pt idx="403">
                  <c:v>9.4001502000000983</c:v>
                </c:pt>
                <c:pt idx="404">
                  <c:v>9.4309679000002689</c:v>
                </c:pt>
                <c:pt idx="405">
                  <c:v>9.4623018000002048</c:v>
                </c:pt>
                <c:pt idx="406">
                  <c:v>9.4935661000004075</c:v>
                </c:pt>
                <c:pt idx="407">
                  <c:v>9.5246996000000763</c:v>
                </c:pt>
                <c:pt idx="408">
                  <c:v>9.5554276000002574</c:v>
                </c:pt>
                <c:pt idx="409">
                  <c:v>9.5555276000002571</c:v>
                </c:pt>
                <c:pt idx="410">
                  <c:v>9.5856540000004316</c:v>
                </c:pt>
                <c:pt idx="411">
                  <c:v>9.6167265000003681</c:v>
                </c:pt>
                <c:pt idx="412">
                  <c:v>9.6474853000004259</c:v>
                </c:pt>
                <c:pt idx="413">
                  <c:v>9.6789674999999988</c:v>
                </c:pt>
                <c:pt idx="414">
                  <c:v>9.7094308000000638</c:v>
                </c:pt>
                <c:pt idx="415">
                  <c:v>9.7403956000002836</c:v>
                </c:pt>
                <c:pt idx="416">
                  <c:v>9.7720160000003489</c:v>
                </c:pt>
                <c:pt idx="417">
                  <c:v>9.8176916000002166</c:v>
                </c:pt>
                <c:pt idx="418">
                  <c:v>9.8488786000002619</c:v>
                </c:pt>
                <c:pt idx="419">
                  <c:v>9.8793074000000161</c:v>
                </c:pt>
                <c:pt idx="420">
                  <c:v>9.9106115000004138</c:v>
                </c:pt>
                <c:pt idx="421">
                  <c:v>9.9409724000001916</c:v>
                </c:pt>
                <c:pt idx="422">
                  <c:v>9.9728406000003815</c:v>
                </c:pt>
                <c:pt idx="423">
                  <c:v>10.004080200000317</c:v>
                </c:pt>
                <c:pt idx="424">
                  <c:v>10.052269700000124</c:v>
                </c:pt>
                <c:pt idx="425">
                  <c:v>10.067612800000006</c:v>
                </c:pt>
                <c:pt idx="426">
                  <c:v>10.098507600000175</c:v>
                </c:pt>
                <c:pt idx="427">
                  <c:v>10.129110700000183</c:v>
                </c:pt>
                <c:pt idx="428">
                  <c:v>10.159869600000093</c:v>
                </c:pt>
                <c:pt idx="429">
                  <c:v>10.191697800000384</c:v>
                </c:pt>
                <c:pt idx="430">
                  <c:v>10.223350500000379</c:v>
                </c:pt>
                <c:pt idx="431">
                  <c:v>10.317478700000265</c:v>
                </c:pt>
                <c:pt idx="432">
                  <c:v>10.333174900000358</c:v>
                </c:pt>
                <c:pt idx="433">
                  <c:v>10.348560300000372</c:v>
                </c:pt>
                <c:pt idx="434">
                  <c:v>10.36367700000028</c:v>
                </c:pt>
                <c:pt idx="435">
                  <c:v>10.410301700000218</c:v>
                </c:pt>
                <c:pt idx="436">
                  <c:v>10.58332960000007</c:v>
                </c:pt>
                <c:pt idx="437">
                  <c:v>10.598769900000207</c:v>
                </c:pt>
                <c:pt idx="438">
                  <c:v>10.614560700000311</c:v>
                </c:pt>
                <c:pt idx="439">
                  <c:v>10.63024680000035</c:v>
                </c:pt>
                <c:pt idx="440">
                  <c:v>10.645605100000012</c:v>
                </c:pt>
                <c:pt idx="441">
                  <c:v>10.661888300000101</c:v>
                </c:pt>
                <c:pt idx="442">
                  <c:v>10.67790260000038</c:v>
                </c:pt>
                <c:pt idx="443">
                  <c:v>10.693193000000065</c:v>
                </c:pt>
                <c:pt idx="444">
                  <c:v>10.709016600000268</c:v>
                </c:pt>
                <c:pt idx="445">
                  <c:v>10.724044000000049</c:v>
                </c:pt>
                <c:pt idx="446">
                  <c:v>10.756220200000371</c:v>
                </c:pt>
                <c:pt idx="447">
                  <c:v>10.787308800000119</c:v>
                </c:pt>
                <c:pt idx="448">
                  <c:v>10.833230000000185</c:v>
                </c:pt>
                <c:pt idx="449">
                  <c:v>10.848908600000414</c:v>
                </c:pt>
                <c:pt idx="450">
                  <c:v>10.895104500000343</c:v>
                </c:pt>
                <c:pt idx="451">
                  <c:v>10.926145600000382</c:v>
                </c:pt>
                <c:pt idx="452">
                  <c:v>10.942143000000215</c:v>
                </c:pt>
                <c:pt idx="453">
                  <c:v>10.973500700000386</c:v>
                </c:pt>
                <c:pt idx="454">
                  <c:v>11.019185500000276</c:v>
                </c:pt>
                <c:pt idx="455">
                  <c:v>11.034989600000245</c:v>
                </c:pt>
                <c:pt idx="456">
                  <c:v>11.082045999999991</c:v>
                </c:pt>
                <c:pt idx="457">
                  <c:v>11.1128262000002</c:v>
                </c:pt>
                <c:pt idx="458">
                  <c:v>11.143854800000099</c:v>
                </c:pt>
                <c:pt idx="459">
                  <c:v>11.175350700000308</c:v>
                </c:pt>
                <c:pt idx="460">
                  <c:v>11.206693400000404</c:v>
                </c:pt>
                <c:pt idx="461">
                  <c:v>11.237335799999983</c:v>
                </c:pt>
                <c:pt idx="462">
                  <c:v>11.284025600000405</c:v>
                </c:pt>
                <c:pt idx="463">
                  <c:v>11.314848700000312</c:v>
                </c:pt>
                <c:pt idx="464">
                  <c:v>11.345894600000065</c:v>
                </c:pt>
                <c:pt idx="465">
                  <c:v>11.377582900000107</c:v>
                </c:pt>
                <c:pt idx="466">
                  <c:v>11.408712500000092</c:v>
                </c:pt>
                <c:pt idx="467">
                  <c:v>11.424737800000003</c:v>
                </c:pt>
                <c:pt idx="468">
                  <c:v>11.47156490000043</c:v>
                </c:pt>
                <c:pt idx="469">
                  <c:v>11.502535600000101</c:v>
                </c:pt>
                <c:pt idx="470">
                  <c:v>11.534924500000216</c:v>
                </c:pt>
                <c:pt idx="471">
                  <c:v>11.565958300000148</c:v>
                </c:pt>
                <c:pt idx="472">
                  <c:v>11.59783920000018</c:v>
                </c:pt>
                <c:pt idx="473">
                  <c:v>11.644704600000296</c:v>
                </c:pt>
                <c:pt idx="474">
                  <c:v>11.675825900000291</c:v>
                </c:pt>
                <c:pt idx="475">
                  <c:v>11.706475600000431</c:v>
                </c:pt>
                <c:pt idx="476">
                  <c:v>11.737749000000349</c:v>
                </c:pt>
                <c:pt idx="477">
                  <c:v>11.76921160000029</c:v>
                </c:pt>
                <c:pt idx="478">
                  <c:v>11.800858600000083</c:v>
                </c:pt>
                <c:pt idx="479">
                  <c:v>11.832110300000295</c:v>
                </c:pt>
                <c:pt idx="480">
                  <c:v>11.847406900000351</c:v>
                </c:pt>
                <c:pt idx="481">
                  <c:v>11.894228900000144</c:v>
                </c:pt>
                <c:pt idx="482">
                  <c:v>11.92492110000012</c:v>
                </c:pt>
                <c:pt idx="483">
                  <c:v>11.955142800000431</c:v>
                </c:pt>
                <c:pt idx="484">
                  <c:v>12.000833200000216</c:v>
                </c:pt>
                <c:pt idx="485">
                  <c:v>12.016915900000186</c:v>
                </c:pt>
                <c:pt idx="486">
                  <c:v>12.063823899999988</c:v>
                </c:pt>
                <c:pt idx="487">
                  <c:v>12.094814100000349</c:v>
                </c:pt>
                <c:pt idx="488">
                  <c:v>12.125114600000416</c:v>
                </c:pt>
                <c:pt idx="489">
                  <c:v>12.15568790000043</c:v>
                </c:pt>
                <c:pt idx="490">
                  <c:v>12.186626400000023</c:v>
                </c:pt>
                <c:pt idx="491">
                  <c:v>12.218306000000211</c:v>
                </c:pt>
                <c:pt idx="492">
                  <c:v>12.249259600000187</c:v>
                </c:pt>
                <c:pt idx="493">
                  <c:v>12.296085400000266</c:v>
                </c:pt>
                <c:pt idx="494">
                  <c:v>12.326275300000361</c:v>
                </c:pt>
                <c:pt idx="495">
                  <c:v>12.357014600000184</c:v>
                </c:pt>
                <c:pt idx="496">
                  <c:v>12.388153500000044</c:v>
                </c:pt>
                <c:pt idx="497">
                  <c:v>12.4197750000003</c:v>
                </c:pt>
                <c:pt idx="498">
                  <c:v>12.451095400000213</c:v>
                </c:pt>
                <c:pt idx="499">
                  <c:v>12.482295500000419</c:v>
                </c:pt>
                <c:pt idx="500">
                  <c:v>12.513406000000032</c:v>
                </c:pt>
                <c:pt idx="501">
                  <c:v>12.545510300000387</c:v>
                </c:pt>
                <c:pt idx="502">
                  <c:v>12.576301700000386</c:v>
                </c:pt>
                <c:pt idx="503">
                  <c:v>12.607888900000034</c:v>
                </c:pt>
                <c:pt idx="504">
                  <c:v>12.638797200000226</c:v>
                </c:pt>
                <c:pt idx="505">
                  <c:v>12.670864300000176</c:v>
                </c:pt>
                <c:pt idx="506">
                  <c:v>12.702406300000348</c:v>
                </c:pt>
                <c:pt idx="507">
                  <c:v>12.748906799999986</c:v>
                </c:pt>
                <c:pt idx="508">
                  <c:v>12.780055300000186</c:v>
                </c:pt>
                <c:pt idx="509">
                  <c:v>12.810586700000385</c:v>
                </c:pt>
                <c:pt idx="510">
                  <c:v>12.840667400000257</c:v>
                </c:pt>
                <c:pt idx="511">
                  <c:v>12.87273660000028</c:v>
                </c:pt>
                <c:pt idx="512">
                  <c:v>12.919059700000162</c:v>
                </c:pt>
                <c:pt idx="513">
                  <c:v>12.950166000000081</c:v>
                </c:pt>
                <c:pt idx="514">
                  <c:v>12.965575600000193</c:v>
                </c:pt>
                <c:pt idx="515">
                  <c:v>12.996916700000384</c:v>
                </c:pt>
                <c:pt idx="516">
                  <c:v>13.027586500000325</c:v>
                </c:pt>
                <c:pt idx="517">
                  <c:v>13.058944500000052</c:v>
                </c:pt>
                <c:pt idx="518">
                  <c:v>13.089599500000077</c:v>
                </c:pt>
                <c:pt idx="519">
                  <c:v>13.136956600000303</c:v>
                </c:pt>
                <c:pt idx="520">
                  <c:v>13.167147800000294</c:v>
                </c:pt>
                <c:pt idx="521">
                  <c:v>13.197788200000105</c:v>
                </c:pt>
                <c:pt idx="522">
                  <c:v>13.243707000000086</c:v>
                </c:pt>
                <c:pt idx="523">
                  <c:v>13.30562800000007</c:v>
                </c:pt>
                <c:pt idx="524">
                  <c:v>13.320852300000297</c:v>
                </c:pt>
                <c:pt idx="525">
                  <c:v>13.336251400000037</c:v>
                </c:pt>
                <c:pt idx="526">
                  <c:v>13.367295000000013</c:v>
                </c:pt>
                <c:pt idx="527">
                  <c:v>13.397435500000029</c:v>
                </c:pt>
                <c:pt idx="528">
                  <c:v>13.429170900000372</c:v>
                </c:pt>
                <c:pt idx="529">
                  <c:v>13.460952700000234</c:v>
                </c:pt>
                <c:pt idx="530">
                  <c:v>13.492381000000023</c:v>
                </c:pt>
                <c:pt idx="531">
                  <c:v>13.523081499999989</c:v>
                </c:pt>
                <c:pt idx="532">
                  <c:v>13.555078700000195</c:v>
                </c:pt>
                <c:pt idx="533">
                  <c:v>13.587006100000053</c:v>
                </c:pt>
                <c:pt idx="534">
                  <c:v>13.619073000000299</c:v>
                </c:pt>
                <c:pt idx="535">
                  <c:v>13.650212200000169</c:v>
                </c:pt>
                <c:pt idx="536">
                  <c:v>13.681003300000157</c:v>
                </c:pt>
                <c:pt idx="537">
                  <c:v>13.712306100000205</c:v>
                </c:pt>
                <c:pt idx="538">
                  <c:v>13.758961900000031</c:v>
                </c:pt>
                <c:pt idx="539">
                  <c:v>13.789472500000102</c:v>
                </c:pt>
                <c:pt idx="540">
                  <c:v>13.822084700000232</c:v>
                </c:pt>
                <c:pt idx="541">
                  <c:v>13.852689600000303</c:v>
                </c:pt>
                <c:pt idx="542">
                  <c:v>13.883946300000389</c:v>
                </c:pt>
                <c:pt idx="543">
                  <c:v>13.914673300000231</c:v>
                </c:pt>
                <c:pt idx="544">
                  <c:v>13.945167700000184</c:v>
                </c:pt>
                <c:pt idx="545">
                  <c:v>13.992031400000087</c:v>
                </c:pt>
                <c:pt idx="546">
                  <c:v>14.023872700000084</c:v>
                </c:pt>
                <c:pt idx="547">
                  <c:v>14.054001299999982</c:v>
                </c:pt>
                <c:pt idx="548">
                  <c:v>14.069429500000297</c:v>
                </c:pt>
                <c:pt idx="549">
                  <c:v>14.100932499999999</c:v>
                </c:pt>
                <c:pt idx="550">
                  <c:v>14.14680670000007</c:v>
                </c:pt>
                <c:pt idx="551">
                  <c:v>14.17827780000016</c:v>
                </c:pt>
                <c:pt idx="552">
                  <c:v>14.209291300000132</c:v>
                </c:pt>
                <c:pt idx="553">
                  <c:v>14.240556100000049</c:v>
                </c:pt>
                <c:pt idx="554">
                  <c:v>14.271950000000288</c:v>
                </c:pt>
                <c:pt idx="555">
                  <c:v>14.303397800000312</c:v>
                </c:pt>
                <c:pt idx="556">
                  <c:v>14.333667700000206</c:v>
                </c:pt>
                <c:pt idx="557">
                  <c:v>14.380823100000271</c:v>
                </c:pt>
                <c:pt idx="558">
                  <c:v>14.411975400000301</c:v>
                </c:pt>
              </c:numCache>
            </c:numRef>
          </c:xVal>
          <c:yVal>
            <c:numRef>
              <c:f>'Maju 0.1'!$A$7:$A$565</c:f>
              <c:numCache>
                <c:formatCode>General</c:formatCode>
                <c:ptCount val="5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10</c:v>
                </c:pt>
                <c:pt idx="253">
                  <c:v>10</c:v>
                </c:pt>
                <c:pt idx="254">
                  <c:v>10</c:v>
                </c:pt>
                <c:pt idx="255">
                  <c:v>10</c:v>
                </c:pt>
                <c:pt idx="256">
                  <c:v>10</c:v>
                </c:pt>
                <c:pt idx="257">
                  <c:v>10</c:v>
                </c:pt>
                <c:pt idx="258">
                  <c:v>10</c:v>
                </c:pt>
                <c:pt idx="259">
                  <c:v>10</c:v>
                </c:pt>
                <c:pt idx="260">
                  <c:v>10</c:v>
                </c:pt>
                <c:pt idx="261">
                  <c:v>10</c:v>
                </c:pt>
                <c:pt idx="262">
                  <c:v>10</c:v>
                </c:pt>
                <c:pt idx="263">
                  <c:v>10</c:v>
                </c:pt>
                <c:pt idx="264">
                  <c:v>10</c:v>
                </c:pt>
                <c:pt idx="265">
                  <c:v>10</c:v>
                </c:pt>
                <c:pt idx="266">
                  <c:v>10</c:v>
                </c:pt>
                <c:pt idx="267">
                  <c:v>10</c:v>
                </c:pt>
                <c:pt idx="268">
                  <c:v>10</c:v>
                </c:pt>
                <c:pt idx="269">
                  <c:v>10</c:v>
                </c:pt>
                <c:pt idx="270">
                  <c:v>10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10</c:v>
                </c:pt>
                <c:pt idx="278">
                  <c:v>10</c:v>
                </c:pt>
                <c:pt idx="279">
                  <c:v>10</c:v>
                </c:pt>
                <c:pt idx="280">
                  <c:v>10</c:v>
                </c:pt>
                <c:pt idx="281">
                  <c:v>10</c:v>
                </c:pt>
                <c:pt idx="282">
                  <c:v>10</c:v>
                </c:pt>
                <c:pt idx="283">
                  <c:v>10</c:v>
                </c:pt>
                <c:pt idx="284">
                  <c:v>10</c:v>
                </c:pt>
                <c:pt idx="285">
                  <c:v>10</c:v>
                </c:pt>
                <c:pt idx="286">
                  <c:v>10</c:v>
                </c:pt>
                <c:pt idx="287">
                  <c:v>10</c:v>
                </c:pt>
                <c:pt idx="288">
                  <c:v>10</c:v>
                </c:pt>
                <c:pt idx="289">
                  <c:v>10</c:v>
                </c:pt>
                <c:pt idx="290">
                  <c:v>10</c:v>
                </c:pt>
                <c:pt idx="291">
                  <c:v>10</c:v>
                </c:pt>
                <c:pt idx="292">
                  <c:v>10</c:v>
                </c:pt>
                <c:pt idx="293">
                  <c:v>10</c:v>
                </c:pt>
                <c:pt idx="294">
                  <c:v>10</c:v>
                </c:pt>
                <c:pt idx="295">
                  <c:v>10</c:v>
                </c:pt>
                <c:pt idx="296">
                  <c:v>10</c:v>
                </c:pt>
                <c:pt idx="297">
                  <c:v>10</c:v>
                </c:pt>
                <c:pt idx="298">
                  <c:v>10</c:v>
                </c:pt>
                <c:pt idx="299">
                  <c:v>10</c:v>
                </c:pt>
                <c:pt idx="300">
                  <c:v>10</c:v>
                </c:pt>
                <c:pt idx="301">
                  <c:v>10</c:v>
                </c:pt>
                <c:pt idx="302">
                  <c:v>10</c:v>
                </c:pt>
                <c:pt idx="303">
                  <c:v>10</c:v>
                </c:pt>
                <c:pt idx="304">
                  <c:v>10</c:v>
                </c:pt>
                <c:pt idx="305">
                  <c:v>10</c:v>
                </c:pt>
                <c:pt idx="306">
                  <c:v>10</c:v>
                </c:pt>
                <c:pt idx="307">
                  <c:v>10</c:v>
                </c:pt>
                <c:pt idx="308">
                  <c:v>10</c:v>
                </c:pt>
                <c:pt idx="309">
                  <c:v>10</c:v>
                </c:pt>
                <c:pt idx="310">
                  <c:v>10</c:v>
                </c:pt>
                <c:pt idx="311">
                  <c:v>10</c:v>
                </c:pt>
                <c:pt idx="312">
                  <c:v>10</c:v>
                </c:pt>
                <c:pt idx="313">
                  <c:v>10</c:v>
                </c:pt>
                <c:pt idx="314">
                  <c:v>10</c:v>
                </c:pt>
                <c:pt idx="315">
                  <c:v>10</c:v>
                </c:pt>
                <c:pt idx="316">
                  <c:v>10</c:v>
                </c:pt>
                <c:pt idx="317">
                  <c:v>10</c:v>
                </c:pt>
                <c:pt idx="318">
                  <c:v>10</c:v>
                </c:pt>
                <c:pt idx="319">
                  <c:v>10</c:v>
                </c:pt>
                <c:pt idx="320">
                  <c:v>10</c:v>
                </c:pt>
                <c:pt idx="321">
                  <c:v>10</c:v>
                </c:pt>
                <c:pt idx="322">
                  <c:v>10</c:v>
                </c:pt>
                <c:pt idx="323">
                  <c:v>10</c:v>
                </c:pt>
                <c:pt idx="324">
                  <c:v>10</c:v>
                </c:pt>
                <c:pt idx="325">
                  <c:v>10</c:v>
                </c:pt>
                <c:pt idx="326">
                  <c:v>10</c:v>
                </c:pt>
                <c:pt idx="327">
                  <c:v>10</c:v>
                </c:pt>
                <c:pt idx="328">
                  <c:v>10</c:v>
                </c:pt>
                <c:pt idx="329">
                  <c:v>10</c:v>
                </c:pt>
                <c:pt idx="330">
                  <c:v>10</c:v>
                </c:pt>
                <c:pt idx="331">
                  <c:v>10</c:v>
                </c:pt>
                <c:pt idx="332">
                  <c:v>10</c:v>
                </c:pt>
                <c:pt idx="333">
                  <c:v>10</c:v>
                </c:pt>
                <c:pt idx="334">
                  <c:v>10</c:v>
                </c:pt>
                <c:pt idx="335">
                  <c:v>10</c:v>
                </c:pt>
                <c:pt idx="336">
                  <c:v>10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10</c:v>
                </c:pt>
                <c:pt idx="344">
                  <c:v>10</c:v>
                </c:pt>
                <c:pt idx="345">
                  <c:v>10</c:v>
                </c:pt>
                <c:pt idx="346">
                  <c:v>10</c:v>
                </c:pt>
                <c:pt idx="347">
                  <c:v>10</c:v>
                </c:pt>
                <c:pt idx="348">
                  <c:v>10</c:v>
                </c:pt>
                <c:pt idx="349">
                  <c:v>10</c:v>
                </c:pt>
                <c:pt idx="350">
                  <c:v>10</c:v>
                </c:pt>
                <c:pt idx="351">
                  <c:v>10</c:v>
                </c:pt>
                <c:pt idx="352">
                  <c:v>10</c:v>
                </c:pt>
                <c:pt idx="353">
                  <c:v>10</c:v>
                </c:pt>
                <c:pt idx="354">
                  <c:v>10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10</c:v>
                </c:pt>
                <c:pt idx="359">
                  <c:v>10</c:v>
                </c:pt>
                <c:pt idx="360">
                  <c:v>10</c:v>
                </c:pt>
                <c:pt idx="361">
                  <c:v>10</c:v>
                </c:pt>
                <c:pt idx="362">
                  <c:v>10</c:v>
                </c:pt>
                <c:pt idx="363">
                  <c:v>10</c:v>
                </c:pt>
                <c:pt idx="364">
                  <c:v>10</c:v>
                </c:pt>
                <c:pt idx="365">
                  <c:v>10</c:v>
                </c:pt>
                <c:pt idx="366">
                  <c:v>10</c:v>
                </c:pt>
                <c:pt idx="367">
                  <c:v>10</c:v>
                </c:pt>
                <c:pt idx="368">
                  <c:v>10</c:v>
                </c:pt>
                <c:pt idx="369">
                  <c:v>10</c:v>
                </c:pt>
                <c:pt idx="370">
                  <c:v>10</c:v>
                </c:pt>
                <c:pt idx="371">
                  <c:v>10</c:v>
                </c:pt>
                <c:pt idx="372">
                  <c:v>10</c:v>
                </c:pt>
                <c:pt idx="373">
                  <c:v>10</c:v>
                </c:pt>
                <c:pt idx="374">
                  <c:v>10</c:v>
                </c:pt>
                <c:pt idx="375">
                  <c:v>10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18-41DB-89E6-123002D5E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7944520"/>
        <c:axId val="1297936600"/>
      </c:scatterChart>
      <c:valAx>
        <c:axId val="80910490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Waktu (detik)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669760"/>
        <c:crosses val="autoZero"/>
        <c:crossBetween val="midCat"/>
      </c:valAx>
      <c:valAx>
        <c:axId val="461669760"/>
        <c:scaling>
          <c:orientation val="minMax"/>
          <c:max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Sudut Pitch (derajat)</a:t>
                </a:r>
                <a:endParaRPr lang="en-ID"/>
              </a:p>
            </c:rich>
          </c:tx>
          <c:layout>
            <c:manualLayout>
              <c:xMode val="edge"/>
              <c:yMode val="edge"/>
              <c:x val="1.4463978619126619E-2"/>
              <c:y val="0.37135570939719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104904"/>
        <c:crosses val="autoZero"/>
        <c:crossBetween val="midCat"/>
      </c:valAx>
      <c:valAx>
        <c:axId val="1297936600"/>
        <c:scaling>
          <c:orientation val="minMax"/>
          <c:max val="15"/>
          <c:min val="-1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Masukkan</a:t>
                </a:r>
                <a:r>
                  <a:rPr lang="id-ID" baseline="0"/>
                  <a:t> Kecepatan (%)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944520"/>
        <c:crosses val="max"/>
        <c:crossBetween val="midCat"/>
      </c:valAx>
      <c:valAx>
        <c:axId val="1297944520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1297936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214312</xdr:colOff>
      <xdr:row>1</xdr:row>
      <xdr:rowOff>19050</xdr:rowOff>
    </xdr:from>
    <xdr:to>
      <xdr:col>14</xdr:col>
      <xdr:colOff>671512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9A458A-F75E-43CF-ADC1-E0F337ED8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14287</xdr:colOff>
      <xdr:row>18</xdr:row>
      <xdr:rowOff>142875</xdr:rowOff>
    </xdr:from>
    <xdr:to>
      <xdr:col>21</xdr:col>
      <xdr:colOff>471487</xdr:colOff>
      <xdr:row>33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547098-F83D-49F4-B442-220E0772DF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209550</xdr:colOff>
      <xdr:row>34</xdr:row>
      <xdr:rowOff>0</xdr:rowOff>
    </xdr:from>
    <xdr:to>
      <xdr:col>14</xdr:col>
      <xdr:colOff>666750</xdr:colOff>
      <xdr:row>49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63E83E-CFB8-4954-922E-2D293F436F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34</xdr:row>
      <xdr:rowOff>0</xdr:rowOff>
    </xdr:from>
    <xdr:to>
      <xdr:col>21</xdr:col>
      <xdr:colOff>457200</xdr:colOff>
      <xdr:row>49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70DC7C-19A0-4CE7-82AE-31BC30F35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200024</xdr:colOff>
      <xdr:row>18</xdr:row>
      <xdr:rowOff>133350</xdr:rowOff>
    </xdr:from>
    <xdr:to>
      <xdr:col>14</xdr:col>
      <xdr:colOff>676723</xdr:colOff>
      <xdr:row>33</xdr:row>
      <xdr:rowOff>176157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C6B03B-8922-4F48-9F89-56067E302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137160</xdr:colOff>
      <xdr:row>2</xdr:row>
      <xdr:rowOff>19050</xdr:rowOff>
    </xdr:from>
    <xdr:to>
      <xdr:col>37</xdr:col>
      <xdr:colOff>441960</xdr:colOff>
      <xdr:row>17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E1C6FF-6E57-9994-C4E1-447D69C512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91886</xdr:colOff>
      <xdr:row>10</xdr:row>
      <xdr:rowOff>48186</xdr:rowOff>
    </xdr:from>
    <xdr:to>
      <xdr:col>26</xdr:col>
      <xdr:colOff>179294</xdr:colOff>
      <xdr:row>34</xdr:row>
      <xdr:rowOff>13447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7C774A-AE5C-449D-9B6C-19DABAB1D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434787</xdr:colOff>
      <xdr:row>7</xdr:row>
      <xdr:rowOff>134470</xdr:rowOff>
    </xdr:from>
    <xdr:to>
      <xdr:col>18</xdr:col>
      <xdr:colOff>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E9F7F9-8F35-D923-510B-CD5CDAAE0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394447</xdr:colOff>
      <xdr:row>24</xdr:row>
      <xdr:rowOff>8964</xdr:rowOff>
    </xdr:from>
    <xdr:to>
      <xdr:col>17</xdr:col>
      <xdr:colOff>578223</xdr:colOff>
      <xdr:row>39</xdr:row>
      <xdr:rowOff>62753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EB13F2-EDFD-4344-A274-E8F3E0679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282388</xdr:colOff>
      <xdr:row>8</xdr:row>
      <xdr:rowOff>26895</xdr:rowOff>
    </xdr:from>
    <xdr:to>
      <xdr:col>37</xdr:col>
      <xdr:colOff>717177</xdr:colOff>
      <xdr:row>26</xdr:row>
      <xdr:rowOff>71719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03A1AA-BD1F-4DCC-1DF5-1E7FC5FADE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11204</xdr:colOff>
      <xdr:row>11</xdr:row>
      <xdr:rowOff>84045</xdr:rowOff>
    </xdr:from>
    <xdr:to>
      <xdr:col>32</xdr:col>
      <xdr:colOff>412377</xdr:colOff>
      <xdr:row>35</xdr:row>
      <xdr:rowOff>49306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877031-0E83-4AC8-BA79-3F750FB73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398928</xdr:colOff>
      <xdr:row>24</xdr:row>
      <xdr:rowOff>170329</xdr:rowOff>
    </xdr:from>
    <xdr:to>
      <xdr:col>17</xdr:col>
      <xdr:colOff>573741</xdr:colOff>
      <xdr:row>41</xdr:row>
      <xdr:rowOff>35859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D637AC-2859-48D2-86E9-EC4AB7B2E2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376518</xdr:colOff>
      <xdr:row>41</xdr:row>
      <xdr:rowOff>0</xdr:rowOff>
    </xdr:from>
    <xdr:to>
      <xdr:col>17</xdr:col>
      <xdr:colOff>560294</xdr:colOff>
      <xdr:row>56</xdr:row>
      <xdr:rowOff>53789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5AB8B4-6B60-4647-AB44-6DE3511EC0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282388</xdr:colOff>
      <xdr:row>8</xdr:row>
      <xdr:rowOff>26895</xdr:rowOff>
    </xdr:from>
    <xdr:to>
      <xdr:col>39</xdr:col>
      <xdr:colOff>717177</xdr:colOff>
      <xdr:row>26</xdr:row>
      <xdr:rowOff>71719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18889A-1DF6-45F5-A0C8-A642D00D8D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394447</xdr:colOff>
      <xdr:row>8</xdr:row>
      <xdr:rowOff>134471</xdr:rowOff>
    </xdr:from>
    <xdr:to>
      <xdr:col>17</xdr:col>
      <xdr:colOff>569260</xdr:colOff>
      <xdr:row>25</xdr:row>
      <xdr:rowOff>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49A737-4B19-4F4E-B2F0-03CEC96016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62496-B32A-460A-BAAE-B29940F1AAA5}">
  <dimension ref="A1:AB336"/>
  <sheetViews>
    <sheetView tabSelected="1" workbookViewId="0">
      <selection activeCell="C12" sqref="C12"/>
    </sheetView>
  </sheetViews>
  <sheetFormatPr defaultRowHeight="14.4" x14ac:dyDescent="0.3"/>
  <cols>
    <col min="2" max="2" width="10.33203125" bestFit="1" customWidth="1"/>
  </cols>
  <sheetData>
    <row r="1" spans="1:28" x14ac:dyDescent="0.3">
      <c r="B1" t="s">
        <v>1</v>
      </c>
      <c r="C1" t="s">
        <v>2</v>
      </c>
      <c r="F1" t="s">
        <v>1</v>
      </c>
      <c r="G1" t="s">
        <v>2</v>
      </c>
      <c r="X1" t="s">
        <v>8</v>
      </c>
      <c r="Y1">
        <v>0.05</v>
      </c>
      <c r="Z1">
        <v>0.1</v>
      </c>
      <c r="AA1">
        <v>0.15</v>
      </c>
      <c r="AB1">
        <v>0.2</v>
      </c>
    </row>
    <row r="2" spans="1:28" x14ac:dyDescent="0.3">
      <c r="A2">
        <v>0.05</v>
      </c>
      <c r="B2" s="2" t="e">
        <f>#REF!</f>
        <v>#REF!</v>
      </c>
      <c r="C2" t="e">
        <f>#REF!</f>
        <v>#REF!</v>
      </c>
      <c r="E2">
        <v>0</v>
      </c>
      <c r="F2">
        <v>0</v>
      </c>
      <c r="W2">
        <v>0</v>
      </c>
      <c r="X2">
        <f>W2*33/1000</f>
        <v>0</v>
      </c>
      <c r="Y2">
        <f>(940.92*$Y$1)*($X2-1.2396+1.2396*EXP(-1*$X2/1.2396))</f>
        <v>0</v>
      </c>
      <c r="Z2">
        <f>(940.92*$Z$1)*($X2-1.2396+1.2396*EXP(-1*$X2/1.2396))</f>
        <v>0</v>
      </c>
      <c r="AA2">
        <f>(940.92*$AA$1)*($X2-1.2396+1.2396*EXP(-1*$X2/1.2396))</f>
        <v>0</v>
      </c>
      <c r="AB2">
        <f>(940.92*$AB$1)*($X2-1.2396+1.2396*EXP(-1*$X2/1.2396))</f>
        <v>0</v>
      </c>
    </row>
    <row r="3" spans="1:28" x14ac:dyDescent="0.3">
      <c r="A3">
        <v>0.1</v>
      </c>
      <c r="B3" s="2">
        <f>'Maju 0.05'!AK1</f>
        <v>60.755674865193235</v>
      </c>
      <c r="C3">
        <f>'Maju 0.05'!AK2</f>
        <v>1.8570873799707024</v>
      </c>
      <c r="E3">
        <v>0.05</v>
      </c>
      <c r="F3" s="2" t="e">
        <f>B2</f>
        <v>#REF!</v>
      </c>
      <c r="G3" t="e">
        <f>C2</f>
        <v>#REF!</v>
      </c>
      <c r="W3">
        <v>1</v>
      </c>
      <c r="X3">
        <f t="shared" ref="X3:X66" si="0">W3*33/1000</f>
        <v>3.3000000000000002E-2</v>
      </c>
      <c r="Y3">
        <f t="shared" ref="Y3:Y66" si="1">(940.92*$Y$1)*($X3-1.2396+1.2396*EXP(-1*$X3/1.2396))</f>
        <v>2.0483006590090214E-2</v>
      </c>
      <c r="Z3">
        <f>(940.92*$Z$1)*($X3-1.2396+1.2396*EXP(-1*$X3/1.2396))</f>
        <v>4.0966013180180429E-2</v>
      </c>
      <c r="AA3">
        <f t="shared" ref="AA3:AA66" si="2">(940.92*$AA$1)*($X3-1.2396+1.2396*EXP(-1*$X3/1.2396))</f>
        <v>6.1449019770270639E-2</v>
      </c>
      <c r="AB3">
        <f t="shared" ref="AB3:AB66" si="3">(940.92*$AB$1)*($X3-1.2396+1.2396*EXP(-1*$X3/1.2396))</f>
        <v>8.1932026360360857E-2</v>
      </c>
    </row>
    <row r="4" spans="1:28" x14ac:dyDescent="0.3">
      <c r="A4">
        <v>0.1</v>
      </c>
      <c r="B4" s="2" t="e">
        <f>#REF!</f>
        <v>#REF!</v>
      </c>
      <c r="C4" t="e">
        <f>#REF!</f>
        <v>#REF!</v>
      </c>
      <c r="E4">
        <v>0.1</v>
      </c>
      <c r="F4" s="2" t="e">
        <f>AVERAGE(B3:B5)</f>
        <v>#REF!</v>
      </c>
      <c r="G4" t="e">
        <f>AVERAGE(C3:C5)</f>
        <v>#REF!</v>
      </c>
      <c r="W4">
        <v>2</v>
      </c>
      <c r="X4">
        <f t="shared" si="0"/>
        <v>6.6000000000000003E-2</v>
      </c>
      <c r="Y4">
        <f t="shared" si="1"/>
        <v>8.121297470675784E-2</v>
      </c>
      <c r="Z4">
        <f t="shared" ref="Z4:Z67" si="4">(940.92*$Z$1)*($X4-1.2396+1.2396*EXP(-1*$X4/1.2396))</f>
        <v>0.16242594941351568</v>
      </c>
      <c r="AA4">
        <f t="shared" si="2"/>
        <v>0.24363892412027349</v>
      </c>
      <c r="AB4">
        <f t="shared" si="3"/>
        <v>0.32485189882703136</v>
      </c>
    </row>
    <row r="5" spans="1:28" x14ac:dyDescent="0.3">
      <c r="A5">
        <v>0.1</v>
      </c>
      <c r="B5" s="2" t="e">
        <f>#REF!</f>
        <v>#REF!</v>
      </c>
      <c r="C5" t="e">
        <f>#REF!</f>
        <v>#REF!</v>
      </c>
      <c r="E5">
        <v>0.15</v>
      </c>
      <c r="F5" s="2" t="e">
        <f>AVERAGE(B6:B8)</f>
        <v>#REF!</v>
      </c>
      <c r="G5" s="2" t="e">
        <f>AVERAGE(C6:C8)</f>
        <v>#REF!</v>
      </c>
      <c r="W5">
        <v>3</v>
      </c>
      <c r="X5">
        <f t="shared" si="0"/>
        <v>9.9000000000000005E-2</v>
      </c>
      <c r="Y5">
        <f t="shared" si="1"/>
        <v>0.18113260610345991</v>
      </c>
      <c r="Z5">
        <f t="shared" si="4"/>
        <v>0.36226521220691982</v>
      </c>
      <c r="AA5">
        <f t="shared" si="2"/>
        <v>0.5433978183103797</v>
      </c>
      <c r="AB5">
        <f t="shared" si="3"/>
        <v>0.72453042441383964</v>
      </c>
    </row>
    <row r="6" spans="1:28" x14ac:dyDescent="0.3">
      <c r="A6">
        <v>0.15</v>
      </c>
      <c r="B6" s="2" t="e">
        <f>#REF!</f>
        <v>#REF!</v>
      </c>
      <c r="C6" t="e">
        <f>#REF!</f>
        <v>#REF!</v>
      </c>
      <c r="E6">
        <v>0.2</v>
      </c>
      <c r="F6" s="2" t="e">
        <f>AVERAGE(B9:B10)</f>
        <v>#REF!</v>
      </c>
      <c r="G6" s="2" t="e">
        <f>AVERAGE(C9:C10)</f>
        <v>#REF!</v>
      </c>
      <c r="W6">
        <v>4</v>
      </c>
      <c r="X6">
        <f t="shared" si="0"/>
        <v>0.13200000000000001</v>
      </c>
      <c r="Y6">
        <f t="shared" si="1"/>
        <v>0.31921237803624963</v>
      </c>
      <c r="Z6">
        <f t="shared" si="4"/>
        <v>0.63842475607249927</v>
      </c>
      <c r="AA6">
        <f t="shared" si="2"/>
        <v>0.95763713410874873</v>
      </c>
      <c r="AB6">
        <f t="shared" si="3"/>
        <v>1.2768495121449985</v>
      </c>
    </row>
    <row r="7" spans="1:28" x14ac:dyDescent="0.3">
      <c r="A7">
        <v>0.15</v>
      </c>
      <c r="B7" s="2" t="e">
        <f>#REF!</f>
        <v>#REF!</v>
      </c>
      <c r="C7" t="e">
        <f>#REF!</f>
        <v>#REF!</v>
      </c>
      <c r="G7" t="e">
        <f>AVERAGE(G3:G6)</f>
        <v>#REF!</v>
      </c>
      <c r="W7">
        <v>5</v>
      </c>
      <c r="X7">
        <f t="shared" si="0"/>
        <v>0.16500000000000001</v>
      </c>
      <c r="Y7">
        <f t="shared" si="1"/>
        <v>0.49444981359395102</v>
      </c>
      <c r="Z7">
        <f t="shared" si="4"/>
        <v>0.98889962718790203</v>
      </c>
      <c r="AA7">
        <f t="shared" si="2"/>
        <v>1.4833494407818528</v>
      </c>
      <c r="AB7">
        <f t="shared" si="3"/>
        <v>1.9777992543758041</v>
      </c>
    </row>
    <row r="8" spans="1:28" x14ac:dyDescent="0.3">
      <c r="A8">
        <v>0.15</v>
      </c>
      <c r="B8" s="2" t="e">
        <f>#REF!</f>
        <v>#REF!</v>
      </c>
      <c r="C8" t="e">
        <f>#REF!</f>
        <v>#REF!</v>
      </c>
      <c r="G8" t="e">
        <f>AVERAGE(C12,G7)</f>
        <v>#REF!</v>
      </c>
      <c r="W8">
        <v>6</v>
      </c>
      <c r="X8">
        <f t="shared" si="0"/>
        <v>0.19800000000000001</v>
      </c>
      <c r="Y8">
        <f t="shared" si="1"/>
        <v>0.70586877119704194</v>
      </c>
      <c r="Z8">
        <f t="shared" si="4"/>
        <v>1.4117375423940839</v>
      </c>
      <c r="AA8">
        <f t="shared" si="2"/>
        <v>2.1176063135911254</v>
      </c>
      <c r="AB8">
        <f t="shared" si="3"/>
        <v>2.8234750847881678</v>
      </c>
    </row>
    <row r="9" spans="1:28" x14ac:dyDescent="0.3">
      <c r="A9">
        <v>0.2</v>
      </c>
      <c r="B9" s="2" t="e">
        <f>#REF!</f>
        <v>#REF!</v>
      </c>
      <c r="C9" t="e">
        <f>#REF!</f>
        <v>#REF!</v>
      </c>
      <c r="W9">
        <v>7</v>
      </c>
      <c r="X9">
        <f t="shared" si="0"/>
        <v>0.23100000000000001</v>
      </c>
      <c r="Y9">
        <f t="shared" si="1"/>
        <v>0.95251875276162834</v>
      </c>
      <c r="Z9">
        <f t="shared" si="4"/>
        <v>1.9050375055232567</v>
      </c>
      <c r="AA9">
        <f t="shared" si="2"/>
        <v>2.8575562582848844</v>
      </c>
      <c r="AB9">
        <f t="shared" si="3"/>
        <v>3.8100750110465134</v>
      </c>
    </row>
    <row r="10" spans="1:28" x14ac:dyDescent="0.3">
      <c r="A10">
        <v>0.2</v>
      </c>
      <c r="B10" s="2" t="e">
        <f>#REF!</f>
        <v>#REF!</v>
      </c>
      <c r="C10" t="e">
        <f>#REF!</f>
        <v>#REF!</v>
      </c>
      <c r="W10">
        <v>8</v>
      </c>
      <c r="X10">
        <f t="shared" si="0"/>
        <v>0.26400000000000001</v>
      </c>
      <c r="Y10">
        <f t="shared" si="1"/>
        <v>1.2334742300379931</v>
      </c>
      <c r="Z10">
        <f t="shared" si="4"/>
        <v>2.4669484600759861</v>
      </c>
      <c r="AA10">
        <f t="shared" si="2"/>
        <v>3.7004226901139785</v>
      </c>
      <c r="AB10">
        <f t="shared" si="3"/>
        <v>4.9338969201519722</v>
      </c>
    </row>
    <row r="11" spans="1:28" x14ac:dyDescent="0.3">
      <c r="W11">
        <v>9</v>
      </c>
      <c r="X11">
        <f t="shared" si="0"/>
        <v>0.29699999999999999</v>
      </c>
      <c r="Y11">
        <f t="shared" si="1"/>
        <v>1.5478339886465793</v>
      </c>
      <c r="Z11">
        <f t="shared" si="4"/>
        <v>3.0956679772931586</v>
      </c>
      <c r="AA11">
        <f t="shared" si="2"/>
        <v>4.6435019659397376</v>
      </c>
      <c r="AB11">
        <f t="shared" si="3"/>
        <v>6.1913359545863171</v>
      </c>
    </row>
    <row r="12" spans="1:28" x14ac:dyDescent="0.3">
      <c r="C12" t="e">
        <f>AVERAGE(C2:C10)</f>
        <v>#REF!</v>
      </c>
      <c r="W12">
        <v>10</v>
      </c>
      <c r="X12">
        <f t="shared" si="0"/>
        <v>0.33</v>
      </c>
      <c r="Y12">
        <f t="shared" si="1"/>
        <v>1.8947204893461966</v>
      </c>
      <c r="Z12">
        <f t="shared" si="4"/>
        <v>3.7894409786923933</v>
      </c>
      <c r="AA12">
        <f t="shared" si="2"/>
        <v>5.6841614680385888</v>
      </c>
      <c r="AB12">
        <f t="shared" si="3"/>
        <v>7.5788819573847865</v>
      </c>
    </row>
    <row r="13" spans="1:28" x14ac:dyDescent="0.3">
      <c r="W13">
        <v>11</v>
      </c>
      <c r="X13">
        <f t="shared" si="0"/>
        <v>0.36299999999999999</v>
      </c>
      <c r="Y13">
        <f t="shared" si="1"/>
        <v>2.2732792460819109</v>
      </c>
      <c r="Z13">
        <f t="shared" si="4"/>
        <v>4.5465584921638218</v>
      </c>
      <c r="AA13">
        <f t="shared" si="2"/>
        <v>6.8198377382457318</v>
      </c>
      <c r="AB13">
        <f t="shared" si="3"/>
        <v>9.0931169843276436</v>
      </c>
    </row>
    <row r="14" spans="1:28" x14ac:dyDescent="0.3">
      <c r="W14">
        <v>12</v>
      </c>
      <c r="X14">
        <f t="shared" si="0"/>
        <v>0.39600000000000002</v>
      </c>
      <c r="Y14">
        <f t="shared" si="1"/>
        <v>2.6826782203718271</v>
      </c>
      <c r="Z14">
        <f t="shared" si="4"/>
        <v>5.3653564407436543</v>
      </c>
      <c r="AA14">
        <f t="shared" si="2"/>
        <v>8.04803466111548</v>
      </c>
      <c r="AB14">
        <f t="shared" si="3"/>
        <v>10.730712881487309</v>
      </c>
    </row>
    <row r="15" spans="1:28" x14ac:dyDescent="0.3">
      <c r="D15" t="s">
        <v>14</v>
      </c>
      <c r="W15">
        <v>13</v>
      </c>
      <c r="X15">
        <f t="shared" si="0"/>
        <v>0.42899999999999999</v>
      </c>
      <c r="Y15">
        <f t="shared" si="1"/>
        <v>3.1221072316034122</v>
      </c>
      <c r="Z15">
        <f t="shared" si="4"/>
        <v>6.2442144632068244</v>
      </c>
      <c r="AA15">
        <f t="shared" si="2"/>
        <v>9.3663216948102352</v>
      </c>
      <c r="AB15">
        <f t="shared" si="3"/>
        <v>12.488428926413649</v>
      </c>
    </row>
    <row r="16" spans="1:28" x14ac:dyDescent="0.3">
      <c r="D16" t="s">
        <v>15</v>
      </c>
      <c r="W16">
        <v>14</v>
      </c>
      <c r="X16">
        <f t="shared" si="0"/>
        <v>0.46200000000000002</v>
      </c>
      <c r="Y16">
        <f t="shared" si="1"/>
        <v>3.5907773828215435</v>
      </c>
      <c r="Z16">
        <f t="shared" si="4"/>
        <v>7.1815547656430869</v>
      </c>
      <c r="AA16">
        <f t="shared" si="2"/>
        <v>10.772332148464629</v>
      </c>
      <c r="AB16">
        <f t="shared" si="3"/>
        <v>14.363109531286174</v>
      </c>
    </row>
    <row r="17" spans="23:28" x14ac:dyDescent="0.3">
      <c r="W17">
        <v>15</v>
      </c>
      <c r="X17">
        <f t="shared" si="0"/>
        <v>0.495</v>
      </c>
      <c r="Y17">
        <f t="shared" si="1"/>
        <v>4.0879205016012659</v>
      </c>
      <c r="Z17">
        <f t="shared" si="4"/>
        <v>8.1758410032025317</v>
      </c>
      <c r="AA17">
        <f t="shared" si="2"/>
        <v>12.263761504803794</v>
      </c>
      <c r="AB17">
        <f t="shared" si="3"/>
        <v>16.351682006405063</v>
      </c>
    </row>
    <row r="18" spans="23:28" x14ac:dyDescent="0.3">
      <c r="W18">
        <v>16</v>
      </c>
      <c r="X18">
        <f t="shared" si="0"/>
        <v>0.52800000000000002</v>
      </c>
      <c r="Y18">
        <f t="shared" si="1"/>
        <v>4.6127885956088877</v>
      </c>
      <c r="Z18">
        <f t="shared" si="4"/>
        <v>9.2255771912177753</v>
      </c>
      <c r="AA18">
        <f t="shared" si="2"/>
        <v>13.838365786826662</v>
      </c>
      <c r="AB18">
        <f t="shared" si="3"/>
        <v>18.451154382435551</v>
      </c>
    </row>
    <row r="19" spans="23:28" x14ac:dyDescent="0.3">
      <c r="W19">
        <v>17</v>
      </c>
      <c r="X19">
        <f t="shared" si="0"/>
        <v>0.56100000000000005</v>
      </c>
      <c r="Y19">
        <f t="shared" si="1"/>
        <v>5.1646533224657309</v>
      </c>
      <c r="Z19">
        <f t="shared" si="4"/>
        <v>10.329306644931462</v>
      </c>
      <c r="AA19">
        <f t="shared" si="2"/>
        <v>15.49395996739719</v>
      </c>
      <c r="AB19">
        <f t="shared" si="3"/>
        <v>20.658613289862924</v>
      </c>
    </row>
    <row r="20" spans="23:28" x14ac:dyDescent="0.3">
      <c r="W20">
        <v>18</v>
      </c>
      <c r="X20">
        <f t="shared" si="0"/>
        <v>0.59399999999999997</v>
      </c>
      <c r="Y20">
        <f t="shared" si="1"/>
        <v>5.7428054735386329</v>
      </c>
      <c r="Z20">
        <f t="shared" si="4"/>
        <v>11.485610947077266</v>
      </c>
      <c r="AA20">
        <f t="shared" si="2"/>
        <v>17.228416420615897</v>
      </c>
      <c r="AB20">
        <f t="shared" si="3"/>
        <v>22.971221894154532</v>
      </c>
    </row>
    <row r="21" spans="23:28" x14ac:dyDescent="0.3">
      <c r="W21">
        <v>19</v>
      </c>
      <c r="X21">
        <f t="shared" si="0"/>
        <v>0.627</v>
      </c>
      <c r="Y21">
        <f t="shared" si="1"/>
        <v>6.3465544712914426</v>
      </c>
      <c r="Z21">
        <f t="shared" si="4"/>
        <v>12.693108942582885</v>
      </c>
      <c r="AA21">
        <f t="shared" si="2"/>
        <v>19.039663413874326</v>
      </c>
      <c r="AB21">
        <f t="shared" si="3"/>
        <v>25.38621788516577</v>
      </c>
    </row>
    <row r="22" spans="23:28" x14ac:dyDescent="0.3">
      <c r="W22">
        <v>20</v>
      </c>
      <c r="X22">
        <f t="shared" si="0"/>
        <v>0.66</v>
      </c>
      <c r="Y22">
        <f t="shared" si="1"/>
        <v>6.9752278798411833</v>
      </c>
      <c r="Z22">
        <f t="shared" si="4"/>
        <v>13.950455759682367</v>
      </c>
      <c r="AA22">
        <f t="shared" si="2"/>
        <v>20.925683639523545</v>
      </c>
      <c r="AB22">
        <f t="shared" si="3"/>
        <v>27.900911519364733</v>
      </c>
    </row>
    <row r="23" spans="23:28" x14ac:dyDescent="0.3">
      <c r="W23">
        <v>21</v>
      </c>
      <c r="X23">
        <f t="shared" si="0"/>
        <v>0.69299999999999995</v>
      </c>
      <c r="Y23">
        <f t="shared" si="1"/>
        <v>7.6281709283721035</v>
      </c>
      <c r="Z23">
        <f t="shared" si="4"/>
        <v>15.256341856744207</v>
      </c>
      <c r="AA23">
        <f t="shared" si="2"/>
        <v>22.884512785116307</v>
      </c>
      <c r="AB23">
        <f t="shared" si="3"/>
        <v>30.512683713488414</v>
      </c>
    </row>
    <row r="24" spans="23:28" x14ac:dyDescent="0.3">
      <c r="W24">
        <v>22</v>
      </c>
      <c r="X24">
        <f t="shared" si="0"/>
        <v>0.72599999999999998</v>
      </c>
      <c r="Y24">
        <f t="shared" si="1"/>
        <v>8.3047460470696688</v>
      </c>
      <c r="Z24">
        <f t="shared" si="4"/>
        <v>16.609492094139338</v>
      </c>
      <c r="AA24">
        <f t="shared" si="2"/>
        <v>24.914238141209001</v>
      </c>
      <c r="AB24">
        <f t="shared" si="3"/>
        <v>33.218984188278675</v>
      </c>
    </row>
    <row r="25" spans="23:28" x14ac:dyDescent="0.3">
      <c r="W25">
        <v>23</v>
      </c>
      <c r="X25">
        <f t="shared" si="0"/>
        <v>0.75900000000000001</v>
      </c>
      <c r="Y25">
        <f t="shared" si="1"/>
        <v>9.0043324152458037</v>
      </c>
      <c r="Z25">
        <f t="shared" si="4"/>
        <v>18.008664830491607</v>
      </c>
      <c r="AA25">
        <f t="shared" si="2"/>
        <v>27.012997245737406</v>
      </c>
      <c r="AB25">
        <f t="shared" si="3"/>
        <v>36.017329660983215</v>
      </c>
    </row>
    <row r="26" spans="23:28" x14ac:dyDescent="0.3">
      <c r="W26">
        <v>24</v>
      </c>
      <c r="X26">
        <f t="shared" si="0"/>
        <v>0.79200000000000004</v>
      </c>
      <c r="Y26">
        <f t="shared" si="1"/>
        <v>9.7263255213348891</v>
      </c>
      <c r="Z26">
        <f t="shared" si="4"/>
        <v>19.452651042669778</v>
      </c>
      <c r="AA26">
        <f t="shared" si="2"/>
        <v>29.17897656400466</v>
      </c>
      <c r="AB26">
        <f t="shared" si="3"/>
        <v>38.905302085339557</v>
      </c>
    </row>
    <row r="27" spans="23:28" x14ac:dyDescent="0.3">
      <c r="W27">
        <v>25</v>
      </c>
      <c r="X27">
        <f t="shared" si="0"/>
        <v>0.82499999999999996</v>
      </c>
      <c r="Y27">
        <f t="shared" si="1"/>
        <v>10.47013673444885</v>
      </c>
      <c r="Z27">
        <f t="shared" si="4"/>
        <v>20.940273468897701</v>
      </c>
      <c r="AA27">
        <f t="shared" si="2"/>
        <v>31.410410203346547</v>
      </c>
      <c r="AB27">
        <f t="shared" si="3"/>
        <v>41.880546937795401</v>
      </c>
    </row>
    <row r="28" spans="23:28" x14ac:dyDescent="0.3">
      <c r="W28">
        <v>26</v>
      </c>
      <c r="X28">
        <f t="shared" si="0"/>
        <v>0.85799999999999998</v>
      </c>
      <c r="Y28">
        <f t="shared" si="1"/>
        <v>11.23519288718761</v>
      </c>
      <c r="Z28">
        <f t="shared" si="4"/>
        <v>22.47038577437522</v>
      </c>
      <c r="AA28">
        <f t="shared" si="2"/>
        <v>33.705578661562825</v>
      </c>
      <c r="AB28">
        <f t="shared" si="3"/>
        <v>44.94077154875044</v>
      </c>
    </row>
    <row r="29" spans="23:28" x14ac:dyDescent="0.3">
      <c r="W29">
        <v>27</v>
      </c>
      <c r="X29">
        <f t="shared" si="0"/>
        <v>0.89100000000000001</v>
      </c>
      <c r="Y29">
        <f t="shared" si="1"/>
        <v>12.020935869409163</v>
      </c>
      <c r="Z29">
        <f t="shared" si="4"/>
        <v>24.041871738818326</v>
      </c>
      <c r="AA29">
        <f t="shared" si="2"/>
        <v>36.062807608227487</v>
      </c>
      <c r="AB29">
        <f t="shared" si="3"/>
        <v>48.083743477636652</v>
      </c>
    </row>
    <row r="30" spans="23:28" x14ac:dyDescent="0.3">
      <c r="W30">
        <v>28</v>
      </c>
      <c r="X30">
        <f t="shared" si="0"/>
        <v>0.92400000000000004</v>
      </c>
      <c r="Y30">
        <f t="shared" si="1"/>
        <v>12.8268222326715</v>
      </c>
      <c r="Z30">
        <f t="shared" si="4"/>
        <v>25.653644465343</v>
      </c>
      <c r="AA30">
        <f t="shared" si="2"/>
        <v>38.480466698014489</v>
      </c>
      <c r="AB30">
        <f t="shared" si="3"/>
        <v>51.307288930685999</v>
      </c>
    </row>
    <row r="31" spans="23:28" x14ac:dyDescent="0.3">
      <c r="W31">
        <v>29</v>
      </c>
      <c r="X31">
        <f t="shared" si="0"/>
        <v>0.95699999999999996</v>
      </c>
      <c r="Y31">
        <f t="shared" si="1"/>
        <v>13.652322805065838</v>
      </c>
      <c r="Z31">
        <f t="shared" si="4"/>
        <v>27.304645610131676</v>
      </c>
      <c r="AA31">
        <f t="shared" si="2"/>
        <v>40.956968415197508</v>
      </c>
      <c r="AB31">
        <f t="shared" si="3"/>
        <v>54.609291220263351</v>
      </c>
    </row>
    <row r="32" spans="23:28" x14ac:dyDescent="0.3">
      <c r="W32">
        <v>30</v>
      </c>
      <c r="X32">
        <f t="shared" si="0"/>
        <v>0.99</v>
      </c>
      <c r="Y32">
        <f t="shared" si="1"/>
        <v>14.496922316168392</v>
      </c>
      <c r="Z32">
        <f t="shared" si="4"/>
        <v>28.993844632336785</v>
      </c>
      <c r="AA32">
        <f t="shared" si="2"/>
        <v>43.490766948505168</v>
      </c>
      <c r="AB32">
        <f t="shared" si="3"/>
        <v>57.98768926467357</v>
      </c>
    </row>
    <row r="33" spans="23:28" x14ac:dyDescent="0.3">
      <c r="W33">
        <v>31</v>
      </c>
      <c r="X33">
        <f t="shared" si="0"/>
        <v>1.0229999999999999</v>
      </c>
      <c r="Y33">
        <f t="shared" si="1"/>
        <v>15.360119031844707</v>
      </c>
      <c r="Z33">
        <f t="shared" si="4"/>
        <v>30.720238063689415</v>
      </c>
      <c r="AA33">
        <f t="shared" si="2"/>
        <v>46.080357095534112</v>
      </c>
      <c r="AB33">
        <f t="shared" si="3"/>
        <v>61.44047612737883</v>
      </c>
    </row>
    <row r="34" spans="23:28" x14ac:dyDescent="0.3">
      <c r="W34">
        <v>32</v>
      </c>
      <c r="X34">
        <f t="shared" si="0"/>
        <v>1.056</v>
      </c>
      <c r="Y34">
        <f t="shared" si="1"/>
        <v>16.241424398647755</v>
      </c>
      <c r="Z34">
        <f t="shared" si="4"/>
        <v>32.48284879729551</v>
      </c>
      <c r="AA34">
        <f t="shared" si="2"/>
        <v>48.724273195943255</v>
      </c>
      <c r="AB34">
        <f t="shared" si="3"/>
        <v>64.96569759459102</v>
      </c>
    </row>
    <row r="35" spans="23:28" x14ac:dyDescent="0.3">
      <c r="W35">
        <v>33</v>
      </c>
      <c r="X35">
        <f t="shared" si="0"/>
        <v>1.089</v>
      </c>
      <c r="Y35">
        <f t="shared" si="1"/>
        <v>17.140362697557851</v>
      </c>
      <c r="Z35">
        <f t="shared" si="4"/>
        <v>34.280725395115702</v>
      </c>
      <c r="AA35">
        <f t="shared" si="2"/>
        <v>51.421088092673543</v>
      </c>
      <c r="AB35">
        <f t="shared" si="3"/>
        <v>68.561450790231405</v>
      </c>
    </row>
    <row r="36" spans="23:28" x14ac:dyDescent="0.3">
      <c r="W36">
        <v>34</v>
      </c>
      <c r="X36">
        <f t="shared" si="0"/>
        <v>1.1220000000000001</v>
      </c>
      <c r="Y36">
        <f t="shared" si="1"/>
        <v>18.05647070681886</v>
      </c>
      <c r="Z36">
        <f t="shared" si="4"/>
        <v>36.112941413637721</v>
      </c>
      <c r="AA36">
        <f t="shared" si="2"/>
        <v>54.169412120456577</v>
      </c>
      <c r="AB36">
        <f t="shared" si="3"/>
        <v>72.225882827275441</v>
      </c>
    </row>
    <row r="37" spans="23:28" x14ac:dyDescent="0.3">
      <c r="W37">
        <v>35</v>
      </c>
      <c r="X37">
        <f t="shared" si="0"/>
        <v>1.155</v>
      </c>
      <c r="Y37">
        <f t="shared" si="1"/>
        <v>18.989297373631789</v>
      </c>
      <c r="Z37">
        <f t="shared" si="4"/>
        <v>37.978594747263578</v>
      </c>
      <c r="AA37">
        <f t="shared" si="2"/>
        <v>56.967892120895357</v>
      </c>
      <c r="AB37">
        <f t="shared" si="3"/>
        <v>75.957189494527157</v>
      </c>
    </row>
    <row r="38" spans="23:28" x14ac:dyDescent="0.3">
      <c r="W38">
        <v>36</v>
      </c>
      <c r="X38">
        <f t="shared" si="0"/>
        <v>1.1879999999999999</v>
      </c>
      <c r="Y38">
        <f t="shared" si="1"/>
        <v>19.938403494473121</v>
      </c>
      <c r="Z38">
        <f t="shared" si="4"/>
        <v>39.876806988946242</v>
      </c>
      <c r="AA38">
        <f t="shared" si="2"/>
        <v>59.815210483419357</v>
      </c>
      <c r="AB38">
        <f t="shared" si="3"/>
        <v>79.753613977892485</v>
      </c>
    </row>
    <row r="39" spans="23:28" x14ac:dyDescent="0.3">
      <c r="W39">
        <v>37</v>
      </c>
      <c r="X39">
        <f t="shared" si="0"/>
        <v>1.2210000000000001</v>
      </c>
      <c r="Y39">
        <f t="shared" si="1"/>
        <v>20.903361403811218</v>
      </c>
      <c r="Z39">
        <f t="shared" si="4"/>
        <v>41.806722807622435</v>
      </c>
      <c r="AA39">
        <f t="shared" si="2"/>
        <v>62.710084211433646</v>
      </c>
      <c r="AB39">
        <f t="shared" si="3"/>
        <v>83.613445615244871</v>
      </c>
    </row>
    <row r="40" spans="23:28" x14ac:dyDescent="0.3">
      <c r="W40">
        <v>38</v>
      </c>
      <c r="X40">
        <f t="shared" si="0"/>
        <v>1.254</v>
      </c>
      <c r="Y40">
        <f t="shared" si="1"/>
        <v>21.883754671000229</v>
      </c>
      <c r="Z40">
        <f t="shared" si="4"/>
        <v>43.767509342000459</v>
      </c>
      <c r="AA40">
        <f t="shared" si="2"/>
        <v>65.65126401300067</v>
      </c>
      <c r="AB40">
        <f t="shared" si="3"/>
        <v>87.535018684000917</v>
      </c>
    </row>
    <row r="41" spans="23:28" x14ac:dyDescent="0.3">
      <c r="W41">
        <v>39</v>
      </c>
      <c r="X41">
        <f t="shared" si="0"/>
        <v>1.2869999999999999</v>
      </c>
      <c r="Y41">
        <f t="shared" si="1"/>
        <v>22.879177805136717</v>
      </c>
      <c r="Z41">
        <f t="shared" si="4"/>
        <v>45.758355610273433</v>
      </c>
      <c r="AA41">
        <f t="shared" si="2"/>
        <v>68.637533415410132</v>
      </c>
      <c r="AB41">
        <f t="shared" si="3"/>
        <v>91.516711220546867</v>
      </c>
    </row>
    <row r="42" spans="23:28" x14ac:dyDescent="0.3">
      <c r="W42">
        <v>40</v>
      </c>
      <c r="X42">
        <f t="shared" si="0"/>
        <v>1.32</v>
      </c>
      <c r="Y42">
        <f t="shared" si="1"/>
        <v>23.889235967669755</v>
      </c>
      <c r="Z42">
        <f t="shared" si="4"/>
        <v>47.77847193533951</v>
      </c>
      <c r="AA42">
        <f t="shared" si="2"/>
        <v>71.667707903009259</v>
      </c>
      <c r="AB42">
        <f t="shared" si="3"/>
        <v>95.556943870679021</v>
      </c>
    </row>
    <row r="43" spans="23:28" x14ac:dyDescent="0.3">
      <c r="W43">
        <v>41</v>
      </c>
      <c r="X43">
        <f t="shared" si="0"/>
        <v>1.353</v>
      </c>
      <c r="Y43">
        <f t="shared" si="1"/>
        <v>24.913544692560802</v>
      </c>
      <c r="Z43">
        <f t="shared" si="4"/>
        <v>49.827089385121603</v>
      </c>
      <c r="AA43">
        <f t="shared" si="2"/>
        <v>74.740634077682387</v>
      </c>
      <c r="AB43">
        <f t="shared" si="3"/>
        <v>99.654178770243206</v>
      </c>
    </row>
    <row r="44" spans="23:28" x14ac:dyDescent="0.3">
      <c r="W44">
        <v>42</v>
      </c>
      <c r="X44">
        <f t="shared" si="0"/>
        <v>1.3859999999999999</v>
      </c>
      <c r="Y44">
        <f t="shared" si="1"/>
        <v>25.951729613795088</v>
      </c>
      <c r="Z44">
        <f t="shared" si="4"/>
        <v>51.903459227590176</v>
      </c>
      <c r="AA44">
        <f t="shared" si="2"/>
        <v>77.855188841385242</v>
      </c>
      <c r="AB44">
        <f t="shared" si="3"/>
        <v>103.80691845518035</v>
      </c>
    </row>
    <row r="45" spans="23:28" x14ac:dyDescent="0.3">
      <c r="W45">
        <v>43</v>
      </c>
      <c r="X45">
        <f t="shared" si="0"/>
        <v>1.419</v>
      </c>
      <c r="Y45">
        <f t="shared" si="1"/>
        <v>27.003426200051365</v>
      </c>
      <c r="Z45">
        <f t="shared" si="4"/>
        <v>54.00685240010273</v>
      </c>
      <c r="AA45">
        <f t="shared" si="2"/>
        <v>81.010278600154081</v>
      </c>
      <c r="AB45">
        <f t="shared" si="3"/>
        <v>108.01370480020546</v>
      </c>
    </row>
    <row r="46" spans="23:28" x14ac:dyDescent="0.3">
      <c r="W46">
        <v>44</v>
      </c>
      <c r="X46">
        <f t="shared" si="0"/>
        <v>1.452</v>
      </c>
      <c r="Y46">
        <f t="shared" si="1"/>
        <v>28.068279496341894</v>
      </c>
      <c r="Z46">
        <f t="shared" si="4"/>
        <v>56.136558992683788</v>
      </c>
      <c r="AA46">
        <f t="shared" si="2"/>
        <v>84.204838489025676</v>
      </c>
      <c r="AB46">
        <f t="shared" si="3"/>
        <v>112.27311798536758</v>
      </c>
    </row>
    <row r="47" spans="23:28" x14ac:dyDescent="0.3">
      <c r="W47">
        <v>45</v>
      </c>
      <c r="X47">
        <f t="shared" si="0"/>
        <v>1.4850000000000001</v>
      </c>
      <c r="Y47">
        <f t="shared" si="1"/>
        <v>29.14594387243967</v>
      </c>
      <c r="Z47">
        <f t="shared" si="4"/>
        <v>58.29188774487934</v>
      </c>
      <c r="AA47">
        <f t="shared" si="2"/>
        <v>87.437831617318992</v>
      </c>
      <c r="AB47">
        <f t="shared" si="3"/>
        <v>116.58377548975868</v>
      </c>
    </row>
    <row r="48" spans="23:28" x14ac:dyDescent="0.3">
      <c r="W48">
        <v>46</v>
      </c>
      <c r="X48">
        <f t="shared" si="0"/>
        <v>1.518</v>
      </c>
      <c r="Y48">
        <f t="shared" si="1"/>
        <v>30.236082777914472</v>
      </c>
      <c r="Z48">
        <f t="shared" si="4"/>
        <v>60.472165555828944</v>
      </c>
      <c r="AA48">
        <f t="shared" si="2"/>
        <v>90.708248333743398</v>
      </c>
      <c r="AB48">
        <f t="shared" si="3"/>
        <v>120.94433111165789</v>
      </c>
    </row>
    <row r="49" spans="23:28" x14ac:dyDescent="0.3">
      <c r="W49">
        <v>47</v>
      </c>
      <c r="X49">
        <f t="shared" si="0"/>
        <v>1.5509999999999999</v>
      </c>
      <c r="Y49">
        <f t="shared" si="1"/>
        <v>31.338368503604272</v>
      </c>
      <c r="Z49">
        <f t="shared" si="4"/>
        <v>62.676737007208544</v>
      </c>
      <c r="AA49">
        <f t="shared" si="2"/>
        <v>94.015105510812802</v>
      </c>
      <c r="AB49">
        <f t="shared" si="3"/>
        <v>125.35347401441709</v>
      </c>
    </row>
    <row r="50" spans="23:28" x14ac:dyDescent="0.3">
      <c r="W50">
        <v>48</v>
      </c>
      <c r="X50">
        <f t="shared" si="0"/>
        <v>1.5840000000000001</v>
      </c>
      <c r="Y50">
        <f t="shared" si="1"/>
        <v>32.452481949352773</v>
      </c>
      <c r="Z50">
        <f t="shared" si="4"/>
        <v>64.904963898705546</v>
      </c>
      <c r="AA50">
        <f t="shared" si="2"/>
        <v>97.357445848058319</v>
      </c>
      <c r="AB50">
        <f t="shared" si="3"/>
        <v>129.80992779741109</v>
      </c>
    </row>
    <row r="51" spans="23:28" x14ac:dyDescent="0.3">
      <c r="W51">
        <v>49</v>
      </c>
      <c r="X51">
        <f t="shared" si="0"/>
        <v>1.617</v>
      </c>
      <c r="Y51">
        <f t="shared" si="1"/>
        <v>33.578112397848557</v>
      </c>
      <c r="Z51">
        <f t="shared" si="4"/>
        <v>67.156224795697113</v>
      </c>
      <c r="AA51">
        <f t="shared" si="2"/>
        <v>100.73433719354566</v>
      </c>
      <c r="AB51">
        <f t="shared" si="3"/>
        <v>134.31244959139423</v>
      </c>
    </row>
    <row r="52" spans="23:28" x14ac:dyDescent="0.3">
      <c r="W52">
        <v>50</v>
      </c>
      <c r="X52">
        <f t="shared" si="0"/>
        <v>1.65</v>
      </c>
      <c r="Y52">
        <f t="shared" si="1"/>
        <v>34.714957294405536</v>
      </c>
      <c r="Z52">
        <f t="shared" si="4"/>
        <v>69.429914588811073</v>
      </c>
      <c r="AA52">
        <f t="shared" si="2"/>
        <v>104.14487188321661</v>
      </c>
      <c r="AB52">
        <f t="shared" si="3"/>
        <v>138.85982917762215</v>
      </c>
    </row>
    <row r="53" spans="23:28" x14ac:dyDescent="0.3">
      <c r="W53">
        <v>51</v>
      </c>
      <c r="X53">
        <f t="shared" si="0"/>
        <v>1.6830000000000001</v>
      </c>
      <c r="Y53">
        <f t="shared" si="1"/>
        <v>35.86272203252873</v>
      </c>
      <c r="Z53">
        <f t="shared" si="4"/>
        <v>71.725444065057459</v>
      </c>
      <c r="AA53">
        <f t="shared" si="2"/>
        <v>107.58816609758617</v>
      </c>
      <c r="AB53">
        <f t="shared" si="3"/>
        <v>143.45088813011492</v>
      </c>
    </row>
    <row r="54" spans="23:28" x14ac:dyDescent="0.3">
      <c r="W54">
        <v>52</v>
      </c>
      <c r="X54">
        <f t="shared" si="0"/>
        <v>1.716</v>
      </c>
      <c r="Y54">
        <f t="shared" si="1"/>
        <v>37.021119745113054</v>
      </c>
      <c r="Z54">
        <f t="shared" si="4"/>
        <v>74.042239490226109</v>
      </c>
      <c r="AA54">
        <f t="shared" si="2"/>
        <v>111.06335923533914</v>
      </c>
      <c r="AB54">
        <f t="shared" si="3"/>
        <v>148.08447898045222</v>
      </c>
    </row>
    <row r="55" spans="23:28" x14ac:dyDescent="0.3">
      <c r="W55">
        <v>53</v>
      </c>
      <c r="X55">
        <f t="shared" si="0"/>
        <v>1.7490000000000001</v>
      </c>
      <c r="Y55">
        <f t="shared" si="1"/>
        <v>38.189871101127643</v>
      </c>
      <c r="Z55">
        <f t="shared" si="4"/>
        <v>76.379742202255287</v>
      </c>
      <c r="AA55">
        <f t="shared" si="2"/>
        <v>114.56961330338291</v>
      </c>
      <c r="AB55">
        <f t="shared" si="3"/>
        <v>152.75948440451057</v>
      </c>
    </row>
    <row r="56" spans="23:28" x14ac:dyDescent="0.3">
      <c r="W56">
        <v>54</v>
      </c>
      <c r="X56">
        <f t="shared" si="0"/>
        <v>1.782</v>
      </c>
      <c r="Y56">
        <f t="shared" si="1"/>
        <v>39.368704107641136</v>
      </c>
      <c r="Z56">
        <f t="shared" si="4"/>
        <v>78.737408215282272</v>
      </c>
      <c r="AA56">
        <f t="shared" si="2"/>
        <v>118.10611232292339</v>
      </c>
      <c r="AB56">
        <f t="shared" si="3"/>
        <v>157.47481643056454</v>
      </c>
    </row>
    <row r="57" spans="23:28" x14ac:dyDescent="0.3">
      <c r="W57">
        <v>55</v>
      </c>
      <c r="X57">
        <f t="shared" si="0"/>
        <v>1.8149999999999999</v>
      </c>
      <c r="Y57">
        <f t="shared" si="1"/>
        <v>40.557353917047912</v>
      </c>
      <c r="Z57">
        <f t="shared" si="4"/>
        <v>81.114707834095825</v>
      </c>
      <c r="AA57">
        <f t="shared" si="2"/>
        <v>121.67206175114372</v>
      </c>
      <c r="AB57">
        <f t="shared" si="3"/>
        <v>162.22941566819165</v>
      </c>
    </row>
    <row r="58" spans="23:28" x14ac:dyDescent="0.3">
      <c r="W58">
        <v>56</v>
      </c>
      <c r="X58">
        <f t="shared" si="0"/>
        <v>1.8480000000000001</v>
      </c>
      <c r="Y58">
        <f t="shared" si="1"/>
        <v>41.755562639358466</v>
      </c>
      <c r="Z58">
        <f t="shared" si="4"/>
        <v>83.511125278716932</v>
      </c>
      <c r="AA58">
        <f t="shared" si="2"/>
        <v>125.26668791807538</v>
      </c>
      <c r="AB58">
        <f t="shared" si="3"/>
        <v>167.02225055743386</v>
      </c>
    </row>
    <row r="59" spans="23:28" x14ac:dyDescent="0.3">
      <c r="W59">
        <v>57</v>
      </c>
      <c r="X59">
        <f t="shared" si="0"/>
        <v>1.881</v>
      </c>
      <c r="Y59">
        <f t="shared" si="1"/>
        <v>42.963079159421028</v>
      </c>
      <c r="Z59">
        <f t="shared" si="4"/>
        <v>85.926158318842056</v>
      </c>
      <c r="AA59">
        <f t="shared" si="2"/>
        <v>128.88923747826306</v>
      </c>
      <c r="AB59">
        <f t="shared" si="3"/>
        <v>171.85231663768411</v>
      </c>
    </row>
    <row r="60" spans="23:28" x14ac:dyDescent="0.3">
      <c r="W60">
        <v>58</v>
      </c>
      <c r="X60">
        <f t="shared" si="0"/>
        <v>1.9139999999999999</v>
      </c>
      <c r="Y60">
        <f t="shared" si="1"/>
        <v>44.17965895894482</v>
      </c>
      <c r="Z60">
        <f t="shared" si="4"/>
        <v>88.359317917889641</v>
      </c>
      <c r="AA60">
        <f t="shared" si="2"/>
        <v>132.53897687683443</v>
      </c>
      <c r="AB60">
        <f t="shared" si="3"/>
        <v>176.71863583577928</v>
      </c>
    </row>
    <row r="61" spans="23:28" x14ac:dyDescent="0.3">
      <c r="W61">
        <v>59</v>
      </c>
      <c r="X61">
        <f t="shared" si="0"/>
        <v>1.9470000000000001</v>
      </c>
      <c r="Y61">
        <f t="shared" si="1"/>
        <v>45.405063943198741</v>
      </c>
      <c r="Z61">
        <f t="shared" si="4"/>
        <v>90.810127886397481</v>
      </c>
      <c r="AA61">
        <f t="shared" si="2"/>
        <v>136.21519182959619</v>
      </c>
      <c r="AB61">
        <f t="shared" si="3"/>
        <v>181.62025577279496</v>
      </c>
    </row>
    <row r="62" spans="23:28" x14ac:dyDescent="0.3">
      <c r="W62">
        <v>60</v>
      </c>
      <c r="X62">
        <f t="shared" si="0"/>
        <v>1.98</v>
      </c>
      <c r="Y62">
        <f t="shared" si="1"/>
        <v>46.639062272262798</v>
      </c>
      <c r="Z62">
        <f t="shared" si="4"/>
        <v>93.278124544525596</v>
      </c>
      <c r="AA62">
        <f t="shared" si="2"/>
        <v>139.91718681678836</v>
      </c>
      <c r="AB62">
        <f t="shared" si="3"/>
        <v>186.55624908905119</v>
      </c>
    </row>
    <row r="63" spans="23:28" x14ac:dyDescent="0.3">
      <c r="W63">
        <v>61</v>
      </c>
      <c r="X63">
        <f t="shared" si="0"/>
        <v>2.0129999999999999</v>
      </c>
      <c r="Y63">
        <f t="shared" si="1"/>
        <v>47.881428196712562</v>
      </c>
      <c r="Z63">
        <f t="shared" si="4"/>
        <v>95.762856393425125</v>
      </c>
      <c r="AA63">
        <f t="shared" si="2"/>
        <v>143.64428459013766</v>
      </c>
      <c r="AB63">
        <f t="shared" si="3"/>
        <v>191.52571278685025</v>
      </c>
    </row>
    <row r="64" spans="23:28" x14ac:dyDescent="0.3">
      <c r="W64">
        <v>62</v>
      </c>
      <c r="X64">
        <f t="shared" si="0"/>
        <v>2.0459999999999998</v>
      </c>
      <c r="Y64">
        <f t="shared" si="1"/>
        <v>49.13194189762028</v>
      </c>
      <c r="Z64">
        <f t="shared" si="4"/>
        <v>98.263883795240559</v>
      </c>
      <c r="AA64">
        <f t="shared" si="2"/>
        <v>147.3958256928608</v>
      </c>
      <c r="AB64">
        <f t="shared" si="3"/>
        <v>196.52776759048112</v>
      </c>
    </row>
    <row r="65" spans="23:28" x14ac:dyDescent="0.3">
      <c r="W65">
        <v>63</v>
      </c>
      <c r="X65">
        <f t="shared" si="0"/>
        <v>2.0790000000000002</v>
      </c>
      <c r="Y65">
        <f t="shared" si="1"/>
        <v>50.390389330759128</v>
      </c>
      <c r="Z65">
        <f t="shared" si="4"/>
        <v>100.78077866151826</v>
      </c>
      <c r="AA65">
        <f t="shared" si="2"/>
        <v>151.17116799227736</v>
      </c>
      <c r="AB65">
        <f t="shared" si="3"/>
        <v>201.56155732303651</v>
      </c>
    </row>
    <row r="66" spans="23:28" x14ac:dyDescent="0.3">
      <c r="W66">
        <v>64</v>
      </c>
      <c r="X66">
        <f t="shared" si="0"/>
        <v>2.1120000000000001</v>
      </c>
      <c r="Y66">
        <f t="shared" si="1"/>
        <v>51.6565620749003</v>
      </c>
      <c r="Z66">
        <f t="shared" si="4"/>
        <v>103.3131241498006</v>
      </c>
      <c r="AA66">
        <f t="shared" si="2"/>
        <v>154.96968622470089</v>
      </c>
      <c r="AB66">
        <f t="shared" si="3"/>
        <v>206.6262482996012</v>
      </c>
    </row>
    <row r="67" spans="23:28" x14ac:dyDescent="0.3">
      <c r="W67">
        <v>65</v>
      </c>
      <c r="X67">
        <f t="shared" ref="X67:X130" si="5">W67*33/1000</f>
        <v>2.145</v>
      </c>
      <c r="Y67">
        <f t="shared" ref="Y67:Y130" si="6">(940.92*$Y$1)*($X67-1.2396+1.2396*EXP(-1*$X67/1.2396))</f>
        <v>52.930257184095431</v>
      </c>
      <c r="Z67">
        <f t="shared" si="4"/>
        <v>105.86051436819086</v>
      </c>
      <c r="AA67">
        <f t="shared" ref="AA67:AA130" si="7">(940.92*$AA$1)*($X67-1.2396+1.2396*EXP(-1*$X67/1.2396))</f>
        <v>158.79077155228629</v>
      </c>
      <c r="AB67">
        <f t="shared" ref="AB67:AB130" si="8">(940.92*$AB$1)*($X67-1.2396+1.2396*EXP(-1*$X67/1.2396))</f>
        <v>211.72102873638173</v>
      </c>
    </row>
    <row r="68" spans="23:28" x14ac:dyDescent="0.3">
      <c r="W68">
        <v>66</v>
      </c>
      <c r="X68">
        <f t="shared" si="5"/>
        <v>2.1779999999999999</v>
      </c>
      <c r="Y68">
        <f t="shared" si="6"/>
        <v>54.21127704383948</v>
      </c>
      <c r="Z68">
        <f t="shared" ref="Z68:Z131" si="9">(940.92*$Z$1)*($X68-1.2396+1.2396*EXP(-1*$X68/1.2396))</f>
        <v>108.42255408767896</v>
      </c>
      <c r="AA68">
        <f t="shared" si="7"/>
        <v>162.63383113151841</v>
      </c>
      <c r="AB68">
        <f t="shared" si="8"/>
        <v>216.84510817535792</v>
      </c>
    </row>
    <row r="69" spans="23:28" x14ac:dyDescent="0.3">
      <c r="W69">
        <v>67</v>
      </c>
      <c r="X69">
        <f t="shared" si="5"/>
        <v>2.2109999999999999</v>
      </c>
      <c r="Y69">
        <f t="shared" si="6"/>
        <v>55.499429231012343</v>
      </c>
      <c r="Z69">
        <f t="shared" si="9"/>
        <v>110.99885846202469</v>
      </c>
      <c r="AA69">
        <f t="shared" si="7"/>
        <v>166.49828769303701</v>
      </c>
      <c r="AB69">
        <f t="shared" si="8"/>
        <v>221.99771692404937</v>
      </c>
    </row>
    <row r="70" spans="23:28" x14ac:dyDescent="0.3">
      <c r="W70">
        <v>68</v>
      </c>
      <c r="X70">
        <f t="shared" si="5"/>
        <v>2.2440000000000002</v>
      </c>
      <c r="Y70">
        <f t="shared" si="6"/>
        <v>56.794526377499849</v>
      </c>
      <c r="Z70">
        <f t="shared" si="9"/>
        <v>113.5890527549997</v>
      </c>
      <c r="AA70">
        <f t="shared" si="7"/>
        <v>170.38357913249951</v>
      </c>
      <c r="AB70">
        <f t="shared" si="8"/>
        <v>227.1781055099994</v>
      </c>
    </row>
    <row r="71" spans="23:28" x14ac:dyDescent="0.3">
      <c r="W71">
        <v>69</v>
      </c>
      <c r="X71">
        <f t="shared" si="5"/>
        <v>2.2770000000000001</v>
      </c>
      <c r="Y71">
        <f t="shared" si="6"/>
        <v>58.096386037397281</v>
      </c>
      <c r="Z71">
        <f t="shared" si="9"/>
        <v>116.19277207479456</v>
      </c>
      <c r="AA71">
        <f t="shared" si="7"/>
        <v>174.28915811219181</v>
      </c>
      <c r="AB71">
        <f t="shared" si="8"/>
        <v>232.38554414958912</v>
      </c>
    </row>
    <row r="72" spans="23:28" x14ac:dyDescent="0.3">
      <c r="W72">
        <v>70</v>
      </c>
      <c r="X72">
        <f t="shared" si="5"/>
        <v>2.31</v>
      </c>
      <c r="Y72">
        <f t="shared" si="6"/>
        <v>59.404830557701835</v>
      </c>
      <c r="Z72">
        <f t="shared" si="9"/>
        <v>118.80966111540367</v>
      </c>
      <c r="AA72">
        <f t="shared" si="7"/>
        <v>178.21449167310547</v>
      </c>
      <c r="AB72">
        <f t="shared" si="8"/>
        <v>237.61932223080734</v>
      </c>
    </row>
    <row r="73" spans="23:28" x14ac:dyDescent="0.3">
      <c r="W73">
        <v>71</v>
      </c>
      <c r="X73">
        <f t="shared" si="5"/>
        <v>2.343</v>
      </c>
      <c r="Y73">
        <f t="shared" si="6"/>
        <v>60.719686952401688</v>
      </c>
      <c r="Z73">
        <f t="shared" si="9"/>
        <v>121.43937390480338</v>
      </c>
      <c r="AA73">
        <f t="shared" si="7"/>
        <v>182.15906085720502</v>
      </c>
      <c r="AB73">
        <f t="shared" si="8"/>
        <v>242.87874780960675</v>
      </c>
    </row>
    <row r="74" spans="23:28" x14ac:dyDescent="0.3">
      <c r="W74">
        <v>72</v>
      </c>
      <c r="X74">
        <f t="shared" si="5"/>
        <v>2.3759999999999999</v>
      </c>
      <c r="Y74">
        <f t="shared" si="6"/>
        <v>62.040786779872981</v>
      </c>
      <c r="Z74">
        <f t="shared" si="9"/>
        <v>124.08157355974596</v>
      </c>
      <c r="AA74">
        <f t="shared" si="7"/>
        <v>186.12236033961892</v>
      </c>
      <c r="AB74">
        <f t="shared" si="8"/>
        <v>248.16314711949192</v>
      </c>
    </row>
    <row r="75" spans="23:28" x14ac:dyDescent="0.3">
      <c r="W75">
        <v>73</v>
      </c>
      <c r="X75">
        <f t="shared" si="5"/>
        <v>2.4089999999999998</v>
      </c>
      <c r="Y75">
        <f t="shared" si="6"/>
        <v>63.367966023497559</v>
      </c>
      <c r="Z75">
        <f t="shared" si="9"/>
        <v>126.73593204699512</v>
      </c>
      <c r="AA75">
        <f t="shared" si="7"/>
        <v>190.10389807049265</v>
      </c>
      <c r="AB75">
        <f t="shared" si="8"/>
        <v>253.47186409399023</v>
      </c>
    </row>
    <row r="76" spans="23:28" x14ac:dyDescent="0.3">
      <c r="W76">
        <v>74</v>
      </c>
      <c r="X76">
        <f t="shared" si="5"/>
        <v>2.4420000000000002</v>
      </c>
      <c r="Y76">
        <f t="shared" si="6"/>
        <v>64.701064975416855</v>
      </c>
      <c r="Z76">
        <f t="shared" si="9"/>
        <v>129.40212995083371</v>
      </c>
      <c r="AA76">
        <f t="shared" si="7"/>
        <v>194.10319492625052</v>
      </c>
      <c r="AB76">
        <f t="shared" si="8"/>
        <v>258.80425990166742</v>
      </c>
    </row>
    <row r="77" spans="23:28" x14ac:dyDescent="0.3">
      <c r="W77">
        <v>75</v>
      </c>
      <c r="X77">
        <f t="shared" si="5"/>
        <v>2.4750000000000001</v>
      </c>
      <c r="Y77">
        <f t="shared" si="6"/>
        <v>66.039928123339678</v>
      </c>
      <c r="Z77">
        <f t="shared" si="9"/>
        <v>132.07985624667936</v>
      </c>
      <c r="AA77">
        <f t="shared" si="7"/>
        <v>198.119784370019</v>
      </c>
      <c r="AB77">
        <f t="shared" si="8"/>
        <v>264.15971249335871</v>
      </c>
    </row>
    <row r="78" spans="23:28" x14ac:dyDescent="0.3">
      <c r="W78">
        <v>76</v>
      </c>
      <c r="X78">
        <f t="shared" si="5"/>
        <v>2.508</v>
      </c>
      <c r="Y78">
        <f t="shared" si="6"/>
        <v>67.384404040323588</v>
      </c>
      <c r="Z78">
        <f t="shared" si="9"/>
        <v>134.76880808064718</v>
      </c>
      <c r="AA78">
        <f t="shared" si="7"/>
        <v>202.15321212097072</v>
      </c>
      <c r="AB78">
        <f t="shared" si="8"/>
        <v>269.53761616129435</v>
      </c>
    </row>
    <row r="79" spans="23:28" x14ac:dyDescent="0.3">
      <c r="W79">
        <v>77</v>
      </c>
      <c r="X79">
        <f t="shared" si="5"/>
        <v>2.5409999999999999</v>
      </c>
      <c r="Y79">
        <f t="shared" si="6"/>
        <v>68.734345277451666</v>
      </c>
      <c r="Z79">
        <f t="shared" si="9"/>
        <v>137.46869055490333</v>
      </c>
      <c r="AA79">
        <f t="shared" si="7"/>
        <v>206.20303583235494</v>
      </c>
      <c r="AB79">
        <f t="shared" si="8"/>
        <v>274.93738110980667</v>
      </c>
    </row>
    <row r="80" spans="23:28" x14ac:dyDescent="0.3">
      <c r="W80">
        <v>78</v>
      </c>
      <c r="X80">
        <f t="shared" si="5"/>
        <v>2.5739999999999998</v>
      </c>
      <c r="Y80">
        <f t="shared" si="6"/>
        <v>70.089608259328756</v>
      </c>
      <c r="Z80">
        <f t="shared" si="9"/>
        <v>140.17921651865751</v>
      </c>
      <c r="AA80">
        <f t="shared" si="7"/>
        <v>210.26882477798623</v>
      </c>
      <c r="AB80">
        <f t="shared" si="8"/>
        <v>280.35843303731502</v>
      </c>
    </row>
    <row r="81" spans="23:28" x14ac:dyDescent="0.3">
      <c r="W81">
        <v>79</v>
      </c>
      <c r="X81">
        <f t="shared" si="5"/>
        <v>2.6070000000000002</v>
      </c>
      <c r="Y81">
        <f t="shared" si="6"/>
        <v>71.450053182323046</v>
      </c>
      <c r="Z81">
        <f t="shared" si="9"/>
        <v>142.90010636464609</v>
      </c>
      <c r="AA81">
        <f t="shared" si="7"/>
        <v>214.35015954696911</v>
      </c>
      <c r="AB81">
        <f t="shared" si="8"/>
        <v>285.80021272929218</v>
      </c>
    </row>
    <row r="82" spans="23:28" x14ac:dyDescent="0.3">
      <c r="W82">
        <v>80</v>
      </c>
      <c r="X82">
        <f t="shared" si="5"/>
        <v>2.64</v>
      </c>
      <c r="Y82">
        <f t="shared" si="6"/>
        <v>72.815543915480774</v>
      </c>
      <c r="Z82">
        <f t="shared" si="9"/>
        <v>145.63108783096155</v>
      </c>
      <c r="AA82">
        <f t="shared" si="7"/>
        <v>218.44663174644231</v>
      </c>
      <c r="AB82">
        <f t="shared" si="8"/>
        <v>291.2621756619231</v>
      </c>
    </row>
    <row r="83" spans="23:28" x14ac:dyDescent="0.3">
      <c r="W83">
        <v>81</v>
      </c>
      <c r="X83">
        <f t="shared" si="5"/>
        <v>2.673</v>
      </c>
      <c r="Y83">
        <f t="shared" si="6"/>
        <v>74.185947904044184</v>
      </c>
      <c r="Z83">
        <f t="shared" si="9"/>
        <v>148.37189580808837</v>
      </c>
      <c r="AA83">
        <f t="shared" si="7"/>
        <v>222.5578437121325</v>
      </c>
      <c r="AB83">
        <f t="shared" si="8"/>
        <v>296.74379161617674</v>
      </c>
    </row>
    <row r="84" spans="23:28" x14ac:dyDescent="0.3">
      <c r="W84">
        <v>82</v>
      </c>
      <c r="X84">
        <f t="shared" si="5"/>
        <v>2.706</v>
      </c>
      <c r="Y84">
        <f t="shared" si="6"/>
        <v>75.561136075503683</v>
      </c>
      <c r="Z84">
        <f t="shared" si="9"/>
        <v>151.12227215100737</v>
      </c>
      <c r="AA84">
        <f t="shared" si="7"/>
        <v>226.68340822651103</v>
      </c>
      <c r="AB84">
        <f t="shared" si="8"/>
        <v>302.24454430201473</v>
      </c>
    </row>
    <row r="85" spans="23:28" x14ac:dyDescent="0.3">
      <c r="W85">
        <v>83</v>
      </c>
      <c r="X85">
        <f t="shared" si="5"/>
        <v>2.7389999999999999</v>
      </c>
      <c r="Y85">
        <f t="shared" si="6"/>
        <v>76.940982748118515</v>
      </c>
      <c r="Z85">
        <f t="shared" si="9"/>
        <v>153.88196549623703</v>
      </c>
      <c r="AA85">
        <f t="shared" si="7"/>
        <v>230.82294824435553</v>
      </c>
      <c r="AB85">
        <f t="shared" si="8"/>
        <v>307.76393099247406</v>
      </c>
    </row>
    <row r="86" spans="23:28" x14ac:dyDescent="0.3">
      <c r="W86">
        <v>84</v>
      </c>
      <c r="X86">
        <f t="shared" si="5"/>
        <v>2.7719999999999998</v>
      </c>
      <c r="Y86">
        <f t="shared" si="6"/>
        <v>78.325365541840185</v>
      </c>
      <c r="Z86">
        <f t="shared" si="9"/>
        <v>156.65073108368037</v>
      </c>
      <c r="AA86">
        <f t="shared" si="7"/>
        <v>234.97609662552051</v>
      </c>
      <c r="AB86">
        <f t="shared" si="8"/>
        <v>313.30146216736074</v>
      </c>
    </row>
    <row r="87" spans="23:28" x14ac:dyDescent="0.3">
      <c r="W87">
        <v>85</v>
      </c>
      <c r="X87">
        <f t="shared" si="5"/>
        <v>2.8050000000000002</v>
      </c>
      <c r="Y87">
        <f t="shared" si="6"/>
        <v>79.714165291576208</v>
      </c>
      <c r="Z87">
        <f t="shared" si="9"/>
        <v>159.42833058315242</v>
      </c>
      <c r="AA87">
        <f t="shared" si="7"/>
        <v>239.14249587472858</v>
      </c>
      <c r="AB87">
        <f t="shared" si="8"/>
        <v>318.85666116630483</v>
      </c>
    </row>
    <row r="88" spans="23:28" x14ac:dyDescent="0.3">
      <c r="W88">
        <v>86</v>
      </c>
      <c r="X88">
        <f t="shared" si="5"/>
        <v>2.8380000000000001</v>
      </c>
      <c r="Y88">
        <f t="shared" si="6"/>
        <v>81.10726596273237</v>
      </c>
      <c r="Z88">
        <f t="shared" si="9"/>
        <v>162.21453192546474</v>
      </c>
      <c r="AA88">
        <f t="shared" si="7"/>
        <v>243.32179788819707</v>
      </c>
      <c r="AB88">
        <f t="shared" si="8"/>
        <v>324.42906385092948</v>
      </c>
    </row>
    <row r="89" spans="23:28" x14ac:dyDescent="0.3">
      <c r="W89">
        <v>87</v>
      </c>
      <c r="X89">
        <f t="shared" si="5"/>
        <v>2.871</v>
      </c>
      <c r="Y89">
        <f t="shared" si="6"/>
        <v>82.504554568973717</v>
      </c>
      <c r="Z89">
        <f t="shared" si="9"/>
        <v>165.00910913794743</v>
      </c>
      <c r="AA89">
        <f t="shared" si="7"/>
        <v>247.51366370692114</v>
      </c>
      <c r="AB89">
        <f t="shared" si="8"/>
        <v>330.01821827589487</v>
      </c>
    </row>
    <row r="90" spans="23:28" x14ac:dyDescent="0.3">
      <c r="W90">
        <v>88</v>
      </c>
      <c r="X90">
        <f t="shared" si="5"/>
        <v>2.9039999999999999</v>
      </c>
      <c r="Y90">
        <f t="shared" si="6"/>
        <v>83.905921092146002</v>
      </c>
      <c r="Z90">
        <f t="shared" si="9"/>
        <v>167.811842184292</v>
      </c>
      <c r="AA90">
        <f t="shared" si="7"/>
        <v>251.71776327643798</v>
      </c>
      <c r="AB90">
        <f t="shared" si="8"/>
        <v>335.62368436858401</v>
      </c>
    </row>
    <row r="91" spans="23:28" x14ac:dyDescent="0.3">
      <c r="W91">
        <v>89</v>
      </c>
      <c r="X91">
        <f t="shared" si="5"/>
        <v>2.9369999999999998</v>
      </c>
      <c r="Y91">
        <f t="shared" si="6"/>
        <v>85.31125840430073</v>
      </c>
      <c r="Z91">
        <f t="shared" si="9"/>
        <v>170.62251680860146</v>
      </c>
      <c r="AA91">
        <f t="shared" si="7"/>
        <v>255.93377521290216</v>
      </c>
      <c r="AB91">
        <f t="shared" si="8"/>
        <v>341.24503361720292</v>
      </c>
    </row>
    <row r="92" spans="23:28" x14ac:dyDescent="0.3">
      <c r="W92">
        <v>90</v>
      </c>
      <c r="X92">
        <f t="shared" si="5"/>
        <v>2.97</v>
      </c>
      <c r="Y92">
        <f t="shared" si="6"/>
        <v>86.720462191768803</v>
      </c>
      <c r="Z92">
        <f t="shared" si="9"/>
        <v>173.44092438353761</v>
      </c>
      <c r="AA92">
        <f t="shared" si="7"/>
        <v>260.16138657530638</v>
      </c>
      <c r="AB92">
        <f t="shared" si="8"/>
        <v>346.88184876707521</v>
      </c>
    </row>
    <row r="93" spans="23:28" x14ac:dyDescent="0.3">
      <c r="W93">
        <v>91</v>
      </c>
      <c r="X93">
        <f t="shared" si="5"/>
        <v>3.0030000000000001</v>
      </c>
      <c r="Y93">
        <f t="shared" si="6"/>
        <v>88.13343088122852</v>
      </c>
      <c r="Z93">
        <f t="shared" si="9"/>
        <v>176.26686176245704</v>
      </c>
      <c r="AA93">
        <f t="shared" si="7"/>
        <v>264.40029264368553</v>
      </c>
      <c r="AB93">
        <f t="shared" si="8"/>
        <v>352.53372352491408</v>
      </c>
    </row>
    <row r="94" spans="23:28" x14ac:dyDescent="0.3">
      <c r="W94">
        <v>92</v>
      </c>
      <c r="X94">
        <f t="shared" si="5"/>
        <v>3.036</v>
      </c>
      <c r="Y94">
        <f t="shared" si="6"/>
        <v>89.550065567716061</v>
      </c>
      <c r="Z94">
        <f t="shared" si="9"/>
        <v>179.10013113543212</v>
      </c>
      <c r="AA94">
        <f t="shared" si="7"/>
        <v>268.65019670314814</v>
      </c>
      <c r="AB94">
        <f t="shared" si="8"/>
        <v>358.20026227086424</v>
      </c>
    </row>
    <row r="95" spans="23:28" x14ac:dyDescent="0.3">
      <c r="W95">
        <v>93</v>
      </c>
      <c r="X95">
        <f t="shared" si="5"/>
        <v>3.069</v>
      </c>
      <c r="Y95">
        <f t="shared" si="6"/>
        <v>90.970269944526976</v>
      </c>
      <c r="Z95">
        <f t="shared" si="9"/>
        <v>181.94053988905395</v>
      </c>
      <c r="AA95">
        <f t="shared" si="7"/>
        <v>272.91080983358086</v>
      </c>
      <c r="AB95">
        <f t="shared" si="8"/>
        <v>363.8810797781079</v>
      </c>
    </row>
    <row r="96" spans="23:28" x14ac:dyDescent="0.3">
      <c r="W96">
        <v>94</v>
      </c>
      <c r="X96">
        <f t="shared" si="5"/>
        <v>3.1019999999999999</v>
      </c>
      <c r="Y96">
        <f t="shared" si="6"/>
        <v>92.393950234959206</v>
      </c>
      <c r="Z96">
        <f t="shared" si="9"/>
        <v>184.78790046991841</v>
      </c>
      <c r="AA96">
        <f t="shared" si="7"/>
        <v>277.18185070487755</v>
      </c>
      <c r="AB96">
        <f t="shared" si="8"/>
        <v>369.57580093983682</v>
      </c>
    </row>
    <row r="97" spans="23:28" x14ac:dyDescent="0.3">
      <c r="W97">
        <v>95</v>
      </c>
      <c r="X97">
        <f t="shared" si="5"/>
        <v>3.1349999999999998</v>
      </c>
      <c r="Y97">
        <f t="shared" si="6"/>
        <v>93.8210151258493</v>
      </c>
      <c r="Z97">
        <f t="shared" si="9"/>
        <v>187.6420302516986</v>
      </c>
      <c r="AA97">
        <f t="shared" si="7"/>
        <v>281.46304537754781</v>
      </c>
      <c r="AB97">
        <f t="shared" si="8"/>
        <v>375.2840605033972</v>
      </c>
    </row>
    <row r="98" spans="23:28" x14ac:dyDescent="0.3">
      <c r="W98">
        <v>96</v>
      </c>
      <c r="X98">
        <f t="shared" si="5"/>
        <v>3.1680000000000001</v>
      </c>
      <c r="Y98">
        <f t="shared" si="6"/>
        <v>95.25137570285456</v>
      </c>
      <c r="Z98">
        <f t="shared" si="9"/>
        <v>190.50275140570912</v>
      </c>
      <c r="AA98">
        <f t="shared" si="7"/>
        <v>285.75412710856364</v>
      </c>
      <c r="AB98">
        <f t="shared" si="8"/>
        <v>381.00550281141824</v>
      </c>
    </row>
    <row r="99" spans="23:28" x14ac:dyDescent="0.3">
      <c r="W99">
        <v>97</v>
      </c>
      <c r="X99">
        <f t="shared" si="5"/>
        <v>3.2010000000000001</v>
      </c>
      <c r="Y99">
        <f t="shared" si="6"/>
        <v>96.684945387435434</v>
      </c>
      <c r="Z99">
        <f t="shared" si="9"/>
        <v>193.36989077487087</v>
      </c>
      <c r="AA99">
        <f t="shared" si="7"/>
        <v>290.05483616230623</v>
      </c>
      <c r="AB99">
        <f t="shared" si="8"/>
        <v>386.73978154974174</v>
      </c>
    </row>
    <row r="100" spans="23:28" x14ac:dyDescent="0.3">
      <c r="W100">
        <v>98</v>
      </c>
      <c r="X100">
        <f t="shared" si="5"/>
        <v>3.234</v>
      </c>
      <c r="Y100">
        <f t="shared" si="6"/>
        <v>98.121639875493315</v>
      </c>
      <c r="Z100">
        <f t="shared" si="9"/>
        <v>196.24327975098663</v>
      </c>
      <c r="AA100">
        <f t="shared" si="7"/>
        <v>294.36491962647989</v>
      </c>
      <c r="AB100">
        <f t="shared" si="8"/>
        <v>392.48655950197326</v>
      </c>
    </row>
    <row r="101" spans="23:28" x14ac:dyDescent="0.3">
      <c r="W101">
        <v>99</v>
      </c>
      <c r="X101">
        <f t="shared" si="5"/>
        <v>3.2669999999999999</v>
      </c>
      <c r="Y101">
        <f t="shared" si="6"/>
        <v>99.561377077620435</v>
      </c>
      <c r="Z101">
        <f t="shared" si="9"/>
        <v>199.12275415524087</v>
      </c>
      <c r="AA101">
        <f t="shared" si="7"/>
        <v>298.68413123286126</v>
      </c>
      <c r="AB101">
        <f t="shared" si="8"/>
        <v>398.24550831048174</v>
      </c>
    </row>
    <row r="102" spans="23:28" x14ac:dyDescent="0.3">
      <c r="W102">
        <v>100</v>
      </c>
      <c r="X102">
        <f t="shared" si="5"/>
        <v>3.3</v>
      </c>
      <c r="Y102">
        <f t="shared" si="6"/>
        <v>101.00407706091926</v>
      </c>
      <c r="Z102">
        <f t="shared" si="9"/>
        <v>202.00815412183852</v>
      </c>
      <c r="AA102">
        <f t="shared" si="7"/>
        <v>303.01223118275777</v>
      </c>
      <c r="AB102">
        <f t="shared" si="8"/>
        <v>404.01630824367703</v>
      </c>
    </row>
    <row r="103" spans="23:28" x14ac:dyDescent="0.3">
      <c r="W103">
        <v>101</v>
      </c>
      <c r="X103">
        <f t="shared" si="5"/>
        <v>3.3330000000000002</v>
      </c>
      <c r="Y103">
        <f t="shared" si="6"/>
        <v>102.44966199235061</v>
      </c>
      <c r="Z103">
        <f t="shared" si="9"/>
        <v>204.89932398470123</v>
      </c>
      <c r="AA103">
        <f t="shared" si="7"/>
        <v>307.34898597705177</v>
      </c>
      <c r="AB103">
        <f t="shared" si="8"/>
        <v>409.79864796940245</v>
      </c>
    </row>
    <row r="104" spans="23:28" x14ac:dyDescent="0.3">
      <c r="W104">
        <v>102</v>
      </c>
      <c r="X104">
        <f t="shared" si="5"/>
        <v>3.3660000000000001</v>
      </c>
      <c r="Y104">
        <f t="shared" si="6"/>
        <v>103.89805608356949</v>
      </c>
      <c r="Z104">
        <f t="shared" si="9"/>
        <v>207.79611216713897</v>
      </c>
      <c r="AA104">
        <f t="shared" si="7"/>
        <v>311.6941682507084</v>
      </c>
      <c r="AB104">
        <f t="shared" si="8"/>
        <v>415.59222433427794</v>
      </c>
    </row>
    <row r="105" spans="23:28" x14ac:dyDescent="0.3">
      <c r="W105">
        <v>103</v>
      </c>
      <c r="X105">
        <f t="shared" si="5"/>
        <v>3.399</v>
      </c>
      <c r="Y105">
        <f t="shared" si="6"/>
        <v>105.34918553721067</v>
      </c>
      <c r="Z105">
        <f t="shared" si="9"/>
        <v>210.69837107442135</v>
      </c>
      <c r="AA105">
        <f t="shared" si="7"/>
        <v>316.04755661163199</v>
      </c>
      <c r="AB105">
        <f t="shared" si="8"/>
        <v>421.39674214884269</v>
      </c>
    </row>
    <row r="106" spans="23:28" x14ac:dyDescent="0.3">
      <c r="W106">
        <v>104</v>
      </c>
      <c r="X106">
        <f t="shared" si="5"/>
        <v>3.4319999999999999</v>
      </c>
      <c r="Y106">
        <f t="shared" si="6"/>
        <v>106.80297849458523</v>
      </c>
      <c r="Z106">
        <f t="shared" si="9"/>
        <v>213.60595698917047</v>
      </c>
      <c r="AA106">
        <f t="shared" si="7"/>
        <v>320.40893548375567</v>
      </c>
      <c r="AB106">
        <f t="shared" si="8"/>
        <v>427.21191397834093</v>
      </c>
    </row>
    <row r="107" spans="23:28" x14ac:dyDescent="0.3">
      <c r="W107">
        <v>105</v>
      </c>
      <c r="X107">
        <f t="shared" si="5"/>
        <v>3.4649999999999999</v>
      </c>
      <c r="Y107">
        <f t="shared" si="6"/>
        <v>108.25936498475069</v>
      </c>
      <c r="Z107">
        <f t="shared" si="9"/>
        <v>216.51872996950138</v>
      </c>
      <c r="AA107">
        <f t="shared" si="7"/>
        <v>324.77809495425203</v>
      </c>
      <c r="AB107">
        <f t="shared" si="8"/>
        <v>433.03745993900276</v>
      </c>
    </row>
    <row r="108" spans="23:28" x14ac:dyDescent="0.3">
      <c r="W108">
        <v>106</v>
      </c>
      <c r="X108">
        <f t="shared" si="5"/>
        <v>3.4980000000000002</v>
      </c>
      <c r="Y108">
        <f t="shared" si="6"/>
        <v>109.71827687491972</v>
      </c>
      <c r="Z108">
        <f t="shared" si="9"/>
        <v>219.43655374983945</v>
      </c>
      <c r="AA108">
        <f t="shared" si="7"/>
        <v>329.15483062475909</v>
      </c>
      <c r="AB108">
        <f t="shared" si="8"/>
        <v>438.87310749967889</v>
      </c>
    </row>
    <row r="109" spans="23:28" x14ac:dyDescent="0.3">
      <c r="W109">
        <v>107</v>
      </c>
      <c r="X109">
        <f t="shared" si="5"/>
        <v>3.5310000000000001</v>
      </c>
      <c r="Y109">
        <f t="shared" si="6"/>
        <v>111.17964782217116</v>
      </c>
      <c r="Z109">
        <f t="shared" si="9"/>
        <v>222.35929564434232</v>
      </c>
      <c r="AA109">
        <f t="shared" si="7"/>
        <v>333.53894346651344</v>
      </c>
      <c r="AB109">
        <f t="shared" si="8"/>
        <v>444.71859128868465</v>
      </c>
    </row>
    <row r="110" spans="23:28" x14ac:dyDescent="0.3">
      <c r="W110">
        <v>108</v>
      </c>
      <c r="X110">
        <f t="shared" si="5"/>
        <v>3.5640000000000001</v>
      </c>
      <c r="Y110">
        <f t="shared" si="6"/>
        <v>112.64341322642976</v>
      </c>
      <c r="Z110">
        <f t="shared" si="9"/>
        <v>225.28682645285951</v>
      </c>
      <c r="AA110">
        <f t="shared" si="7"/>
        <v>337.93023967928923</v>
      </c>
      <c r="AB110">
        <f t="shared" si="8"/>
        <v>450.57365290571903</v>
      </c>
    </row>
    <row r="111" spans="23:28" x14ac:dyDescent="0.3">
      <c r="W111">
        <v>109</v>
      </c>
      <c r="X111">
        <f t="shared" si="5"/>
        <v>3.597</v>
      </c>
      <c r="Y111">
        <f t="shared" si="6"/>
        <v>114.1095101846813</v>
      </c>
      <c r="Z111">
        <f t="shared" si="9"/>
        <v>228.2190203693626</v>
      </c>
      <c r="AA111">
        <f t="shared" si="7"/>
        <v>342.32853055404382</v>
      </c>
      <c r="AB111">
        <f t="shared" si="8"/>
        <v>456.43804073872519</v>
      </c>
    </row>
    <row r="112" spans="23:28" x14ac:dyDescent="0.3">
      <c r="W112">
        <v>110</v>
      </c>
      <c r="X112">
        <f t="shared" si="5"/>
        <v>3.63</v>
      </c>
      <c r="Y112">
        <f t="shared" si="6"/>
        <v>115.57787744639016</v>
      </c>
      <c r="Z112">
        <f t="shared" si="9"/>
        <v>231.15575489278032</v>
      </c>
      <c r="AA112">
        <f t="shared" si="7"/>
        <v>346.73363233917041</v>
      </c>
      <c r="AB112">
        <f t="shared" si="8"/>
        <v>462.31150978556065</v>
      </c>
    </row>
    <row r="113" spans="23:28" x14ac:dyDescent="0.3">
      <c r="W113">
        <v>111</v>
      </c>
      <c r="X113">
        <f t="shared" si="5"/>
        <v>3.6629999999999998</v>
      </c>
      <c r="Y113">
        <f t="shared" si="6"/>
        <v>117.04845537008852</v>
      </c>
      <c r="Z113">
        <f t="shared" si="9"/>
        <v>234.09691074017704</v>
      </c>
      <c r="AA113">
        <f t="shared" si="7"/>
        <v>351.14536611026551</v>
      </c>
      <c r="AB113">
        <f t="shared" si="8"/>
        <v>468.19382148035407</v>
      </c>
    </row>
    <row r="114" spans="23:28" x14ac:dyDescent="0.3">
      <c r="W114">
        <v>112</v>
      </c>
      <c r="X114">
        <f t="shared" si="5"/>
        <v>3.6960000000000002</v>
      </c>
      <c r="Y114">
        <f t="shared" si="6"/>
        <v>118.52118588110544</v>
      </c>
      <c r="Z114">
        <f t="shared" si="9"/>
        <v>237.04237176221088</v>
      </c>
      <c r="AA114">
        <f t="shared" si="7"/>
        <v>355.56355764331624</v>
      </c>
      <c r="AB114">
        <f t="shared" si="8"/>
        <v>474.08474352442175</v>
      </c>
    </row>
    <row r="115" spans="23:28" x14ac:dyDescent="0.3">
      <c r="W115">
        <v>113</v>
      </c>
      <c r="X115">
        <f t="shared" si="5"/>
        <v>3.7290000000000001</v>
      </c>
      <c r="Y115">
        <f t="shared" si="6"/>
        <v>119.99601243040682</v>
      </c>
      <c r="Z115">
        <f t="shared" si="9"/>
        <v>239.99202486081364</v>
      </c>
      <c r="AA115">
        <f t="shared" si="7"/>
        <v>359.98803729122039</v>
      </c>
      <c r="AB115">
        <f t="shared" si="8"/>
        <v>479.98404972162729</v>
      </c>
    </row>
    <row r="116" spans="23:28" x14ac:dyDescent="0.3">
      <c r="W116">
        <v>114</v>
      </c>
      <c r="X116">
        <f t="shared" si="5"/>
        <v>3.762</v>
      </c>
      <c r="Y116">
        <f t="shared" si="6"/>
        <v>121.4728799545167</v>
      </c>
      <c r="Z116">
        <f t="shared" si="9"/>
        <v>242.9457599090334</v>
      </c>
      <c r="AA116">
        <f t="shared" si="7"/>
        <v>364.41863986355003</v>
      </c>
      <c r="AB116">
        <f t="shared" si="8"/>
        <v>485.8915198180668</v>
      </c>
    </row>
    <row r="117" spans="23:28" x14ac:dyDescent="0.3">
      <c r="W117">
        <v>115</v>
      </c>
      <c r="X117">
        <f t="shared" si="5"/>
        <v>3.7949999999999999</v>
      </c>
      <c r="Y117">
        <f t="shared" si="6"/>
        <v>122.95173483649089</v>
      </c>
      <c r="Z117">
        <f t="shared" si="9"/>
        <v>245.90346967298177</v>
      </c>
      <c r="AA117">
        <f t="shared" si="7"/>
        <v>368.85520450947257</v>
      </c>
      <c r="AB117">
        <f t="shared" si="8"/>
        <v>491.80693934596354</v>
      </c>
    </row>
    <row r="118" spans="23:28" x14ac:dyDescent="0.3">
      <c r="W118">
        <v>116</v>
      </c>
      <c r="X118">
        <f t="shared" si="5"/>
        <v>3.8279999999999998</v>
      </c>
      <c r="Y118">
        <f t="shared" si="6"/>
        <v>124.43252486791656</v>
      </c>
      <c r="Z118">
        <f t="shared" si="9"/>
        <v>248.86504973583311</v>
      </c>
      <c r="AA118">
        <f t="shared" si="7"/>
        <v>373.29757460374964</v>
      </c>
      <c r="AB118">
        <f t="shared" si="8"/>
        <v>497.73009947166622</v>
      </c>
    </row>
    <row r="119" spans="23:28" x14ac:dyDescent="0.3">
      <c r="W119">
        <v>117</v>
      </c>
      <c r="X119">
        <f t="shared" si="5"/>
        <v>3.8610000000000002</v>
      </c>
      <c r="Y119">
        <f t="shared" si="6"/>
        <v>125.91519921190951</v>
      </c>
      <c r="Z119">
        <f t="shared" si="9"/>
        <v>251.83039842381902</v>
      </c>
      <c r="AA119">
        <f t="shared" si="7"/>
        <v>377.74559763572847</v>
      </c>
      <c r="AB119">
        <f t="shared" si="8"/>
        <v>503.66079684763804</v>
      </c>
    </row>
    <row r="120" spans="23:28" x14ac:dyDescent="0.3">
      <c r="W120">
        <v>118</v>
      </c>
      <c r="X120">
        <f t="shared" si="5"/>
        <v>3.8940000000000001</v>
      </c>
      <c r="Y120">
        <f t="shared" si="6"/>
        <v>127.39970836708383</v>
      </c>
      <c r="Z120">
        <f t="shared" si="9"/>
        <v>254.79941673416766</v>
      </c>
      <c r="AA120">
        <f t="shared" si="7"/>
        <v>382.19912510125147</v>
      </c>
      <c r="AB120">
        <f t="shared" si="8"/>
        <v>509.59883346833533</v>
      </c>
    </row>
    <row r="121" spans="23:28" x14ac:dyDescent="0.3">
      <c r="W121">
        <v>119</v>
      </c>
      <c r="X121">
        <f t="shared" si="5"/>
        <v>3.927</v>
      </c>
      <c r="Y121">
        <f t="shared" si="6"/>
        <v>128.88600413246809</v>
      </c>
      <c r="Z121">
        <f t="shared" si="9"/>
        <v>257.77200826493618</v>
      </c>
      <c r="AA121">
        <f t="shared" si="7"/>
        <v>386.65801239740421</v>
      </c>
      <c r="AB121">
        <f t="shared" si="8"/>
        <v>515.54401652987235</v>
      </c>
    </row>
    <row r="122" spans="23:28" x14ac:dyDescent="0.3">
      <c r="W122">
        <v>120</v>
      </c>
      <c r="X122">
        <f t="shared" si="5"/>
        <v>3.96</v>
      </c>
      <c r="Y122">
        <f t="shared" si="6"/>
        <v>130.37403957334291</v>
      </c>
      <c r="Z122">
        <f t="shared" si="9"/>
        <v>260.74807914668582</v>
      </c>
      <c r="AA122">
        <f t="shared" si="7"/>
        <v>391.12211872002865</v>
      </c>
      <c r="AB122">
        <f t="shared" si="8"/>
        <v>521.49615829337165</v>
      </c>
    </row>
    <row r="123" spans="23:28" x14ac:dyDescent="0.3">
      <c r="W123">
        <v>121</v>
      </c>
      <c r="X123">
        <f t="shared" si="5"/>
        <v>3.9929999999999999</v>
      </c>
      <c r="Y123">
        <f t="shared" si="6"/>
        <v>131.86376898797647</v>
      </c>
      <c r="Z123">
        <f t="shared" si="9"/>
        <v>263.72753797595294</v>
      </c>
      <c r="AA123">
        <f t="shared" si="7"/>
        <v>395.59130696392936</v>
      </c>
      <c r="AB123">
        <f t="shared" si="8"/>
        <v>527.45507595190588</v>
      </c>
    </row>
    <row r="124" spans="23:28" x14ac:dyDescent="0.3">
      <c r="W124">
        <v>122</v>
      </c>
      <c r="X124">
        <f t="shared" si="5"/>
        <v>4.0259999999999998</v>
      </c>
      <c r="Y124">
        <f t="shared" si="6"/>
        <v>133.35514787523329</v>
      </c>
      <c r="Z124">
        <f t="shared" si="9"/>
        <v>266.71029575046657</v>
      </c>
      <c r="AA124">
        <f t="shared" si="7"/>
        <v>400.0654436256998</v>
      </c>
      <c r="AB124">
        <f t="shared" si="8"/>
        <v>533.42059150093314</v>
      </c>
    </row>
    <row r="125" spans="23:28" x14ac:dyDescent="0.3">
      <c r="W125">
        <v>123</v>
      </c>
      <c r="X125">
        <f t="shared" si="5"/>
        <v>4.0590000000000002</v>
      </c>
      <c r="Y125">
        <f t="shared" si="6"/>
        <v>134.84813290303453</v>
      </c>
      <c r="Z125">
        <f t="shared" si="9"/>
        <v>269.69626580606905</v>
      </c>
      <c r="AA125">
        <f t="shared" si="7"/>
        <v>404.54439870910352</v>
      </c>
      <c r="AB125">
        <f t="shared" si="8"/>
        <v>539.3925316121381</v>
      </c>
    </row>
    <row r="126" spans="23:28" x14ac:dyDescent="0.3">
      <c r="W126">
        <v>124</v>
      </c>
      <c r="X126">
        <f t="shared" si="5"/>
        <v>4.0919999999999996</v>
      </c>
      <c r="Y126">
        <f t="shared" si="6"/>
        <v>136.34268187764633</v>
      </c>
      <c r="Z126">
        <f t="shared" si="9"/>
        <v>272.68536375529266</v>
      </c>
      <c r="AA126">
        <f t="shared" si="7"/>
        <v>409.02804563293887</v>
      </c>
      <c r="AB126">
        <f t="shared" si="8"/>
        <v>545.37072751058531</v>
      </c>
    </row>
    <row r="127" spans="23:28" x14ac:dyDescent="0.3">
      <c r="W127">
        <v>125</v>
      </c>
      <c r="X127">
        <f t="shared" si="5"/>
        <v>4.125</v>
      </c>
      <c r="Y127">
        <f t="shared" si="6"/>
        <v>137.83875371377539</v>
      </c>
      <c r="Z127">
        <f t="shared" si="9"/>
        <v>275.67750742755078</v>
      </c>
      <c r="AA127">
        <f t="shared" si="7"/>
        <v>413.51626114132608</v>
      </c>
      <c r="AB127">
        <f t="shared" si="8"/>
        <v>551.35501485510156</v>
      </c>
    </row>
    <row r="128" spans="23:28" x14ac:dyDescent="0.3">
      <c r="W128">
        <v>126</v>
      </c>
      <c r="X128">
        <f t="shared" si="5"/>
        <v>4.1580000000000004</v>
      </c>
      <c r="Y128">
        <f t="shared" si="6"/>
        <v>139.33630840544978</v>
      </c>
      <c r="Z128">
        <f t="shared" si="9"/>
        <v>278.67261681089957</v>
      </c>
      <c r="AA128">
        <f t="shared" si="7"/>
        <v>418.00892521634927</v>
      </c>
      <c r="AB128">
        <f t="shared" si="8"/>
        <v>557.34523362179914</v>
      </c>
    </row>
    <row r="129" spans="23:28" x14ac:dyDescent="0.3">
      <c r="W129">
        <v>127</v>
      </c>
      <c r="X129">
        <f t="shared" si="5"/>
        <v>4.1909999999999998</v>
      </c>
      <c r="Y129">
        <f t="shared" si="6"/>
        <v>140.83530699766499</v>
      </c>
      <c r="Z129">
        <f t="shared" si="9"/>
        <v>281.67061399532997</v>
      </c>
      <c r="AA129">
        <f t="shared" si="7"/>
        <v>422.5059209929949</v>
      </c>
      <c r="AB129">
        <f t="shared" si="8"/>
        <v>563.34122799065995</v>
      </c>
    </row>
    <row r="130" spans="23:28" x14ac:dyDescent="0.3">
      <c r="W130">
        <v>128</v>
      </c>
      <c r="X130">
        <f t="shared" si="5"/>
        <v>4.2240000000000002</v>
      </c>
      <c r="Y130">
        <f t="shared" si="6"/>
        <v>142.33571155877473</v>
      </c>
      <c r="Z130">
        <f t="shared" si="9"/>
        <v>284.67142311754947</v>
      </c>
      <c r="AA130">
        <f t="shared" si="7"/>
        <v>427.00713467632414</v>
      </c>
      <c r="AB130">
        <f t="shared" si="8"/>
        <v>569.34284623509893</v>
      </c>
    </row>
    <row r="131" spans="23:28" x14ac:dyDescent="0.3">
      <c r="W131">
        <v>129</v>
      </c>
      <c r="X131">
        <f t="shared" ref="X131:X194" si="10">W131*33/1000</f>
        <v>4.2569999999999997</v>
      </c>
      <c r="Y131">
        <f t="shared" ref="Y131:Y194" si="11">(940.92*$Y$1)*($X131-1.2396+1.2396*EXP(-1*$X131/1.2396))</f>
        <v>143.83748515360696</v>
      </c>
      <c r="Z131">
        <f t="shared" si="9"/>
        <v>287.67497030721393</v>
      </c>
      <c r="AA131">
        <f t="shared" ref="AA131:AA194" si="12">(940.92*$AA$1)*($X131-1.2396+1.2396*EXP(-1*$X131/1.2396))</f>
        <v>431.51245546082083</v>
      </c>
      <c r="AB131">
        <f t="shared" ref="AB131:AB194" si="13">(940.92*$AB$1)*($X131-1.2396+1.2396*EXP(-1*$X131/1.2396))</f>
        <v>575.34994061442785</v>
      </c>
    </row>
    <row r="132" spans="23:28" x14ac:dyDescent="0.3">
      <c r="W132">
        <v>130</v>
      </c>
      <c r="X132">
        <f t="shared" si="10"/>
        <v>4.29</v>
      </c>
      <c r="Y132">
        <f t="shared" si="11"/>
        <v>145.34059181728637</v>
      </c>
      <c r="Z132">
        <f t="shared" ref="Z132:Z195" si="14">(940.92*$Z$1)*($X132-1.2396+1.2396*EXP(-1*$X132/1.2396))</f>
        <v>290.68118363457273</v>
      </c>
      <c r="AA132">
        <f t="shared" si="12"/>
        <v>436.02177545185901</v>
      </c>
      <c r="AB132">
        <f t="shared" si="13"/>
        <v>581.36236726914547</v>
      </c>
    </row>
    <row r="133" spans="23:28" x14ac:dyDescent="0.3">
      <c r="W133">
        <v>131</v>
      </c>
      <c r="X133">
        <f t="shared" si="10"/>
        <v>4.3230000000000004</v>
      </c>
      <c r="Y133">
        <f t="shared" si="11"/>
        <v>146.84499652974432</v>
      </c>
      <c r="Z133">
        <f t="shared" si="14"/>
        <v>293.68999305948864</v>
      </c>
      <c r="AA133">
        <f t="shared" si="12"/>
        <v>440.53498958923285</v>
      </c>
      <c r="AB133">
        <f t="shared" si="13"/>
        <v>587.37998611897729</v>
      </c>
    </row>
    <row r="134" spans="23:28" x14ac:dyDescent="0.3">
      <c r="W134">
        <v>132</v>
      </c>
      <c r="X134">
        <f t="shared" si="10"/>
        <v>4.3559999999999999</v>
      </c>
      <c r="Y134">
        <f t="shared" si="11"/>
        <v>148.35066519089852</v>
      </c>
      <c r="Z134">
        <f t="shared" si="14"/>
        <v>296.70133038179705</v>
      </c>
      <c r="AA134">
        <f t="shared" si="12"/>
        <v>445.05199557269555</v>
      </c>
      <c r="AB134">
        <f t="shared" si="13"/>
        <v>593.4026607635941</v>
      </c>
    </row>
    <row r="135" spans="23:28" x14ac:dyDescent="0.3">
      <c r="W135">
        <v>133</v>
      </c>
      <c r="X135">
        <f t="shared" si="10"/>
        <v>4.3890000000000002</v>
      </c>
      <c r="Y135">
        <f t="shared" si="11"/>
        <v>149.85756459648499</v>
      </c>
      <c r="Z135">
        <f t="shared" si="14"/>
        <v>299.71512919296998</v>
      </c>
      <c r="AA135">
        <f t="shared" si="12"/>
        <v>449.57269378945489</v>
      </c>
      <c r="AB135">
        <f t="shared" si="13"/>
        <v>599.43025838593996</v>
      </c>
    </row>
    <row r="136" spans="23:28" x14ac:dyDescent="0.3">
      <c r="W136">
        <v>134</v>
      </c>
      <c r="X136">
        <f t="shared" si="10"/>
        <v>4.4219999999999997</v>
      </c>
      <c r="Y136">
        <f t="shared" si="11"/>
        <v>151.36566241452422</v>
      </c>
      <c r="Z136">
        <f t="shared" si="14"/>
        <v>302.73132482904845</v>
      </c>
      <c r="AA136">
        <f t="shared" si="12"/>
        <v>454.09698724357258</v>
      </c>
      <c r="AB136">
        <f t="shared" si="13"/>
        <v>605.46264965809689</v>
      </c>
    </row>
    <row r="137" spans="23:28" x14ac:dyDescent="0.3">
      <c r="W137">
        <v>135</v>
      </c>
      <c r="X137">
        <f t="shared" si="10"/>
        <v>4.4550000000000001</v>
      </c>
      <c r="Y137">
        <f t="shared" si="11"/>
        <v>152.87492716240652</v>
      </c>
      <c r="Z137">
        <f t="shared" si="14"/>
        <v>305.74985432481304</v>
      </c>
      <c r="AA137">
        <f t="shared" si="12"/>
        <v>458.62478148721954</v>
      </c>
      <c r="AB137">
        <f t="shared" si="13"/>
        <v>611.49970864962609</v>
      </c>
    </row>
    <row r="138" spans="23:28" x14ac:dyDescent="0.3">
      <c r="W138">
        <v>136</v>
      </c>
      <c r="X138">
        <f t="shared" si="10"/>
        <v>4.4880000000000004</v>
      </c>
      <c r="Y138">
        <f t="shared" si="11"/>
        <v>154.38532818457853</v>
      </c>
      <c r="Z138">
        <f t="shared" si="14"/>
        <v>308.77065636915705</v>
      </c>
      <c r="AA138">
        <f t="shared" si="12"/>
        <v>463.15598455373549</v>
      </c>
      <c r="AB138">
        <f t="shared" si="13"/>
        <v>617.5413127383141</v>
      </c>
    </row>
    <row r="139" spans="23:28" x14ac:dyDescent="0.3">
      <c r="W139">
        <v>137</v>
      </c>
      <c r="X139">
        <f t="shared" si="10"/>
        <v>4.5209999999999999</v>
      </c>
      <c r="Y139">
        <f t="shared" si="11"/>
        <v>155.89683563081618</v>
      </c>
      <c r="Z139">
        <f t="shared" si="14"/>
        <v>311.79367126163237</v>
      </c>
      <c r="AA139">
        <f t="shared" si="12"/>
        <v>467.69050689244847</v>
      </c>
      <c r="AB139">
        <f t="shared" si="13"/>
        <v>623.58734252326474</v>
      </c>
    </row>
    <row r="140" spans="23:28" x14ac:dyDescent="0.3">
      <c r="W140">
        <v>138</v>
      </c>
      <c r="X140">
        <f t="shared" si="10"/>
        <v>4.5540000000000003</v>
      </c>
      <c r="Y140">
        <f t="shared" si="11"/>
        <v>157.40942043506891</v>
      </c>
      <c r="Z140">
        <f t="shared" si="14"/>
        <v>314.81884087013782</v>
      </c>
      <c r="AA140">
        <f t="shared" si="12"/>
        <v>472.22826130520667</v>
      </c>
      <c r="AB140">
        <f t="shared" si="13"/>
        <v>629.63768174027564</v>
      </c>
    </row>
    <row r="141" spans="23:28" x14ac:dyDescent="0.3">
      <c r="W141">
        <v>139</v>
      </c>
      <c r="X141">
        <f t="shared" si="10"/>
        <v>4.5869999999999997</v>
      </c>
      <c r="Y141">
        <f t="shared" si="11"/>
        <v>158.9230542948587</v>
      </c>
      <c r="Z141">
        <f t="shared" si="14"/>
        <v>317.8461085897174</v>
      </c>
      <c r="AA141">
        <f t="shared" si="12"/>
        <v>476.76916288457608</v>
      </c>
      <c r="AB141">
        <f t="shared" si="13"/>
        <v>635.69221717943481</v>
      </c>
    </row>
    <row r="142" spans="23:28" x14ac:dyDescent="0.3">
      <c r="W142">
        <v>140</v>
      </c>
      <c r="X142">
        <f t="shared" si="10"/>
        <v>4.62</v>
      </c>
      <c r="Y142">
        <f t="shared" si="11"/>
        <v>160.43770965122127</v>
      </c>
      <c r="Z142">
        <f t="shared" si="14"/>
        <v>320.87541930244254</v>
      </c>
      <c r="AA142">
        <f t="shared" si="12"/>
        <v>481.31312895366375</v>
      </c>
      <c r="AB142">
        <f t="shared" si="13"/>
        <v>641.75083860488508</v>
      </c>
    </row>
    <row r="143" spans="23:28" x14ac:dyDescent="0.3">
      <c r="W143">
        <v>141</v>
      </c>
      <c r="X143">
        <f t="shared" si="10"/>
        <v>4.6529999999999996</v>
      </c>
      <c r="Y143">
        <f t="shared" si="11"/>
        <v>161.95335966917332</v>
      </c>
      <c r="Z143">
        <f t="shared" si="14"/>
        <v>323.90671933834665</v>
      </c>
      <c r="AA143">
        <f t="shared" si="12"/>
        <v>485.86007900751986</v>
      </c>
      <c r="AB143">
        <f t="shared" si="13"/>
        <v>647.81343867669329</v>
      </c>
    </row>
    <row r="144" spans="23:28" x14ac:dyDescent="0.3">
      <c r="W144">
        <v>142</v>
      </c>
      <c r="X144">
        <f t="shared" si="10"/>
        <v>4.6859999999999999</v>
      </c>
      <c r="Y144">
        <f t="shared" si="11"/>
        <v>163.4699782186938</v>
      </c>
      <c r="Z144">
        <f t="shared" si="14"/>
        <v>326.93995643738759</v>
      </c>
      <c r="AA144">
        <f t="shared" si="12"/>
        <v>490.40993465608136</v>
      </c>
      <c r="AB144">
        <f t="shared" si="13"/>
        <v>653.87991287477519</v>
      </c>
    </row>
    <row r="145" spans="23:28" x14ac:dyDescent="0.3">
      <c r="W145">
        <v>143</v>
      </c>
      <c r="X145">
        <f t="shared" si="10"/>
        <v>4.7190000000000003</v>
      </c>
      <c r="Y145">
        <f t="shared" si="11"/>
        <v>164.98753985620414</v>
      </c>
      <c r="Z145">
        <f t="shared" si="14"/>
        <v>329.97507971240827</v>
      </c>
      <c r="AA145">
        <f t="shared" si="12"/>
        <v>494.96261956861235</v>
      </c>
      <c r="AB145">
        <f t="shared" si="13"/>
        <v>659.95015942481655</v>
      </c>
    </row>
    <row r="146" spans="23:28" x14ac:dyDescent="0.3">
      <c r="W146">
        <v>144</v>
      </c>
      <c r="X146">
        <f t="shared" si="10"/>
        <v>4.7519999999999998</v>
      </c>
      <c r="Y146">
        <f t="shared" si="11"/>
        <v>166.50601980653514</v>
      </c>
      <c r="Z146">
        <f t="shared" si="14"/>
        <v>333.01203961307027</v>
      </c>
      <c r="AA146">
        <f t="shared" si="12"/>
        <v>499.51805941960532</v>
      </c>
      <c r="AB146">
        <f t="shared" si="13"/>
        <v>666.02407922614054</v>
      </c>
    </row>
    <row r="147" spans="23:28" x14ac:dyDescent="0.3">
      <c r="W147">
        <v>145</v>
      </c>
      <c r="X147">
        <f t="shared" si="10"/>
        <v>4.7850000000000001</v>
      </c>
      <c r="Y147">
        <f t="shared" si="11"/>
        <v>168.02539394536799</v>
      </c>
      <c r="Z147">
        <f t="shared" si="14"/>
        <v>336.05078789073599</v>
      </c>
      <c r="AA147">
        <f t="shared" si="12"/>
        <v>504.0761818361039</v>
      </c>
      <c r="AB147">
        <f t="shared" si="13"/>
        <v>672.10157578147198</v>
      </c>
    </row>
    <row r="148" spans="23:28" x14ac:dyDescent="0.3">
      <c r="W148">
        <v>146</v>
      </c>
      <c r="X148">
        <f t="shared" si="10"/>
        <v>4.8179999999999996</v>
      </c>
      <c r="Y148">
        <f t="shared" si="11"/>
        <v>169.54563878213588</v>
      </c>
      <c r="Z148">
        <f t="shared" si="14"/>
        <v>339.09127756427176</v>
      </c>
      <c r="AA148">
        <f t="shared" si="12"/>
        <v>508.63691634640753</v>
      </c>
      <c r="AB148">
        <f t="shared" si="13"/>
        <v>678.18255512854353</v>
      </c>
    </row>
    <row r="149" spans="23:28" x14ac:dyDescent="0.3">
      <c r="W149">
        <v>147</v>
      </c>
      <c r="X149">
        <f t="shared" si="10"/>
        <v>4.851</v>
      </c>
      <c r="Y149">
        <f t="shared" si="11"/>
        <v>171.06673144337552</v>
      </c>
      <c r="Z149">
        <f t="shared" si="14"/>
        <v>342.13346288675103</v>
      </c>
      <c r="AA149">
        <f t="shared" si="12"/>
        <v>513.20019433012646</v>
      </c>
      <c r="AB149">
        <f t="shared" si="13"/>
        <v>684.26692577350207</v>
      </c>
    </row>
    <row r="150" spans="23:28" x14ac:dyDescent="0.3">
      <c r="W150">
        <v>148</v>
      </c>
      <c r="X150">
        <f t="shared" si="10"/>
        <v>4.8840000000000003</v>
      </c>
      <c r="Y150">
        <f t="shared" si="11"/>
        <v>172.5886496565154</v>
      </c>
      <c r="Z150">
        <f t="shared" si="14"/>
        <v>345.1772993130308</v>
      </c>
      <c r="AA150">
        <f t="shared" si="12"/>
        <v>517.76594896954612</v>
      </c>
      <c r="AB150">
        <f t="shared" si="13"/>
        <v>690.3545986260616</v>
      </c>
    </row>
    <row r="151" spans="23:28" x14ac:dyDescent="0.3">
      <c r="W151">
        <v>149</v>
      </c>
      <c r="X151">
        <f t="shared" si="10"/>
        <v>4.9169999999999998</v>
      </c>
      <c r="Y151">
        <f t="shared" si="11"/>
        <v>174.11137173409031</v>
      </c>
      <c r="Z151">
        <f t="shared" si="14"/>
        <v>348.22274346818062</v>
      </c>
      <c r="AA151">
        <f t="shared" si="12"/>
        <v>522.33411520227094</v>
      </c>
      <c r="AB151">
        <f t="shared" si="13"/>
        <v>696.44548693636125</v>
      </c>
    </row>
    <row r="152" spans="23:28" x14ac:dyDescent="0.3">
      <c r="W152">
        <v>150</v>
      </c>
      <c r="X152">
        <f t="shared" si="10"/>
        <v>4.95</v>
      </c>
      <c r="Y152">
        <f t="shared" si="11"/>
        <v>175.63487655837059</v>
      </c>
      <c r="Z152">
        <f t="shared" si="14"/>
        <v>351.26975311674119</v>
      </c>
      <c r="AA152">
        <f t="shared" si="12"/>
        <v>526.90462967511166</v>
      </c>
      <c r="AB152">
        <f t="shared" si="13"/>
        <v>702.53950623348237</v>
      </c>
    </row>
    <row r="153" spans="23:28" x14ac:dyDescent="0.3">
      <c r="W153">
        <v>151</v>
      </c>
      <c r="X153">
        <f t="shared" si="10"/>
        <v>4.9829999999999997</v>
      </c>
      <c r="Y153">
        <f t="shared" si="11"/>
        <v>177.15914356639462</v>
      </c>
      <c r="Z153">
        <f t="shared" si="14"/>
        <v>354.31828713278924</v>
      </c>
      <c r="AA153">
        <f t="shared" si="12"/>
        <v>531.47743069918374</v>
      </c>
      <c r="AB153">
        <f t="shared" si="13"/>
        <v>708.63657426557847</v>
      </c>
    </row>
    <row r="154" spans="23:28" x14ac:dyDescent="0.3">
      <c r="W154">
        <v>152</v>
      </c>
      <c r="X154">
        <f t="shared" si="10"/>
        <v>5.016</v>
      </c>
      <c r="Y154">
        <f t="shared" si="11"/>
        <v>178.68415273539546</v>
      </c>
      <c r="Z154">
        <f t="shared" si="14"/>
        <v>357.36830547079092</v>
      </c>
      <c r="AA154">
        <f t="shared" si="12"/>
        <v>536.05245820618632</v>
      </c>
      <c r="AB154">
        <f t="shared" si="13"/>
        <v>714.73661094158183</v>
      </c>
    </row>
    <row r="155" spans="23:28" x14ac:dyDescent="0.3">
      <c r="W155">
        <v>153</v>
      </c>
      <c r="X155">
        <f t="shared" si="10"/>
        <v>5.0490000000000004</v>
      </c>
      <c r="Y155">
        <f t="shared" si="11"/>
        <v>180.20988456860937</v>
      </c>
      <c r="Z155">
        <f t="shared" si="14"/>
        <v>360.41976913721874</v>
      </c>
      <c r="AA155">
        <f t="shared" si="12"/>
        <v>540.62965370582799</v>
      </c>
      <c r="AB155">
        <f t="shared" si="13"/>
        <v>720.83953827443747</v>
      </c>
    </row>
    <row r="156" spans="23:28" x14ac:dyDescent="0.3">
      <c r="W156">
        <v>154</v>
      </c>
      <c r="X156">
        <f t="shared" si="10"/>
        <v>5.0819999999999999</v>
      </c>
      <c r="Y156">
        <f t="shared" si="11"/>
        <v>181.73632008145762</v>
      </c>
      <c r="Z156">
        <f t="shared" si="14"/>
        <v>363.47264016291524</v>
      </c>
      <c r="AA156">
        <f t="shared" si="12"/>
        <v>545.20896024437275</v>
      </c>
      <c r="AB156">
        <f t="shared" si="13"/>
        <v>726.94528032583048</v>
      </c>
    </row>
    <row r="157" spans="23:28" x14ac:dyDescent="0.3">
      <c r="W157">
        <v>155</v>
      </c>
      <c r="X157">
        <f t="shared" si="10"/>
        <v>5.1150000000000002</v>
      </c>
      <c r="Y157">
        <f t="shared" si="11"/>
        <v>183.2634407880916</v>
      </c>
      <c r="Z157">
        <f t="shared" si="14"/>
        <v>366.5268815761832</v>
      </c>
      <c r="AA157">
        <f t="shared" si="12"/>
        <v>549.79032236427474</v>
      </c>
      <c r="AB157">
        <f t="shared" si="13"/>
        <v>733.0537631523664</v>
      </c>
    </row>
    <row r="158" spans="23:28" x14ac:dyDescent="0.3">
      <c r="W158">
        <v>156</v>
      </c>
      <c r="X158">
        <f t="shared" si="10"/>
        <v>5.1479999999999997</v>
      </c>
      <c r="Y158">
        <f t="shared" si="11"/>
        <v>184.79122868829054</v>
      </c>
      <c r="Z158">
        <f t="shared" si="14"/>
        <v>369.58245737658109</v>
      </c>
      <c r="AA158">
        <f t="shared" si="12"/>
        <v>554.37368606487155</v>
      </c>
      <c r="AB158">
        <f t="shared" si="13"/>
        <v>739.16491475316218</v>
      </c>
    </row>
    <row r="159" spans="23:28" x14ac:dyDescent="0.3">
      <c r="W159">
        <v>157</v>
      </c>
      <c r="X159">
        <f t="shared" si="10"/>
        <v>5.181</v>
      </c>
      <c r="Y159">
        <f t="shared" si="11"/>
        <v>186.31966625470443</v>
      </c>
      <c r="Z159">
        <f t="shared" si="14"/>
        <v>372.63933250940886</v>
      </c>
      <c r="AA159">
        <f t="shared" si="12"/>
        <v>558.95899876411329</v>
      </c>
      <c r="AB159">
        <f t="shared" si="13"/>
        <v>745.27866501881772</v>
      </c>
    </row>
    <row r="160" spans="23:28" x14ac:dyDescent="0.3">
      <c r="W160">
        <v>158</v>
      </c>
      <c r="X160">
        <f t="shared" si="10"/>
        <v>5.2140000000000004</v>
      </c>
      <c r="Y160">
        <f t="shared" si="11"/>
        <v>187.84873642043115</v>
      </c>
      <c r="Z160">
        <f t="shared" si="14"/>
        <v>375.6974728408623</v>
      </c>
      <c r="AA160">
        <f t="shared" si="12"/>
        <v>563.54620926129337</v>
      </c>
      <c r="AB160">
        <f t="shared" si="13"/>
        <v>751.39494568172461</v>
      </c>
    </row>
    <row r="161" spans="23:28" x14ac:dyDescent="0.3">
      <c r="W161">
        <v>159</v>
      </c>
      <c r="X161">
        <f t="shared" si="10"/>
        <v>5.2469999999999999</v>
      </c>
      <c r="Y161">
        <f t="shared" si="11"/>
        <v>189.37842256692065</v>
      </c>
      <c r="Z161">
        <f t="shared" si="14"/>
        <v>378.7568451338413</v>
      </c>
      <c r="AA161">
        <f t="shared" si="12"/>
        <v>568.13526770076191</v>
      </c>
      <c r="AB161">
        <f t="shared" si="13"/>
        <v>757.51369026768259</v>
      </c>
    </row>
    <row r="162" spans="23:28" x14ac:dyDescent="0.3">
      <c r="W162">
        <v>160</v>
      </c>
      <c r="X162">
        <f t="shared" si="10"/>
        <v>5.28</v>
      </c>
      <c r="Y162">
        <f t="shared" si="11"/>
        <v>190.9087085121966</v>
      </c>
      <c r="Z162">
        <f t="shared" si="14"/>
        <v>381.81741702439319</v>
      </c>
      <c r="AA162">
        <f t="shared" si="12"/>
        <v>572.72612553658973</v>
      </c>
      <c r="AB162">
        <f t="shared" si="13"/>
        <v>763.63483404878639</v>
      </c>
    </row>
    <row r="163" spans="23:28" x14ac:dyDescent="0.3">
      <c r="W163">
        <v>161</v>
      </c>
      <c r="X163">
        <f t="shared" si="10"/>
        <v>5.3129999999999997</v>
      </c>
      <c r="Y163">
        <f t="shared" si="11"/>
        <v>192.43957849938732</v>
      </c>
      <c r="Z163">
        <f t="shared" si="14"/>
        <v>384.87915699877465</v>
      </c>
      <c r="AA163">
        <f t="shared" si="12"/>
        <v>577.31873549816191</v>
      </c>
      <c r="AB163">
        <f t="shared" si="13"/>
        <v>769.75831399754929</v>
      </c>
    </row>
    <row r="164" spans="23:28" x14ac:dyDescent="0.3">
      <c r="W164">
        <v>162</v>
      </c>
      <c r="X164">
        <f t="shared" si="10"/>
        <v>5.3460000000000001</v>
      </c>
      <c r="Y164">
        <f t="shared" si="11"/>
        <v>193.97101718555851</v>
      </c>
      <c r="Z164">
        <f t="shared" si="14"/>
        <v>387.94203437111702</v>
      </c>
      <c r="AA164">
        <f t="shared" si="12"/>
        <v>581.91305155667544</v>
      </c>
      <c r="AB164">
        <f t="shared" si="13"/>
        <v>775.88406874223404</v>
      </c>
    </row>
    <row r="165" spans="23:28" x14ac:dyDescent="0.3">
      <c r="W165">
        <v>163</v>
      </c>
      <c r="X165">
        <f t="shared" si="10"/>
        <v>5.3789999999999996</v>
      </c>
      <c r="Y165">
        <f t="shared" si="11"/>
        <v>195.50300963083848</v>
      </c>
      <c r="Z165">
        <f t="shared" si="14"/>
        <v>391.00601926167695</v>
      </c>
      <c r="AA165">
        <f t="shared" si="12"/>
        <v>586.50902889251529</v>
      </c>
      <c r="AB165">
        <f t="shared" si="13"/>
        <v>782.01203852335391</v>
      </c>
    </row>
    <row r="166" spans="23:28" x14ac:dyDescent="0.3">
      <c r="W166">
        <v>164</v>
      </c>
      <c r="X166">
        <f t="shared" si="10"/>
        <v>5.4119999999999999</v>
      </c>
      <c r="Y166">
        <f t="shared" si="11"/>
        <v>197.03554128783014</v>
      </c>
      <c r="Z166">
        <f t="shared" si="14"/>
        <v>394.07108257566028</v>
      </c>
      <c r="AA166">
        <f t="shared" si="12"/>
        <v>591.10662386349031</v>
      </c>
      <c r="AB166">
        <f t="shared" si="13"/>
        <v>788.14216515132057</v>
      </c>
    </row>
    <row r="167" spans="23:28" x14ac:dyDescent="0.3">
      <c r="W167">
        <v>165</v>
      </c>
      <c r="X167">
        <f t="shared" si="10"/>
        <v>5.4450000000000003</v>
      </c>
      <c r="Y167">
        <f t="shared" si="11"/>
        <v>198.56859799130024</v>
      </c>
      <c r="Z167">
        <f t="shared" si="14"/>
        <v>397.13719598260047</v>
      </c>
      <c r="AA167">
        <f t="shared" si="12"/>
        <v>595.70579397390065</v>
      </c>
      <c r="AB167">
        <f t="shared" si="13"/>
        <v>794.27439196520095</v>
      </c>
    </row>
    <row r="168" spans="23:28" x14ac:dyDescent="0.3">
      <c r="W168">
        <v>166</v>
      </c>
      <c r="X168">
        <f t="shared" si="10"/>
        <v>5.4779999999999998</v>
      </c>
      <c r="Y168">
        <f t="shared" si="11"/>
        <v>200.10216594813991</v>
      </c>
      <c r="Z168">
        <f t="shared" si="14"/>
        <v>400.20433189627983</v>
      </c>
      <c r="AA168">
        <f t="shared" si="12"/>
        <v>600.3064978444196</v>
      </c>
      <c r="AB168">
        <f t="shared" si="13"/>
        <v>800.40866379255965</v>
      </c>
    </row>
    <row r="169" spans="23:28" x14ac:dyDescent="0.3">
      <c r="W169">
        <v>167</v>
      </c>
      <c r="X169">
        <f t="shared" si="10"/>
        <v>5.5110000000000001</v>
      </c>
      <c r="Y169">
        <f t="shared" si="11"/>
        <v>201.63623172758889</v>
      </c>
      <c r="Z169">
        <f t="shared" si="14"/>
        <v>403.27246345517779</v>
      </c>
      <c r="AA169">
        <f t="shared" si="12"/>
        <v>604.90869518276656</v>
      </c>
      <c r="AB169">
        <f t="shared" si="13"/>
        <v>806.54492691035557</v>
      </c>
    </row>
    <row r="170" spans="23:28" x14ac:dyDescent="0.3">
      <c r="W170">
        <v>168</v>
      </c>
      <c r="X170">
        <f t="shared" si="10"/>
        <v>5.5439999999999996</v>
      </c>
      <c r="Y170">
        <f t="shared" si="11"/>
        <v>203.17078225171653</v>
      </c>
      <c r="Z170">
        <f t="shared" si="14"/>
        <v>406.34156450343306</v>
      </c>
      <c r="AA170">
        <f t="shared" si="12"/>
        <v>609.51234675514957</v>
      </c>
      <c r="AB170">
        <f t="shared" si="13"/>
        <v>812.68312900686612</v>
      </c>
    </row>
    <row r="171" spans="23:28" x14ac:dyDescent="0.3">
      <c r="W171">
        <v>169</v>
      </c>
      <c r="X171">
        <f t="shared" si="10"/>
        <v>5.577</v>
      </c>
      <c r="Y171">
        <f t="shared" si="11"/>
        <v>204.70580478615292</v>
      </c>
      <c r="Z171">
        <f t="shared" si="14"/>
        <v>409.41160957230585</v>
      </c>
      <c r="AA171">
        <f t="shared" si="12"/>
        <v>614.11741435845875</v>
      </c>
      <c r="AB171">
        <f t="shared" si="13"/>
        <v>818.8232191446117</v>
      </c>
    </row>
    <row r="172" spans="23:28" x14ac:dyDescent="0.3">
      <c r="W172">
        <v>170</v>
      </c>
      <c r="X172">
        <f t="shared" si="10"/>
        <v>5.61</v>
      </c>
      <c r="Y172">
        <f t="shared" si="11"/>
        <v>206.24128693106323</v>
      </c>
      <c r="Z172">
        <f t="shared" si="14"/>
        <v>412.48257386212646</v>
      </c>
      <c r="AA172">
        <f t="shared" si="12"/>
        <v>618.7238607931896</v>
      </c>
      <c r="AB172">
        <f t="shared" si="13"/>
        <v>824.96514772425292</v>
      </c>
    </row>
    <row r="173" spans="23:28" x14ac:dyDescent="0.3">
      <c r="W173">
        <v>171</v>
      </c>
      <c r="X173">
        <f t="shared" si="10"/>
        <v>5.6429999999999998</v>
      </c>
      <c r="Y173">
        <f t="shared" si="11"/>
        <v>207.77721661235964</v>
      </c>
      <c r="Z173">
        <f t="shared" si="14"/>
        <v>415.55443322471928</v>
      </c>
      <c r="AA173">
        <f t="shared" si="12"/>
        <v>623.33164983707877</v>
      </c>
      <c r="AB173">
        <f t="shared" si="13"/>
        <v>831.10886644943855</v>
      </c>
    </row>
    <row r="174" spans="23:28" x14ac:dyDescent="0.3">
      <c r="W174">
        <v>172</v>
      </c>
      <c r="X174">
        <f t="shared" si="10"/>
        <v>5.6760000000000002</v>
      </c>
      <c r="Y174">
        <f t="shared" si="11"/>
        <v>209.31358207314386</v>
      </c>
      <c r="Z174">
        <f t="shared" si="14"/>
        <v>418.62716414628773</v>
      </c>
      <c r="AA174">
        <f t="shared" si="12"/>
        <v>627.9407462194315</v>
      </c>
      <c r="AB174">
        <f t="shared" si="13"/>
        <v>837.25432829257545</v>
      </c>
    </row>
    <row r="175" spans="23:28" x14ac:dyDescent="0.3">
      <c r="W175">
        <v>173</v>
      </c>
      <c r="X175">
        <f t="shared" si="10"/>
        <v>5.7089999999999996</v>
      </c>
      <c r="Y175">
        <f t="shared" si="11"/>
        <v>210.8503718653742</v>
      </c>
      <c r="Z175">
        <f t="shared" si="14"/>
        <v>421.7007437307484</v>
      </c>
      <c r="AA175">
        <f t="shared" si="12"/>
        <v>632.55111559612249</v>
      </c>
      <c r="AB175">
        <f t="shared" si="13"/>
        <v>843.4014874614968</v>
      </c>
    </row>
    <row r="176" spans="23:28" x14ac:dyDescent="0.3">
      <c r="W176">
        <v>174</v>
      </c>
      <c r="X176">
        <f t="shared" si="10"/>
        <v>5.742</v>
      </c>
      <c r="Y176">
        <f t="shared" si="11"/>
        <v>212.3875748417523</v>
      </c>
      <c r="Z176">
        <f t="shared" si="14"/>
        <v>424.77514968350459</v>
      </c>
      <c r="AA176">
        <f t="shared" si="12"/>
        <v>637.16272452525686</v>
      </c>
      <c r="AB176">
        <f t="shared" si="13"/>
        <v>849.55029936700919</v>
      </c>
    </row>
    <row r="177" spans="23:28" x14ac:dyDescent="0.3">
      <c r="W177">
        <v>175</v>
      </c>
      <c r="X177">
        <f t="shared" si="10"/>
        <v>5.7750000000000004</v>
      </c>
      <c r="Y177">
        <f t="shared" si="11"/>
        <v>213.92518014782206</v>
      </c>
      <c r="Z177">
        <f t="shared" si="14"/>
        <v>427.85036029564412</v>
      </c>
      <c r="AA177">
        <f t="shared" si="12"/>
        <v>641.77554044346607</v>
      </c>
      <c r="AB177">
        <f t="shared" si="13"/>
        <v>855.70072059128825</v>
      </c>
    </row>
    <row r="178" spans="23:28" x14ac:dyDescent="0.3">
      <c r="W178">
        <v>176</v>
      </c>
      <c r="X178">
        <f t="shared" si="10"/>
        <v>5.8079999999999998</v>
      </c>
      <c r="Y178">
        <f t="shared" si="11"/>
        <v>215.46317721427675</v>
      </c>
      <c r="Z178">
        <f t="shared" si="14"/>
        <v>430.92635442855351</v>
      </c>
      <c r="AA178">
        <f t="shared" si="12"/>
        <v>646.38953164283021</v>
      </c>
      <c r="AB178">
        <f t="shared" si="13"/>
        <v>861.85270885710702</v>
      </c>
    </row>
    <row r="179" spans="23:28" x14ac:dyDescent="0.3">
      <c r="W179">
        <v>177</v>
      </c>
      <c r="X179">
        <f t="shared" si="10"/>
        <v>5.8410000000000002</v>
      </c>
      <c r="Y179">
        <f t="shared" si="11"/>
        <v>217.00155574946834</v>
      </c>
      <c r="Z179">
        <f t="shared" si="14"/>
        <v>434.00311149893668</v>
      </c>
      <c r="AA179">
        <f t="shared" si="12"/>
        <v>651.00466724840487</v>
      </c>
      <c r="AB179">
        <f t="shared" si="13"/>
        <v>868.00622299787335</v>
      </c>
    </row>
    <row r="180" spans="23:28" x14ac:dyDescent="0.3">
      <c r="W180">
        <v>178</v>
      </c>
      <c r="X180">
        <f t="shared" si="10"/>
        <v>5.8739999999999997</v>
      </c>
      <c r="Y180">
        <f t="shared" si="11"/>
        <v>218.54030573211284</v>
      </c>
      <c r="Z180">
        <f t="shared" si="14"/>
        <v>437.08061146422568</v>
      </c>
      <c r="AA180">
        <f t="shared" si="12"/>
        <v>655.62091719633838</v>
      </c>
      <c r="AB180">
        <f t="shared" si="13"/>
        <v>874.16122292845137</v>
      </c>
    </row>
    <row r="181" spans="23:28" x14ac:dyDescent="0.3">
      <c r="W181">
        <v>179</v>
      </c>
      <c r="X181">
        <f t="shared" si="10"/>
        <v>5.907</v>
      </c>
      <c r="Y181">
        <f t="shared" si="11"/>
        <v>220.07941740418823</v>
      </c>
      <c r="Z181">
        <f t="shared" si="14"/>
        <v>440.15883480837647</v>
      </c>
      <c r="AA181">
        <f t="shared" si="12"/>
        <v>660.23825221256459</v>
      </c>
      <c r="AB181">
        <f t="shared" si="13"/>
        <v>880.31766961675294</v>
      </c>
    </row>
    <row r="182" spans="23:28" x14ac:dyDescent="0.3">
      <c r="W182">
        <v>180</v>
      </c>
      <c r="X182">
        <f t="shared" si="10"/>
        <v>5.94</v>
      </c>
      <c r="Y182">
        <f t="shared" si="11"/>
        <v>221.61888126401814</v>
      </c>
      <c r="Z182">
        <f t="shared" si="14"/>
        <v>443.23776252803628</v>
      </c>
      <c r="AA182">
        <f t="shared" si="12"/>
        <v>664.85664379205434</v>
      </c>
      <c r="AB182">
        <f t="shared" si="13"/>
        <v>886.47552505607257</v>
      </c>
    </row>
    <row r="183" spans="23:28" x14ac:dyDescent="0.3">
      <c r="W183">
        <v>181</v>
      </c>
      <c r="X183">
        <f t="shared" si="10"/>
        <v>5.9729999999999999</v>
      </c>
      <c r="Y183">
        <f t="shared" si="11"/>
        <v>223.15868805953781</v>
      </c>
      <c r="Z183">
        <f t="shared" si="14"/>
        <v>446.31737611907562</v>
      </c>
      <c r="AA183">
        <f t="shared" si="12"/>
        <v>669.47606417861334</v>
      </c>
      <c r="AB183">
        <f t="shared" si="13"/>
        <v>892.63475223815124</v>
      </c>
    </row>
    <row r="184" spans="23:28" x14ac:dyDescent="0.3">
      <c r="W184">
        <v>182</v>
      </c>
      <c r="X184">
        <f t="shared" si="10"/>
        <v>6.0060000000000002</v>
      </c>
      <c r="Y184">
        <f t="shared" si="11"/>
        <v>224.69882878173661</v>
      </c>
      <c r="Z184">
        <f t="shared" si="14"/>
        <v>449.39765756347322</v>
      </c>
      <c r="AA184">
        <f t="shared" si="12"/>
        <v>674.09648634520977</v>
      </c>
      <c r="AB184">
        <f t="shared" si="13"/>
        <v>898.79531512694643</v>
      </c>
    </row>
    <row r="185" spans="23:28" x14ac:dyDescent="0.3">
      <c r="W185">
        <v>183</v>
      </c>
      <c r="X185">
        <f t="shared" si="10"/>
        <v>6.0389999999999997</v>
      </c>
      <c r="Y185">
        <f t="shared" si="11"/>
        <v>226.23929465827297</v>
      </c>
      <c r="Z185">
        <f t="shared" si="14"/>
        <v>452.47858931654594</v>
      </c>
      <c r="AA185">
        <f t="shared" si="12"/>
        <v>678.71788397481885</v>
      </c>
      <c r="AB185">
        <f t="shared" si="13"/>
        <v>904.95717863309187</v>
      </c>
    </row>
    <row r="186" spans="23:28" x14ac:dyDescent="0.3">
      <c r="W186">
        <v>184</v>
      </c>
      <c r="X186">
        <f t="shared" si="10"/>
        <v>6.0720000000000001</v>
      </c>
      <c r="Y186">
        <f t="shared" si="11"/>
        <v>227.78007714725717</v>
      </c>
      <c r="Z186">
        <f t="shared" si="14"/>
        <v>455.56015429451435</v>
      </c>
      <c r="AA186">
        <f t="shared" si="12"/>
        <v>683.34023144177138</v>
      </c>
      <c r="AB186">
        <f t="shared" si="13"/>
        <v>911.1203085890287</v>
      </c>
    </row>
    <row r="187" spans="23:28" x14ac:dyDescent="0.3">
      <c r="W187">
        <v>185</v>
      </c>
      <c r="X187">
        <f t="shared" si="10"/>
        <v>6.1050000000000004</v>
      </c>
      <c r="Y187">
        <f t="shared" si="11"/>
        <v>229.32116793119704</v>
      </c>
      <c r="Z187">
        <f t="shared" si="14"/>
        <v>458.64233586239408</v>
      </c>
      <c r="AA187">
        <f t="shared" si="12"/>
        <v>687.96350379359103</v>
      </c>
      <c r="AB187">
        <f t="shared" si="13"/>
        <v>917.28467172478815</v>
      </c>
    </row>
    <row r="188" spans="23:28" x14ac:dyDescent="0.3">
      <c r="W188">
        <v>186</v>
      </c>
      <c r="X188">
        <f t="shared" si="10"/>
        <v>6.1379999999999999</v>
      </c>
      <c r="Y188">
        <f t="shared" si="11"/>
        <v>230.86255891110306</v>
      </c>
      <c r="Z188">
        <f t="shared" si="14"/>
        <v>461.72511782220613</v>
      </c>
      <c r="AA188">
        <f t="shared" si="12"/>
        <v>692.58767673330908</v>
      </c>
      <c r="AB188">
        <f t="shared" si="13"/>
        <v>923.45023564441226</v>
      </c>
    </row>
    <row r="189" spans="23:28" x14ac:dyDescent="0.3">
      <c r="W189">
        <v>187</v>
      </c>
      <c r="X189">
        <f t="shared" si="10"/>
        <v>6.1710000000000003</v>
      </c>
      <c r="Y189">
        <f t="shared" si="11"/>
        <v>232.40424220074851</v>
      </c>
      <c r="Z189">
        <f t="shared" si="14"/>
        <v>464.80848440149703</v>
      </c>
      <c r="AA189">
        <f t="shared" si="12"/>
        <v>697.21272660224543</v>
      </c>
      <c r="AB189">
        <f t="shared" si="13"/>
        <v>929.61696880299405</v>
      </c>
    </row>
    <row r="190" spans="23:28" x14ac:dyDescent="0.3">
      <c r="W190">
        <v>188</v>
      </c>
      <c r="X190">
        <f t="shared" si="10"/>
        <v>6.2039999999999997</v>
      </c>
      <c r="Y190">
        <f t="shared" si="11"/>
        <v>233.94621012107967</v>
      </c>
      <c r="Z190">
        <f t="shared" si="14"/>
        <v>467.89242024215935</v>
      </c>
      <c r="AA190">
        <f t="shared" si="12"/>
        <v>701.83863036323896</v>
      </c>
      <c r="AB190">
        <f t="shared" si="13"/>
        <v>935.78484048431869</v>
      </c>
    </row>
    <row r="191" spans="23:28" x14ac:dyDescent="0.3">
      <c r="W191">
        <v>189</v>
      </c>
      <c r="X191">
        <f t="shared" si="10"/>
        <v>6.2370000000000001</v>
      </c>
      <c r="Y191">
        <f t="shared" si="11"/>
        <v>235.48845519477379</v>
      </c>
      <c r="Z191">
        <f t="shared" si="14"/>
        <v>470.97691038954758</v>
      </c>
      <c r="AA191">
        <f t="shared" si="12"/>
        <v>706.46536558432126</v>
      </c>
      <c r="AB191">
        <f t="shared" si="13"/>
        <v>941.95382077909517</v>
      </c>
    </row>
    <row r="192" spans="23:28" x14ac:dyDescent="0.3">
      <c r="W192">
        <v>190</v>
      </c>
      <c r="X192">
        <f t="shared" si="10"/>
        <v>6.27</v>
      </c>
      <c r="Y192">
        <f t="shared" si="11"/>
        <v>237.03097014093922</v>
      </c>
      <c r="Z192">
        <f t="shared" si="14"/>
        <v>474.06194028187844</v>
      </c>
      <c r="AA192">
        <f t="shared" si="12"/>
        <v>711.09291042281757</v>
      </c>
      <c r="AB192">
        <f t="shared" si="13"/>
        <v>948.12388056375687</v>
      </c>
    </row>
    <row r="193" spans="23:28" x14ac:dyDescent="0.3">
      <c r="W193">
        <v>191</v>
      </c>
      <c r="X193">
        <f t="shared" si="10"/>
        <v>6.3029999999999999</v>
      </c>
      <c r="Y193">
        <f t="shared" si="11"/>
        <v>238.57374786995527</v>
      </c>
      <c r="Z193">
        <f t="shared" si="14"/>
        <v>477.14749573991054</v>
      </c>
      <c r="AA193">
        <f t="shared" si="12"/>
        <v>715.72124360986572</v>
      </c>
      <c r="AB193">
        <f t="shared" si="13"/>
        <v>954.29499147982108</v>
      </c>
    </row>
    <row r="194" spans="23:28" x14ac:dyDescent="0.3">
      <c r="W194">
        <v>192</v>
      </c>
      <c r="X194">
        <f t="shared" si="10"/>
        <v>6.3360000000000003</v>
      </c>
      <c r="Y194">
        <f t="shared" si="11"/>
        <v>240.11678147844748</v>
      </c>
      <c r="Z194">
        <f t="shared" si="14"/>
        <v>480.23356295689496</v>
      </c>
      <c r="AA194">
        <f t="shared" si="12"/>
        <v>720.35034443534232</v>
      </c>
      <c r="AB194">
        <f t="shared" si="13"/>
        <v>960.46712591378991</v>
      </c>
    </row>
    <row r="195" spans="23:28" x14ac:dyDescent="0.3">
      <c r="W195">
        <v>193</v>
      </c>
      <c r="X195">
        <f t="shared" ref="X195:X258" si="15">W195*33/1000</f>
        <v>6.3689999999999998</v>
      </c>
      <c r="Y195">
        <f t="shared" ref="Y195:Y226" si="16">(940.92*$Y$1)*($X195-1.2396+1.2396*EXP(-1*$X195/1.2396))</f>
        <v>241.66006424439479</v>
      </c>
      <c r="Z195">
        <f t="shared" si="14"/>
        <v>483.32012848878958</v>
      </c>
      <c r="AA195">
        <f t="shared" ref="AA195:AA258" si="17">(940.92*$AA$1)*($X195-1.2396+1.2396*EXP(-1*$X195/1.2396))</f>
        <v>724.98019273318425</v>
      </c>
      <c r="AB195">
        <f t="shared" ref="AB195:AB258" si="18">(940.92*$AB$1)*($X195-1.2396+1.2396*EXP(-1*$X195/1.2396))</f>
        <v>966.64025697757916</v>
      </c>
    </row>
    <row r="196" spans="23:28" x14ac:dyDescent="0.3">
      <c r="W196">
        <v>194</v>
      </c>
      <c r="X196">
        <f t="shared" si="15"/>
        <v>6.4020000000000001</v>
      </c>
      <c r="Y196">
        <f t="shared" si="16"/>
        <v>243.20358962236543</v>
      </c>
      <c r="Z196">
        <f t="shared" ref="Z196:Z259" si="19">(940.92*$Z$1)*($X196-1.2396+1.2396*EXP(-1*$X196/1.2396))</f>
        <v>486.40717924473086</v>
      </c>
      <c r="AA196">
        <f t="shared" si="17"/>
        <v>729.61076886709623</v>
      </c>
      <c r="AB196">
        <f t="shared" si="18"/>
        <v>972.81435848946171</v>
      </c>
    </row>
    <row r="197" spans="23:28" x14ac:dyDescent="0.3">
      <c r="W197">
        <v>195</v>
      </c>
      <c r="X197">
        <f t="shared" si="15"/>
        <v>6.4349999999999996</v>
      </c>
      <c r="Y197">
        <f t="shared" si="16"/>
        <v>244.74735123887788</v>
      </c>
      <c r="Z197">
        <f t="shared" si="19"/>
        <v>489.49470247775577</v>
      </c>
      <c r="AA197">
        <f t="shared" si="17"/>
        <v>734.24205371663356</v>
      </c>
      <c r="AB197">
        <f t="shared" si="18"/>
        <v>978.98940495551153</v>
      </c>
    </row>
    <row r="198" spans="23:28" x14ac:dyDescent="0.3">
      <c r="W198">
        <v>196</v>
      </c>
      <c r="X198">
        <f t="shared" si="15"/>
        <v>6.468</v>
      </c>
      <c r="Y198">
        <f t="shared" si="16"/>
        <v>246.29134288788367</v>
      </c>
      <c r="Z198">
        <f t="shared" si="19"/>
        <v>492.58268577576735</v>
      </c>
      <c r="AA198">
        <f t="shared" si="17"/>
        <v>738.87402866365096</v>
      </c>
      <c r="AB198">
        <f t="shared" si="18"/>
        <v>985.16537155153469</v>
      </c>
    </row>
    <row r="199" spans="23:28" x14ac:dyDescent="0.3">
      <c r="W199">
        <v>197</v>
      </c>
      <c r="X199">
        <f t="shared" si="15"/>
        <v>6.5010000000000003</v>
      </c>
      <c r="Y199">
        <f t="shared" si="16"/>
        <v>247.83555852636874</v>
      </c>
      <c r="Z199">
        <f t="shared" si="19"/>
        <v>495.67111705273749</v>
      </c>
      <c r="AA199">
        <f t="shared" si="17"/>
        <v>743.50667557910617</v>
      </c>
      <c r="AB199">
        <f t="shared" si="18"/>
        <v>991.34223410547497</v>
      </c>
    </row>
    <row r="200" spans="23:28" x14ac:dyDescent="0.3">
      <c r="W200">
        <v>198</v>
      </c>
      <c r="X200">
        <f t="shared" si="15"/>
        <v>6.5339999999999998</v>
      </c>
      <c r="Y200">
        <f t="shared" si="16"/>
        <v>249.37999227007063</v>
      </c>
      <c r="Z200">
        <f t="shared" si="19"/>
        <v>498.75998454014126</v>
      </c>
      <c r="AA200">
        <f t="shared" si="17"/>
        <v>748.13997681021181</v>
      </c>
      <c r="AB200">
        <f t="shared" si="18"/>
        <v>997.51996908028252</v>
      </c>
    </row>
    <row r="201" spans="23:28" x14ac:dyDescent="0.3">
      <c r="W201">
        <v>199</v>
      </c>
      <c r="X201">
        <f t="shared" si="15"/>
        <v>6.5670000000000002</v>
      </c>
      <c r="Y201">
        <f t="shared" si="16"/>
        <v>250.92463838930809</v>
      </c>
      <c r="Z201">
        <f t="shared" si="19"/>
        <v>501.84927677861617</v>
      </c>
      <c r="AA201">
        <f t="shared" si="17"/>
        <v>752.7739151679242</v>
      </c>
      <c r="AB201">
        <f t="shared" si="18"/>
        <v>1003.6985535572323</v>
      </c>
    </row>
    <row r="202" spans="23:28" x14ac:dyDescent="0.3">
      <c r="W202">
        <v>200</v>
      </c>
      <c r="X202">
        <f t="shared" si="15"/>
        <v>6.6</v>
      </c>
      <c r="Y202">
        <f t="shared" si="16"/>
        <v>252.46949130492001</v>
      </c>
      <c r="Z202">
        <f t="shared" si="19"/>
        <v>504.93898260984002</v>
      </c>
      <c r="AA202">
        <f t="shared" si="17"/>
        <v>757.40847391475984</v>
      </c>
      <c r="AB202">
        <f t="shared" si="18"/>
        <v>1009.87796521968</v>
      </c>
    </row>
    <row r="203" spans="23:28" x14ac:dyDescent="0.3">
      <c r="W203">
        <v>201</v>
      </c>
      <c r="X203">
        <f t="shared" si="15"/>
        <v>6.633</v>
      </c>
      <c r="Y203">
        <f t="shared" si="16"/>
        <v>254.01454558431135</v>
      </c>
      <c r="Z203">
        <f t="shared" si="19"/>
        <v>508.0290911686227</v>
      </c>
      <c r="AA203">
        <f t="shared" si="17"/>
        <v>762.04363675293393</v>
      </c>
      <c r="AB203">
        <f t="shared" si="18"/>
        <v>1016.0581823372454</v>
      </c>
    </row>
    <row r="204" spans="23:28" x14ac:dyDescent="0.3">
      <c r="W204">
        <v>202</v>
      </c>
      <c r="X204">
        <f t="shared" si="15"/>
        <v>6.6660000000000004</v>
      </c>
      <c r="Y204">
        <f t="shared" si="16"/>
        <v>255.55979593760276</v>
      </c>
      <c r="Z204">
        <f t="shared" si="19"/>
        <v>511.11959187520551</v>
      </c>
      <c r="AA204">
        <f t="shared" si="17"/>
        <v>766.67938781280816</v>
      </c>
      <c r="AB204">
        <f t="shared" si="18"/>
        <v>1022.239183750411</v>
      </c>
    </row>
    <row r="205" spans="23:28" x14ac:dyDescent="0.3">
      <c r="W205">
        <v>203</v>
      </c>
      <c r="X205">
        <f t="shared" si="15"/>
        <v>6.6989999999999998</v>
      </c>
      <c r="Y205">
        <f t="shared" si="16"/>
        <v>257.10523721388131</v>
      </c>
      <c r="Z205">
        <f t="shared" si="19"/>
        <v>514.21047442776262</v>
      </c>
      <c r="AA205">
        <f t="shared" si="17"/>
        <v>771.31571164164382</v>
      </c>
      <c r="AB205">
        <f t="shared" si="18"/>
        <v>1028.4209488555252</v>
      </c>
    </row>
    <row r="206" spans="23:28" x14ac:dyDescent="0.3">
      <c r="W206">
        <v>204</v>
      </c>
      <c r="X206">
        <f t="shared" si="15"/>
        <v>6.7320000000000002</v>
      </c>
      <c r="Y206">
        <f t="shared" si="16"/>
        <v>258.65086439755015</v>
      </c>
      <c r="Z206">
        <f t="shared" si="19"/>
        <v>517.3017287951003</v>
      </c>
      <c r="AA206">
        <f t="shared" si="17"/>
        <v>775.9525931926504</v>
      </c>
      <c r="AB206">
        <f t="shared" si="18"/>
        <v>1034.6034575902006</v>
      </c>
    </row>
    <row r="207" spans="23:28" x14ac:dyDescent="0.3">
      <c r="W207">
        <v>205</v>
      </c>
      <c r="X207">
        <f t="shared" si="15"/>
        <v>6.7649999999999997</v>
      </c>
      <c r="Y207">
        <f t="shared" si="16"/>
        <v>260.19667260477325</v>
      </c>
      <c r="Z207">
        <f t="shared" si="19"/>
        <v>520.39334520954651</v>
      </c>
      <c r="AA207">
        <f t="shared" si="17"/>
        <v>780.59001781431959</v>
      </c>
      <c r="AB207">
        <f t="shared" si="18"/>
        <v>1040.786690419093</v>
      </c>
    </row>
    <row r="208" spans="23:28" x14ac:dyDescent="0.3">
      <c r="W208">
        <v>206</v>
      </c>
      <c r="X208">
        <f t="shared" si="15"/>
        <v>6.798</v>
      </c>
      <c r="Y208">
        <f t="shared" si="16"/>
        <v>261.74265708001434</v>
      </c>
      <c r="Z208">
        <f t="shared" si="19"/>
        <v>523.48531416002868</v>
      </c>
      <c r="AA208">
        <f t="shared" si="17"/>
        <v>785.22797124004285</v>
      </c>
      <c r="AB208">
        <f t="shared" si="18"/>
        <v>1046.9706283200574</v>
      </c>
    </row>
    <row r="209" spans="23:28" x14ac:dyDescent="0.3">
      <c r="W209">
        <v>207</v>
      </c>
      <c r="X209">
        <f t="shared" si="15"/>
        <v>6.8310000000000004</v>
      </c>
      <c r="Y209">
        <f t="shared" si="16"/>
        <v>263.28881319266628</v>
      </c>
      <c r="Z209">
        <f t="shared" si="19"/>
        <v>526.57762638533256</v>
      </c>
      <c r="AA209">
        <f t="shared" si="17"/>
        <v>789.86643957799868</v>
      </c>
      <c r="AB209">
        <f t="shared" si="18"/>
        <v>1053.1552527706651</v>
      </c>
    </row>
    <row r="210" spans="23:28" x14ac:dyDescent="0.3">
      <c r="W210">
        <v>208</v>
      </c>
      <c r="X210">
        <f t="shared" si="15"/>
        <v>6.8639999999999999</v>
      </c>
      <c r="Y210">
        <f t="shared" si="16"/>
        <v>264.83513643376915</v>
      </c>
      <c r="Z210">
        <f t="shared" si="19"/>
        <v>529.6702728675383</v>
      </c>
      <c r="AA210">
        <f t="shared" si="17"/>
        <v>794.5054093013074</v>
      </c>
      <c r="AB210">
        <f t="shared" si="18"/>
        <v>1059.3405457350766</v>
      </c>
    </row>
    <row r="211" spans="23:28" x14ac:dyDescent="0.3">
      <c r="W211">
        <v>209</v>
      </c>
      <c r="X211">
        <f t="shared" si="15"/>
        <v>6.8970000000000002</v>
      </c>
      <c r="Y211">
        <f t="shared" si="16"/>
        <v>266.38162241281481</v>
      </c>
      <c r="Z211">
        <f t="shared" si="19"/>
        <v>532.76324482562961</v>
      </c>
      <c r="AA211">
        <f t="shared" si="17"/>
        <v>799.14486723844436</v>
      </c>
      <c r="AB211">
        <f t="shared" si="18"/>
        <v>1065.5264896512592</v>
      </c>
    </row>
    <row r="212" spans="23:28" x14ac:dyDescent="0.3">
      <c r="W212">
        <v>210</v>
      </c>
      <c r="X212">
        <f t="shared" si="15"/>
        <v>6.93</v>
      </c>
      <c r="Y212">
        <f t="shared" si="16"/>
        <v>267.92826685463461</v>
      </c>
      <c r="Z212">
        <f t="shared" si="19"/>
        <v>535.85653370926923</v>
      </c>
      <c r="AA212">
        <f t="shared" si="17"/>
        <v>803.78480056390379</v>
      </c>
      <c r="AB212">
        <f t="shared" si="18"/>
        <v>1071.7130674185385</v>
      </c>
    </row>
    <row r="213" spans="23:28" x14ac:dyDescent="0.3">
      <c r="W213">
        <v>211</v>
      </c>
      <c r="X213">
        <f t="shared" si="15"/>
        <v>6.9630000000000001</v>
      </c>
      <c r="Y213">
        <f t="shared" si="16"/>
        <v>269.47506559637009</v>
      </c>
      <c r="Z213">
        <f t="shared" si="19"/>
        <v>538.95013119274017</v>
      </c>
      <c r="AA213">
        <f t="shared" si="17"/>
        <v>808.42519678911026</v>
      </c>
      <c r="AB213">
        <f t="shared" si="18"/>
        <v>1077.9002623854803</v>
      </c>
    </row>
    <row r="214" spans="23:28" x14ac:dyDescent="0.3">
      <c r="W214">
        <v>212</v>
      </c>
      <c r="X214">
        <f t="shared" si="15"/>
        <v>6.9960000000000004</v>
      </c>
      <c r="Y214">
        <f t="shared" si="16"/>
        <v>271.0220145845218</v>
      </c>
      <c r="Z214">
        <f t="shared" si="19"/>
        <v>542.0440291690436</v>
      </c>
      <c r="AA214">
        <f t="shared" si="17"/>
        <v>813.06604375356528</v>
      </c>
      <c r="AB214">
        <f t="shared" si="18"/>
        <v>1084.0880583380872</v>
      </c>
    </row>
    <row r="215" spans="23:28" x14ac:dyDescent="0.3">
      <c r="W215">
        <v>213</v>
      </c>
      <c r="X215">
        <f t="shared" si="15"/>
        <v>7.0289999999999999</v>
      </c>
      <c r="Y215">
        <f t="shared" si="16"/>
        <v>272.56910987207687</v>
      </c>
      <c r="Z215">
        <f t="shared" si="19"/>
        <v>545.13821974415373</v>
      </c>
      <c r="AA215">
        <f t="shared" si="17"/>
        <v>817.70732961623048</v>
      </c>
      <c r="AB215">
        <f t="shared" si="18"/>
        <v>1090.2764394883075</v>
      </c>
    </row>
    <row r="216" spans="23:28" x14ac:dyDescent="0.3">
      <c r="W216">
        <v>214</v>
      </c>
      <c r="X216">
        <f t="shared" si="15"/>
        <v>7.0620000000000003</v>
      </c>
      <c r="Y216">
        <f t="shared" si="16"/>
        <v>274.11634761571173</v>
      </c>
      <c r="Z216">
        <f t="shared" si="19"/>
        <v>548.23269523142346</v>
      </c>
      <c r="AA216">
        <f t="shared" si="17"/>
        <v>822.34904284713502</v>
      </c>
      <c r="AB216">
        <f t="shared" si="18"/>
        <v>1096.4653904628469</v>
      </c>
    </row>
    <row r="217" spans="23:28" x14ac:dyDescent="0.3">
      <c r="W217">
        <v>215</v>
      </c>
      <c r="X217">
        <f t="shared" si="15"/>
        <v>7.0949999999999998</v>
      </c>
      <c r="Y217">
        <f t="shared" si="16"/>
        <v>275.66372407306761</v>
      </c>
      <c r="Z217">
        <f t="shared" si="19"/>
        <v>551.32744814613523</v>
      </c>
      <c r="AA217">
        <f t="shared" si="17"/>
        <v>826.99117221920267</v>
      </c>
      <c r="AB217">
        <f t="shared" si="18"/>
        <v>1102.6548962922705</v>
      </c>
    </row>
    <row r="218" spans="23:28" x14ac:dyDescent="0.3">
      <c r="W218">
        <v>216</v>
      </c>
      <c r="X218">
        <f t="shared" si="15"/>
        <v>7.1280000000000001</v>
      </c>
      <c r="Y218">
        <f t="shared" si="16"/>
        <v>277.21123560009875</v>
      </c>
      <c r="Z218">
        <f t="shared" si="19"/>
        <v>554.42247120019749</v>
      </c>
      <c r="AA218">
        <f t="shared" si="17"/>
        <v>831.63370680029618</v>
      </c>
      <c r="AB218">
        <f t="shared" si="18"/>
        <v>1108.844942400395</v>
      </c>
    </row>
    <row r="219" spans="23:28" x14ac:dyDescent="0.3">
      <c r="W219">
        <v>217</v>
      </c>
      <c r="X219">
        <f t="shared" si="15"/>
        <v>7.1609999999999996</v>
      </c>
      <c r="Y219">
        <f t="shared" si="16"/>
        <v>278.75887864848931</v>
      </c>
      <c r="Z219">
        <f t="shared" si="19"/>
        <v>557.51775729697863</v>
      </c>
      <c r="AA219">
        <f t="shared" si="17"/>
        <v>836.27663594546777</v>
      </c>
      <c r="AB219">
        <f t="shared" si="18"/>
        <v>1115.0355145939573</v>
      </c>
    </row>
    <row r="220" spans="23:28" x14ac:dyDescent="0.3">
      <c r="W220">
        <v>218</v>
      </c>
      <c r="X220">
        <f t="shared" si="15"/>
        <v>7.194</v>
      </c>
      <c r="Y220">
        <f t="shared" si="16"/>
        <v>280.30664976313858</v>
      </c>
      <c r="Z220">
        <f t="shared" si="19"/>
        <v>560.61329952627716</v>
      </c>
      <c r="AA220">
        <f t="shared" si="17"/>
        <v>840.91994928941563</v>
      </c>
      <c r="AB220">
        <f t="shared" si="18"/>
        <v>1121.2265990525543</v>
      </c>
    </row>
    <row r="221" spans="23:28" x14ac:dyDescent="0.3">
      <c r="W221">
        <v>219</v>
      </c>
      <c r="X221">
        <f t="shared" si="15"/>
        <v>7.2270000000000003</v>
      </c>
      <c r="Y221">
        <f t="shared" si="16"/>
        <v>281.85454557971235</v>
      </c>
      <c r="Z221">
        <f t="shared" si="19"/>
        <v>563.7090911594247</v>
      </c>
      <c r="AA221">
        <f t="shared" si="17"/>
        <v>845.563636739137</v>
      </c>
      <c r="AB221">
        <f t="shared" si="18"/>
        <v>1127.4181823188494</v>
      </c>
    </row>
    <row r="222" spans="23:28" x14ac:dyDescent="0.3">
      <c r="W222">
        <v>220</v>
      </c>
      <c r="X222">
        <f t="shared" si="15"/>
        <v>7.26</v>
      </c>
      <c r="Y222">
        <f t="shared" si="16"/>
        <v>283.40256282225835</v>
      </c>
      <c r="Z222">
        <f t="shared" si="19"/>
        <v>566.80512564451669</v>
      </c>
      <c r="AA222">
        <f t="shared" si="17"/>
        <v>850.20768846677481</v>
      </c>
      <c r="AB222">
        <f t="shared" si="18"/>
        <v>1133.6102512890334</v>
      </c>
    </row>
    <row r="223" spans="23:28" x14ac:dyDescent="0.3">
      <c r="W223">
        <v>221</v>
      </c>
      <c r="X223">
        <f t="shared" si="15"/>
        <v>7.2930000000000001</v>
      </c>
      <c r="Y223">
        <f t="shared" si="16"/>
        <v>284.95069830088437</v>
      </c>
      <c r="Z223">
        <f t="shared" si="19"/>
        <v>569.90139660176874</v>
      </c>
      <c r="AA223">
        <f t="shared" si="17"/>
        <v>854.85209490265299</v>
      </c>
      <c r="AB223">
        <f t="shared" si="18"/>
        <v>1139.8027932035375</v>
      </c>
    </row>
    <row r="224" spans="23:28" x14ac:dyDescent="0.3">
      <c r="W224">
        <v>222</v>
      </c>
      <c r="X224">
        <f t="shared" si="15"/>
        <v>7.3259999999999996</v>
      </c>
      <c r="Y224">
        <f t="shared" si="16"/>
        <v>286.49894890949747</v>
      </c>
      <c r="Z224">
        <f t="shared" si="19"/>
        <v>572.99789781899494</v>
      </c>
      <c r="AA224">
        <f t="shared" si="17"/>
        <v>859.4968467284923</v>
      </c>
      <c r="AB224">
        <f t="shared" si="18"/>
        <v>1145.9957956379899</v>
      </c>
    </row>
    <row r="225" spans="23:28" x14ac:dyDescent="0.3">
      <c r="W225">
        <v>223</v>
      </c>
      <c r="X225">
        <f t="shared" si="15"/>
        <v>7.359</v>
      </c>
      <c r="Y225">
        <f t="shared" si="16"/>
        <v>288.04731162360287</v>
      </c>
      <c r="Z225">
        <f t="shared" si="19"/>
        <v>576.09462324720573</v>
      </c>
      <c r="AA225">
        <f t="shared" si="17"/>
        <v>864.14193487080843</v>
      </c>
      <c r="AB225">
        <f t="shared" si="18"/>
        <v>1152.1892464944115</v>
      </c>
    </row>
    <row r="226" spans="23:28" x14ac:dyDescent="0.3">
      <c r="W226">
        <v>224</v>
      </c>
      <c r="X226">
        <f t="shared" si="15"/>
        <v>7.3920000000000003</v>
      </c>
      <c r="Y226">
        <f t="shared" si="16"/>
        <v>289.59578349815968</v>
      </c>
      <c r="Z226">
        <f t="shared" si="19"/>
        <v>579.19156699631935</v>
      </c>
      <c r="AA226">
        <f t="shared" si="17"/>
        <v>868.78735049447891</v>
      </c>
      <c r="AB226">
        <f t="shared" si="18"/>
        <v>1158.3831339926387</v>
      </c>
    </row>
    <row r="227" spans="23:28" x14ac:dyDescent="0.3">
      <c r="W227">
        <v>225</v>
      </c>
      <c r="X227">
        <f t="shared" si="15"/>
        <v>7.4249999999999998</v>
      </c>
      <c r="Y227">
        <f t="shared" ref="Y227:Y258" si="20">(940.92*$Y$1)*($X227-1.2396+1.2396*EXP(-1*$X227/1.2396))</f>
        <v>291.14436166549422</v>
      </c>
      <c r="Z227">
        <f t="shared" si="19"/>
        <v>582.28872333098843</v>
      </c>
      <c r="AA227">
        <f t="shared" si="17"/>
        <v>873.43308499648253</v>
      </c>
      <c r="AB227">
        <f t="shared" si="18"/>
        <v>1164.5774466619769</v>
      </c>
    </row>
    <row r="228" spans="23:28" x14ac:dyDescent="0.3">
      <c r="W228">
        <v>226</v>
      </c>
      <c r="X228">
        <f t="shared" si="15"/>
        <v>7.4580000000000002</v>
      </c>
      <c r="Y228">
        <f t="shared" si="20"/>
        <v>292.69304333326733</v>
      </c>
      <c r="Z228">
        <f t="shared" si="19"/>
        <v>585.38608666653465</v>
      </c>
      <c r="AA228">
        <f t="shared" si="17"/>
        <v>878.07912999980192</v>
      </c>
      <c r="AB228">
        <f t="shared" si="18"/>
        <v>1170.7721733330693</v>
      </c>
    </row>
    <row r="229" spans="23:28" x14ac:dyDescent="0.3">
      <c r="W229">
        <v>227</v>
      </c>
      <c r="X229">
        <f t="shared" si="15"/>
        <v>7.4909999999999997</v>
      </c>
      <c r="Y229">
        <f t="shared" si="20"/>
        <v>294.24182578249525</v>
      </c>
      <c r="Z229">
        <f t="shared" si="19"/>
        <v>588.48365156499051</v>
      </c>
      <c r="AA229">
        <f t="shared" si="17"/>
        <v>882.72547734748559</v>
      </c>
      <c r="AB229">
        <f t="shared" si="18"/>
        <v>1176.967303129981</v>
      </c>
    </row>
    <row r="230" spans="23:28" x14ac:dyDescent="0.3">
      <c r="W230">
        <v>228</v>
      </c>
      <c r="X230">
        <f t="shared" si="15"/>
        <v>7.524</v>
      </c>
      <c r="Y230">
        <f t="shared" si="20"/>
        <v>295.79070636562284</v>
      </c>
      <c r="Z230">
        <f t="shared" si="19"/>
        <v>591.58141273124568</v>
      </c>
      <c r="AA230">
        <f t="shared" si="17"/>
        <v>887.37211909686846</v>
      </c>
      <c r="AB230">
        <f t="shared" si="18"/>
        <v>1183.1628254624914</v>
      </c>
    </row>
    <row r="231" spans="23:28" x14ac:dyDescent="0.3">
      <c r="W231">
        <v>229</v>
      </c>
      <c r="X231">
        <f t="shared" si="15"/>
        <v>7.5570000000000004</v>
      </c>
      <c r="Y231">
        <f t="shared" si="20"/>
        <v>297.3396825046467</v>
      </c>
      <c r="Z231">
        <f t="shared" si="19"/>
        <v>594.67936500929341</v>
      </c>
      <c r="AA231">
        <f t="shared" si="17"/>
        <v>892.01904751394</v>
      </c>
      <c r="AB231">
        <f t="shared" si="18"/>
        <v>1189.3587300185868</v>
      </c>
    </row>
    <row r="232" spans="23:28" x14ac:dyDescent="0.3">
      <c r="W232">
        <v>230</v>
      </c>
      <c r="X232">
        <f t="shared" si="15"/>
        <v>7.59</v>
      </c>
      <c r="Y232">
        <f t="shared" si="20"/>
        <v>298.88875168928831</v>
      </c>
      <c r="Z232">
        <f t="shared" si="19"/>
        <v>597.77750337857663</v>
      </c>
      <c r="AA232">
        <f t="shared" si="17"/>
        <v>896.66625506786477</v>
      </c>
      <c r="AB232">
        <f t="shared" si="18"/>
        <v>1195.5550067571533</v>
      </c>
    </row>
    <row r="233" spans="23:28" x14ac:dyDescent="0.3">
      <c r="W233">
        <v>231</v>
      </c>
      <c r="X233">
        <f t="shared" si="15"/>
        <v>7.6230000000000002</v>
      </c>
      <c r="Y233">
        <f t="shared" si="20"/>
        <v>300.43791147521489</v>
      </c>
      <c r="Z233">
        <f t="shared" si="19"/>
        <v>600.87582295042978</v>
      </c>
      <c r="AA233">
        <f t="shared" si="17"/>
        <v>901.31373442564461</v>
      </c>
      <c r="AB233">
        <f t="shared" si="18"/>
        <v>1201.7516459008596</v>
      </c>
    </row>
    <row r="234" spans="23:28" x14ac:dyDescent="0.3">
      <c r="W234">
        <v>232</v>
      </c>
      <c r="X234">
        <f t="shared" si="15"/>
        <v>7.6559999999999997</v>
      </c>
      <c r="Y234">
        <f t="shared" si="20"/>
        <v>301.98715948230694</v>
      </c>
      <c r="Z234">
        <f t="shared" si="19"/>
        <v>603.97431896461387</v>
      </c>
      <c r="AA234">
        <f t="shared" si="17"/>
        <v>905.96147844692075</v>
      </c>
      <c r="AB234">
        <f t="shared" si="18"/>
        <v>1207.9486379292277</v>
      </c>
    </row>
    <row r="235" spans="23:28" x14ac:dyDescent="0.3">
      <c r="W235">
        <v>233</v>
      </c>
      <c r="X235">
        <f t="shared" si="15"/>
        <v>7.6890000000000001</v>
      </c>
      <c r="Y235">
        <f t="shared" si="20"/>
        <v>303.53649339297124</v>
      </c>
      <c r="Z235">
        <f t="shared" si="19"/>
        <v>607.07298678594248</v>
      </c>
      <c r="AA235">
        <f t="shared" si="17"/>
        <v>910.6094801789136</v>
      </c>
      <c r="AB235">
        <f t="shared" si="18"/>
        <v>1214.145973571885</v>
      </c>
    </row>
    <row r="236" spans="23:28" x14ac:dyDescent="0.3">
      <c r="W236">
        <v>234</v>
      </c>
      <c r="X236">
        <f t="shared" si="15"/>
        <v>7.7220000000000004</v>
      </c>
      <c r="Y236">
        <f t="shared" si="20"/>
        <v>305.08591095049843</v>
      </c>
      <c r="Z236">
        <f t="shared" si="19"/>
        <v>610.17182190099686</v>
      </c>
      <c r="AA236">
        <f t="shared" si="17"/>
        <v>915.25773285149523</v>
      </c>
      <c r="AB236">
        <f t="shared" si="18"/>
        <v>1220.3436438019937</v>
      </c>
    </row>
    <row r="237" spans="23:28" x14ac:dyDescent="0.3">
      <c r="W237">
        <v>235</v>
      </c>
      <c r="X237">
        <f t="shared" si="15"/>
        <v>7.7549999999999999</v>
      </c>
      <c r="Y237">
        <f t="shared" si="20"/>
        <v>306.63540995746337</v>
      </c>
      <c r="Z237">
        <f t="shared" si="19"/>
        <v>613.27081991492673</v>
      </c>
      <c r="AA237">
        <f t="shared" si="17"/>
        <v>919.90622987238999</v>
      </c>
      <c r="AB237">
        <f t="shared" si="18"/>
        <v>1226.5416398298535</v>
      </c>
    </row>
    <row r="238" spans="23:28" x14ac:dyDescent="0.3">
      <c r="W238">
        <v>236</v>
      </c>
      <c r="X238">
        <f t="shared" si="15"/>
        <v>7.7880000000000003</v>
      </c>
      <c r="Y238">
        <f t="shared" si="20"/>
        <v>308.18498827416806</v>
      </c>
      <c r="Z238">
        <f t="shared" si="19"/>
        <v>616.36997654833613</v>
      </c>
      <c r="AA238">
        <f t="shared" si="17"/>
        <v>924.55496482250408</v>
      </c>
      <c r="AB238">
        <f t="shared" si="18"/>
        <v>1232.7399530966723</v>
      </c>
    </row>
    <row r="239" spans="23:28" x14ac:dyDescent="0.3">
      <c r="W239">
        <v>237</v>
      </c>
      <c r="X239">
        <f t="shared" si="15"/>
        <v>7.8209999999999997</v>
      </c>
      <c r="Y239">
        <f t="shared" si="20"/>
        <v>309.73464381712472</v>
      </c>
      <c r="Z239">
        <f t="shared" si="19"/>
        <v>619.46928763424944</v>
      </c>
      <c r="AA239">
        <f t="shared" si="17"/>
        <v>929.20393145137405</v>
      </c>
      <c r="AB239">
        <f t="shared" si="18"/>
        <v>1238.9385752684989</v>
      </c>
    </row>
    <row r="240" spans="23:28" x14ac:dyDescent="0.3">
      <c r="W240">
        <v>238</v>
      </c>
      <c r="X240">
        <f t="shared" si="15"/>
        <v>7.8540000000000001</v>
      </c>
      <c r="Y240">
        <f t="shared" si="20"/>
        <v>311.2843745575795</v>
      </c>
      <c r="Z240">
        <f t="shared" si="19"/>
        <v>622.56874911515899</v>
      </c>
      <c r="AA240">
        <f t="shared" si="17"/>
        <v>933.85312367273832</v>
      </c>
      <c r="AB240">
        <f t="shared" si="18"/>
        <v>1245.137498230318</v>
      </c>
    </row>
    <row r="241" spans="23:28" x14ac:dyDescent="0.3">
      <c r="W241">
        <v>239</v>
      </c>
      <c r="X241">
        <f t="shared" si="15"/>
        <v>7.8869999999999996</v>
      </c>
      <c r="Y241">
        <f t="shared" si="20"/>
        <v>312.83417852007432</v>
      </c>
      <c r="Z241">
        <f t="shared" si="19"/>
        <v>625.66835704014863</v>
      </c>
      <c r="AA241">
        <f t="shared" si="17"/>
        <v>938.5025355602229</v>
      </c>
      <c r="AB241">
        <f t="shared" si="18"/>
        <v>1251.3367140802973</v>
      </c>
    </row>
    <row r="242" spans="23:28" x14ac:dyDescent="0.3">
      <c r="W242">
        <v>240</v>
      </c>
      <c r="X242">
        <f t="shared" si="15"/>
        <v>7.92</v>
      </c>
      <c r="Y242">
        <f t="shared" si="20"/>
        <v>314.38405378104704</v>
      </c>
      <c r="Z242">
        <f t="shared" si="19"/>
        <v>628.76810756209409</v>
      </c>
      <c r="AA242">
        <f t="shared" si="17"/>
        <v>943.15216134314107</v>
      </c>
      <c r="AB242">
        <f t="shared" si="18"/>
        <v>1257.5362151241882</v>
      </c>
    </row>
    <row r="243" spans="23:28" x14ac:dyDescent="0.3">
      <c r="W243">
        <v>241</v>
      </c>
      <c r="X243">
        <f t="shared" si="15"/>
        <v>7.9530000000000003</v>
      </c>
      <c r="Y243">
        <f t="shared" si="20"/>
        <v>315.93399846746786</v>
      </c>
      <c r="Z243">
        <f t="shared" si="19"/>
        <v>631.86799693493572</v>
      </c>
      <c r="AA243">
        <f t="shared" si="17"/>
        <v>947.80199540240346</v>
      </c>
      <c r="AB243">
        <f t="shared" si="18"/>
        <v>1263.7359938698714</v>
      </c>
    </row>
    <row r="244" spans="23:28" x14ac:dyDescent="0.3">
      <c r="W244">
        <v>242</v>
      </c>
      <c r="X244">
        <f t="shared" si="15"/>
        <v>7.9859999999999998</v>
      </c>
      <c r="Y244">
        <f t="shared" si="20"/>
        <v>317.48401075551203</v>
      </c>
      <c r="Z244">
        <f t="shared" si="19"/>
        <v>634.96802151102406</v>
      </c>
      <c r="AA244">
        <f t="shared" si="17"/>
        <v>952.45203226653598</v>
      </c>
      <c r="AB244">
        <f t="shared" si="18"/>
        <v>1269.9360430220481</v>
      </c>
    </row>
    <row r="245" spans="23:28" x14ac:dyDescent="0.3">
      <c r="W245">
        <v>243</v>
      </c>
      <c r="X245">
        <f t="shared" si="15"/>
        <v>8.0190000000000001</v>
      </c>
      <c r="Y245">
        <f t="shared" si="20"/>
        <v>319.03408886926724</v>
      </c>
      <c r="Z245">
        <f t="shared" si="19"/>
        <v>638.06817773853447</v>
      </c>
      <c r="AA245">
        <f t="shared" si="17"/>
        <v>957.10226660780165</v>
      </c>
      <c r="AB245">
        <f t="shared" si="18"/>
        <v>1276.1363554770689</v>
      </c>
    </row>
    <row r="246" spans="23:28" x14ac:dyDescent="0.3">
      <c r="W246">
        <v>244</v>
      </c>
      <c r="X246">
        <f t="shared" si="15"/>
        <v>8.0519999999999996</v>
      </c>
      <c r="Y246">
        <f t="shared" si="20"/>
        <v>320.58423107947465</v>
      </c>
      <c r="Z246">
        <f t="shared" si="19"/>
        <v>641.1684621589493</v>
      </c>
      <c r="AA246">
        <f t="shared" si="17"/>
        <v>961.75269323842383</v>
      </c>
      <c r="AB246">
        <f t="shared" si="18"/>
        <v>1282.3369243178986</v>
      </c>
    </row>
    <row r="247" spans="23:28" x14ac:dyDescent="0.3">
      <c r="W247">
        <v>245</v>
      </c>
      <c r="X247">
        <f t="shared" si="15"/>
        <v>8.0850000000000009</v>
      </c>
      <c r="Y247">
        <f t="shared" si="20"/>
        <v>322.13443570230379</v>
      </c>
      <c r="Z247">
        <f t="shared" si="19"/>
        <v>644.26887140460758</v>
      </c>
      <c r="AA247">
        <f t="shared" si="17"/>
        <v>966.40330710691114</v>
      </c>
      <c r="AB247">
        <f t="shared" si="18"/>
        <v>1288.5377428092152</v>
      </c>
    </row>
    <row r="248" spans="23:28" x14ac:dyDescent="0.3">
      <c r="W248">
        <v>246</v>
      </c>
      <c r="X248">
        <f t="shared" si="15"/>
        <v>8.1180000000000003</v>
      </c>
      <c r="Y248">
        <f t="shared" si="20"/>
        <v>323.68470109815848</v>
      </c>
      <c r="Z248">
        <f t="shared" si="19"/>
        <v>647.36940219631697</v>
      </c>
      <c r="AA248">
        <f t="shared" si="17"/>
        <v>971.05410329447534</v>
      </c>
      <c r="AB248">
        <f t="shared" si="18"/>
        <v>1294.7388043926339</v>
      </c>
    </row>
    <row r="249" spans="23:28" x14ac:dyDescent="0.3">
      <c r="W249">
        <v>247</v>
      </c>
      <c r="X249">
        <f t="shared" si="15"/>
        <v>8.1509999999999998</v>
      </c>
      <c r="Y249">
        <f t="shared" si="20"/>
        <v>325.2350256705156</v>
      </c>
      <c r="Z249">
        <f t="shared" si="19"/>
        <v>650.47005134103119</v>
      </c>
      <c r="AA249">
        <f t="shared" si="17"/>
        <v>975.70507701154656</v>
      </c>
      <c r="AB249">
        <f t="shared" si="18"/>
        <v>1300.9401026820624</v>
      </c>
    </row>
    <row r="250" spans="23:28" x14ac:dyDescent="0.3">
      <c r="W250">
        <v>248</v>
      </c>
      <c r="X250">
        <f t="shared" si="15"/>
        <v>8.1839999999999993</v>
      </c>
      <c r="Y250">
        <f t="shared" si="20"/>
        <v>326.78540786479266</v>
      </c>
      <c r="Z250">
        <f t="shared" si="19"/>
        <v>653.57081572958532</v>
      </c>
      <c r="AA250">
        <f t="shared" si="17"/>
        <v>980.35622359437787</v>
      </c>
      <c r="AB250">
        <f t="shared" si="18"/>
        <v>1307.1416314591706</v>
      </c>
    </row>
    <row r="251" spans="23:28" x14ac:dyDescent="0.3">
      <c r="W251">
        <v>249</v>
      </c>
      <c r="X251">
        <f t="shared" si="15"/>
        <v>8.2170000000000005</v>
      </c>
      <c r="Y251">
        <f t="shared" si="20"/>
        <v>328.33584616724704</v>
      </c>
      <c r="Z251">
        <f t="shared" si="19"/>
        <v>656.67169233449408</v>
      </c>
      <c r="AA251">
        <f t="shared" si="17"/>
        <v>985.00753850174101</v>
      </c>
      <c r="AB251">
        <f t="shared" si="18"/>
        <v>1313.3433846689882</v>
      </c>
    </row>
    <row r="252" spans="23:28" x14ac:dyDescent="0.3">
      <c r="W252">
        <v>250</v>
      </c>
      <c r="X252">
        <f t="shared" si="15"/>
        <v>8.25</v>
      </c>
      <c r="Y252">
        <f t="shared" si="20"/>
        <v>329.88633910390189</v>
      </c>
      <c r="Z252">
        <f t="shared" si="19"/>
        <v>659.77267820780378</v>
      </c>
      <c r="AA252">
        <f t="shared" si="17"/>
        <v>989.6590173117055</v>
      </c>
      <c r="AB252">
        <f t="shared" si="18"/>
        <v>1319.5453564156076</v>
      </c>
    </row>
    <row r="253" spans="23:28" x14ac:dyDescent="0.3">
      <c r="W253">
        <v>251</v>
      </c>
      <c r="X253">
        <f t="shared" si="15"/>
        <v>8.2829999999999995</v>
      </c>
      <c r="Y253">
        <f t="shared" si="20"/>
        <v>331.43688523950249</v>
      </c>
      <c r="Z253">
        <f t="shared" si="19"/>
        <v>662.87377047900497</v>
      </c>
      <c r="AA253">
        <f t="shared" si="17"/>
        <v>994.31065571850729</v>
      </c>
      <c r="AB253">
        <f t="shared" si="18"/>
        <v>1325.7475409580099</v>
      </c>
    </row>
    <row r="254" spans="23:28" x14ac:dyDescent="0.3">
      <c r="W254">
        <v>252</v>
      </c>
      <c r="X254">
        <f t="shared" si="15"/>
        <v>8.3160000000000007</v>
      </c>
      <c r="Y254">
        <f t="shared" si="20"/>
        <v>332.98748317649864</v>
      </c>
      <c r="Z254">
        <f t="shared" si="19"/>
        <v>665.97496635299728</v>
      </c>
      <c r="AA254">
        <f t="shared" si="17"/>
        <v>998.96244952949587</v>
      </c>
      <c r="AB254">
        <f t="shared" si="18"/>
        <v>1331.9499327059946</v>
      </c>
    </row>
    <row r="255" spans="23:28" x14ac:dyDescent="0.3">
      <c r="W255">
        <v>253</v>
      </c>
      <c r="X255">
        <f t="shared" si="15"/>
        <v>8.3490000000000002</v>
      </c>
      <c r="Y255">
        <f t="shared" si="20"/>
        <v>334.53813155405402</v>
      </c>
      <c r="Z255">
        <f t="shared" si="19"/>
        <v>669.07626310810804</v>
      </c>
      <c r="AA255">
        <f t="shared" si="17"/>
        <v>1003.6143946621619</v>
      </c>
      <c r="AB255">
        <f t="shared" si="18"/>
        <v>1338.1525262162161</v>
      </c>
    </row>
    <row r="256" spans="23:28" x14ac:dyDescent="0.3">
      <c r="W256">
        <v>254</v>
      </c>
      <c r="X256">
        <f t="shared" si="15"/>
        <v>8.3819999999999997</v>
      </c>
      <c r="Y256">
        <f t="shared" si="20"/>
        <v>336.0888290470819</v>
      </c>
      <c r="Z256">
        <f t="shared" si="19"/>
        <v>672.1776580941638</v>
      </c>
      <c r="AA256">
        <f t="shared" si="17"/>
        <v>1008.2664871412455</v>
      </c>
      <c r="AB256">
        <f t="shared" si="18"/>
        <v>1344.3553161883276</v>
      </c>
    </row>
    <row r="257" spans="23:28" x14ac:dyDescent="0.3">
      <c r="W257">
        <v>255</v>
      </c>
      <c r="X257">
        <f t="shared" si="15"/>
        <v>8.4149999999999991</v>
      </c>
      <c r="Y257">
        <f t="shared" si="20"/>
        <v>337.63957436530586</v>
      </c>
      <c r="Z257">
        <f t="shared" si="19"/>
        <v>675.27914873061172</v>
      </c>
      <c r="AA257">
        <f t="shared" si="17"/>
        <v>1012.9187230959175</v>
      </c>
      <c r="AB257">
        <f t="shared" si="18"/>
        <v>1350.5582974612234</v>
      </c>
    </row>
    <row r="258" spans="23:28" x14ac:dyDescent="0.3">
      <c r="W258">
        <v>256</v>
      </c>
      <c r="X258">
        <f t="shared" si="15"/>
        <v>8.4480000000000004</v>
      </c>
      <c r="Y258">
        <f t="shared" si="20"/>
        <v>339.19036625234565</v>
      </c>
      <c r="Z258">
        <f t="shared" si="19"/>
        <v>678.38073250469131</v>
      </c>
      <c r="AA258">
        <f t="shared" si="17"/>
        <v>1017.5710987570368</v>
      </c>
      <c r="AB258">
        <f t="shared" si="18"/>
        <v>1356.7614650093826</v>
      </c>
    </row>
    <row r="259" spans="23:28" x14ac:dyDescent="0.3">
      <c r="W259">
        <v>257</v>
      </c>
      <c r="X259">
        <f t="shared" ref="X259:X322" si="21">W259*33/1000</f>
        <v>8.4809999999999999</v>
      </c>
      <c r="Y259">
        <f t="shared" ref="Y259:Y290" si="22">(940.92*$Y$1)*($X259-1.2396+1.2396*EXP(-1*$X259/1.2396))</f>
        <v>340.74120348482603</v>
      </c>
      <c r="Z259">
        <f t="shared" si="19"/>
        <v>681.48240696965206</v>
      </c>
      <c r="AA259">
        <f t="shared" ref="AA259:AA322" si="23">(940.92*$AA$1)*($X259-1.2396+1.2396*EXP(-1*$X259/1.2396))</f>
        <v>1022.2236104544779</v>
      </c>
      <c r="AB259">
        <f t="shared" ref="AB259:AB322" si="24">(940.92*$AB$1)*($X259-1.2396+1.2396*EXP(-1*$X259/1.2396))</f>
        <v>1362.9648139393041</v>
      </c>
    </row>
    <row r="260" spans="23:28" x14ac:dyDescent="0.3">
      <c r="W260">
        <v>258</v>
      </c>
      <c r="X260">
        <f t="shared" si="21"/>
        <v>8.5139999999999993</v>
      </c>
      <c r="Y260">
        <f t="shared" si="22"/>
        <v>342.29208487151044</v>
      </c>
      <c r="Z260">
        <f t="shared" ref="Z260:Z323" si="25">(940.92*$Z$1)*($X260-1.2396+1.2396*EXP(-1*$X260/1.2396))</f>
        <v>684.58416974302088</v>
      </c>
      <c r="AA260">
        <f t="shared" si="23"/>
        <v>1026.876254614531</v>
      </c>
      <c r="AB260">
        <f t="shared" si="24"/>
        <v>1369.1683394860418</v>
      </c>
    </row>
    <row r="261" spans="23:28" x14ac:dyDescent="0.3">
      <c r="W261">
        <v>259</v>
      </c>
      <c r="X261">
        <f t="shared" si="21"/>
        <v>8.5470000000000006</v>
      </c>
      <c r="Y261">
        <f t="shared" si="22"/>
        <v>343.8430092524564</v>
      </c>
      <c r="Z261">
        <f t="shared" si="25"/>
        <v>687.68601850491279</v>
      </c>
      <c r="AA261">
        <f t="shared" si="23"/>
        <v>1031.529027757369</v>
      </c>
      <c r="AB261">
        <f t="shared" si="24"/>
        <v>1375.3720370098256</v>
      </c>
    </row>
    <row r="262" spans="23:28" x14ac:dyDescent="0.3">
      <c r="W262">
        <v>260</v>
      </c>
      <c r="X262">
        <f t="shared" si="21"/>
        <v>8.58</v>
      </c>
      <c r="Y262">
        <f t="shared" si="22"/>
        <v>345.3939754981933</v>
      </c>
      <c r="Z262">
        <f t="shared" si="25"/>
        <v>690.7879509963866</v>
      </c>
      <c r="AA262">
        <f t="shared" si="23"/>
        <v>1036.1819264945798</v>
      </c>
      <c r="AB262">
        <f t="shared" si="24"/>
        <v>1381.5759019927732</v>
      </c>
    </row>
    <row r="263" spans="23:28" x14ac:dyDescent="0.3">
      <c r="W263">
        <v>261</v>
      </c>
      <c r="X263">
        <f t="shared" si="21"/>
        <v>8.6129999999999995</v>
      </c>
      <c r="Y263">
        <f t="shared" si="22"/>
        <v>346.94498250892212</v>
      </c>
      <c r="Z263">
        <f t="shared" si="25"/>
        <v>693.88996501784425</v>
      </c>
      <c r="AA263">
        <f t="shared" si="23"/>
        <v>1040.8349475267662</v>
      </c>
      <c r="AB263">
        <f t="shared" si="24"/>
        <v>1387.7799300356885</v>
      </c>
    </row>
    <row r="264" spans="23:28" x14ac:dyDescent="0.3">
      <c r="W264">
        <v>262</v>
      </c>
      <c r="X264">
        <f t="shared" si="21"/>
        <v>8.6460000000000008</v>
      </c>
      <c r="Y264">
        <f t="shared" si="22"/>
        <v>348.49602921373588</v>
      </c>
      <c r="Z264">
        <f t="shared" si="25"/>
        <v>696.99205842747176</v>
      </c>
      <c r="AA264">
        <f t="shared" si="23"/>
        <v>1045.4880876412074</v>
      </c>
      <c r="AB264">
        <f t="shared" si="24"/>
        <v>1393.9841168549435</v>
      </c>
    </row>
    <row r="265" spans="23:28" x14ac:dyDescent="0.3">
      <c r="W265">
        <v>263</v>
      </c>
      <c r="X265">
        <f t="shared" si="21"/>
        <v>8.6790000000000003</v>
      </c>
      <c r="Y265">
        <f t="shared" si="22"/>
        <v>350.04711456986036</v>
      </c>
      <c r="Z265">
        <f t="shared" si="25"/>
        <v>700.09422913972071</v>
      </c>
      <c r="AA265">
        <f t="shared" si="23"/>
        <v>1050.141343709581</v>
      </c>
      <c r="AB265">
        <f t="shared" si="24"/>
        <v>1400.1884582794414</v>
      </c>
    </row>
    <row r="266" spans="23:28" x14ac:dyDescent="0.3">
      <c r="W266">
        <v>264</v>
      </c>
      <c r="X266">
        <f t="shared" si="21"/>
        <v>8.7119999999999997</v>
      </c>
      <c r="Y266">
        <f t="shared" si="22"/>
        <v>351.59823756191565</v>
      </c>
      <c r="Z266">
        <f t="shared" si="25"/>
        <v>703.19647512383131</v>
      </c>
      <c r="AA266">
        <f t="shared" si="23"/>
        <v>1054.7947126857468</v>
      </c>
      <c r="AB266">
        <f t="shared" si="24"/>
        <v>1406.3929502476626</v>
      </c>
    </row>
    <row r="267" spans="23:28" x14ac:dyDescent="0.3">
      <c r="W267">
        <v>265</v>
      </c>
      <c r="X267">
        <f t="shared" si="21"/>
        <v>8.7449999999999992</v>
      </c>
      <c r="Y267">
        <f t="shared" si="22"/>
        <v>353.14939720119594</v>
      </c>
      <c r="Z267">
        <f t="shared" si="25"/>
        <v>706.29879440239188</v>
      </c>
      <c r="AA267">
        <f t="shared" si="23"/>
        <v>1059.4481916035877</v>
      </c>
      <c r="AB267">
        <f t="shared" si="24"/>
        <v>1412.5975888047838</v>
      </c>
    </row>
    <row r="268" spans="23:28" x14ac:dyDescent="0.3">
      <c r="W268">
        <v>266</v>
      </c>
      <c r="X268">
        <f t="shared" si="21"/>
        <v>8.7780000000000005</v>
      </c>
      <c r="Y268">
        <f t="shared" si="22"/>
        <v>354.70059252496907</v>
      </c>
      <c r="Z268">
        <f t="shared" si="25"/>
        <v>709.40118504993814</v>
      </c>
      <c r="AA268">
        <f t="shared" si="23"/>
        <v>1064.1017775749069</v>
      </c>
      <c r="AB268">
        <f t="shared" si="24"/>
        <v>1418.8023700998763</v>
      </c>
    </row>
    <row r="269" spans="23:28" x14ac:dyDescent="0.3">
      <c r="W269">
        <v>267</v>
      </c>
      <c r="X269">
        <f t="shared" si="21"/>
        <v>8.8109999999999999</v>
      </c>
      <c r="Y269">
        <f t="shared" si="22"/>
        <v>356.25182259579384</v>
      </c>
      <c r="Z269">
        <f t="shared" si="25"/>
        <v>712.50364519158768</v>
      </c>
      <c r="AA269">
        <f t="shared" si="23"/>
        <v>1068.7554677873813</v>
      </c>
      <c r="AB269">
        <f t="shared" si="24"/>
        <v>1425.0072903831754</v>
      </c>
    </row>
    <row r="270" spans="23:28" x14ac:dyDescent="0.3">
      <c r="W270">
        <v>268</v>
      </c>
      <c r="X270">
        <f t="shared" si="21"/>
        <v>8.8439999999999994</v>
      </c>
      <c r="Y270">
        <f t="shared" si="22"/>
        <v>357.80308650085618</v>
      </c>
      <c r="Z270">
        <f t="shared" si="25"/>
        <v>715.60617300171236</v>
      </c>
      <c r="AA270">
        <f t="shared" si="23"/>
        <v>1073.4092595025684</v>
      </c>
      <c r="AB270">
        <f t="shared" si="24"/>
        <v>1431.2123460034247</v>
      </c>
    </row>
    <row r="271" spans="23:28" x14ac:dyDescent="0.3">
      <c r="W271">
        <v>269</v>
      </c>
      <c r="X271">
        <f t="shared" si="21"/>
        <v>8.8770000000000007</v>
      </c>
      <c r="Y271">
        <f t="shared" si="22"/>
        <v>359.35438335132193</v>
      </c>
      <c r="Z271">
        <f t="shared" si="25"/>
        <v>718.70876670264386</v>
      </c>
      <c r="AA271">
        <f t="shared" si="23"/>
        <v>1078.0631500539657</v>
      </c>
      <c r="AB271">
        <f t="shared" si="24"/>
        <v>1437.4175334052877</v>
      </c>
    </row>
    <row r="272" spans="23:28" x14ac:dyDescent="0.3">
      <c r="W272">
        <v>270</v>
      </c>
      <c r="X272">
        <f t="shared" si="21"/>
        <v>8.91</v>
      </c>
      <c r="Y272">
        <f t="shared" si="22"/>
        <v>360.90571228170649</v>
      </c>
      <c r="Z272">
        <f t="shared" si="25"/>
        <v>721.81142456341297</v>
      </c>
      <c r="AA272">
        <f t="shared" si="23"/>
        <v>1082.7171368451193</v>
      </c>
      <c r="AB272">
        <f t="shared" si="24"/>
        <v>1443.6228491268259</v>
      </c>
    </row>
    <row r="273" spans="23:28" x14ac:dyDescent="0.3">
      <c r="W273">
        <v>271</v>
      </c>
      <c r="X273">
        <f t="shared" si="21"/>
        <v>8.9429999999999996</v>
      </c>
      <c r="Y273">
        <f t="shared" si="22"/>
        <v>362.45707244926206</v>
      </c>
      <c r="Z273">
        <f t="shared" si="25"/>
        <v>724.91414489852411</v>
      </c>
      <c r="AA273">
        <f t="shared" si="23"/>
        <v>1087.3712173477859</v>
      </c>
      <c r="AB273">
        <f t="shared" si="24"/>
        <v>1449.8282897970482</v>
      </c>
    </row>
    <row r="274" spans="23:28" x14ac:dyDescent="0.3">
      <c r="W274">
        <v>272</v>
      </c>
      <c r="X274">
        <f t="shared" si="21"/>
        <v>8.9760000000000009</v>
      </c>
      <c r="Y274">
        <f t="shared" si="22"/>
        <v>364.00846303338</v>
      </c>
      <c r="Z274">
        <f t="shared" si="25"/>
        <v>728.01692606675999</v>
      </c>
      <c r="AA274">
        <f t="shared" si="23"/>
        <v>1092.0253891001398</v>
      </c>
      <c r="AB274">
        <f t="shared" si="24"/>
        <v>1456.03385213352</v>
      </c>
    </row>
    <row r="275" spans="23:28" x14ac:dyDescent="0.3">
      <c r="W275">
        <v>273</v>
      </c>
      <c r="X275">
        <f t="shared" si="21"/>
        <v>9.0090000000000003</v>
      </c>
      <c r="Y275">
        <f t="shared" si="22"/>
        <v>365.55988323500912</v>
      </c>
      <c r="Z275">
        <f t="shared" si="25"/>
        <v>731.11976647001825</v>
      </c>
      <c r="AA275">
        <f t="shared" si="23"/>
        <v>1096.679649705027</v>
      </c>
      <c r="AB275">
        <f t="shared" si="24"/>
        <v>1462.2395329400365</v>
      </c>
    </row>
    <row r="276" spans="23:28" x14ac:dyDescent="0.3">
      <c r="W276">
        <v>274</v>
      </c>
      <c r="X276">
        <f t="shared" si="21"/>
        <v>9.0419999999999998</v>
      </c>
      <c r="Y276">
        <f t="shared" si="22"/>
        <v>367.11133227608963</v>
      </c>
      <c r="Z276">
        <f t="shared" si="25"/>
        <v>734.22266455217925</v>
      </c>
      <c r="AA276">
        <f t="shared" si="23"/>
        <v>1101.3339968282687</v>
      </c>
      <c r="AB276">
        <f t="shared" si="24"/>
        <v>1468.4453291043585</v>
      </c>
    </row>
    <row r="277" spans="23:28" x14ac:dyDescent="0.3">
      <c r="W277">
        <v>275</v>
      </c>
      <c r="X277">
        <f t="shared" si="21"/>
        <v>9.0749999999999993</v>
      </c>
      <c r="Y277">
        <f t="shared" si="22"/>
        <v>368.66280939900167</v>
      </c>
      <c r="Z277">
        <f t="shared" si="25"/>
        <v>737.32561879800335</v>
      </c>
      <c r="AA277">
        <f t="shared" si="23"/>
        <v>1105.9884281970049</v>
      </c>
      <c r="AB277">
        <f t="shared" si="24"/>
        <v>1474.6512375960067</v>
      </c>
    </row>
    <row r="278" spans="23:28" x14ac:dyDescent="0.3">
      <c r="W278">
        <v>276</v>
      </c>
      <c r="X278">
        <f t="shared" si="21"/>
        <v>9.1080000000000005</v>
      </c>
      <c r="Y278">
        <f t="shared" si="22"/>
        <v>370.21431386602814</v>
      </c>
      <c r="Z278">
        <f t="shared" si="25"/>
        <v>740.42862773205627</v>
      </c>
      <c r="AA278">
        <f t="shared" si="23"/>
        <v>1110.6429415980842</v>
      </c>
      <c r="AB278">
        <f t="shared" si="24"/>
        <v>1480.8572554641125</v>
      </c>
    </row>
    <row r="279" spans="23:28" x14ac:dyDescent="0.3">
      <c r="W279">
        <v>277</v>
      </c>
      <c r="X279">
        <f t="shared" si="21"/>
        <v>9.141</v>
      </c>
      <c r="Y279">
        <f t="shared" si="22"/>
        <v>371.76584495883191</v>
      </c>
      <c r="Z279">
        <f t="shared" si="25"/>
        <v>743.53168991766381</v>
      </c>
      <c r="AA279">
        <f t="shared" si="23"/>
        <v>1115.2975348764955</v>
      </c>
      <c r="AB279">
        <f t="shared" si="24"/>
        <v>1487.0633798353276</v>
      </c>
    </row>
    <row r="280" spans="23:28" x14ac:dyDescent="0.3">
      <c r="W280">
        <v>278</v>
      </c>
      <c r="X280">
        <f t="shared" si="21"/>
        <v>9.1739999999999995</v>
      </c>
      <c r="Y280">
        <f t="shared" si="22"/>
        <v>373.31740197794682</v>
      </c>
      <c r="Z280">
        <f t="shared" si="25"/>
        <v>746.63480395589363</v>
      </c>
      <c r="AA280">
        <f t="shared" si="23"/>
        <v>1119.9522059338401</v>
      </c>
      <c r="AB280">
        <f t="shared" si="24"/>
        <v>1493.2696079117873</v>
      </c>
    </row>
    <row r="281" spans="23:28" x14ac:dyDescent="0.3">
      <c r="W281">
        <v>279</v>
      </c>
      <c r="X281">
        <f t="shared" si="21"/>
        <v>9.2070000000000007</v>
      </c>
      <c r="Y281">
        <f t="shared" si="22"/>
        <v>374.8689842422819</v>
      </c>
      <c r="Z281">
        <f t="shared" si="25"/>
        <v>749.73796848456379</v>
      </c>
      <c r="AA281">
        <f t="shared" si="23"/>
        <v>1124.6069527268455</v>
      </c>
      <c r="AB281">
        <f t="shared" si="24"/>
        <v>1499.4759369691276</v>
      </c>
    </row>
    <row r="282" spans="23:28" x14ac:dyDescent="0.3">
      <c r="W282">
        <v>280</v>
      </c>
      <c r="X282">
        <f t="shared" si="21"/>
        <v>9.24</v>
      </c>
      <c r="Y282">
        <f t="shared" si="22"/>
        <v>376.42059108863867</v>
      </c>
      <c r="Z282">
        <f t="shared" si="25"/>
        <v>752.84118217727735</v>
      </c>
      <c r="AA282">
        <f t="shared" si="23"/>
        <v>1129.261773265916</v>
      </c>
      <c r="AB282">
        <f t="shared" si="24"/>
        <v>1505.6823643545547</v>
      </c>
    </row>
    <row r="283" spans="23:28" x14ac:dyDescent="0.3">
      <c r="W283">
        <v>281</v>
      </c>
      <c r="X283">
        <f t="shared" si="21"/>
        <v>9.2729999999999997</v>
      </c>
      <c r="Y283">
        <f t="shared" si="22"/>
        <v>377.97222187124078</v>
      </c>
      <c r="Z283">
        <f t="shared" si="25"/>
        <v>755.94444374248155</v>
      </c>
      <c r="AA283">
        <f t="shared" si="23"/>
        <v>1133.9166656137222</v>
      </c>
      <c r="AB283">
        <f t="shared" si="24"/>
        <v>1511.8888874849631</v>
      </c>
    </row>
    <row r="284" spans="23:28" x14ac:dyDescent="0.3">
      <c r="W284">
        <v>282</v>
      </c>
      <c r="X284">
        <f t="shared" si="21"/>
        <v>9.3059999999999992</v>
      </c>
      <c r="Y284">
        <f t="shared" si="22"/>
        <v>379.52387596127687</v>
      </c>
      <c r="Z284">
        <f t="shared" si="25"/>
        <v>759.04775192255374</v>
      </c>
      <c r="AA284">
        <f t="shared" si="23"/>
        <v>1138.5716278838304</v>
      </c>
      <c r="AB284">
        <f t="shared" si="24"/>
        <v>1518.0955038451075</v>
      </c>
    </row>
    <row r="285" spans="23:28" x14ac:dyDescent="0.3">
      <c r="W285">
        <v>283</v>
      </c>
      <c r="X285">
        <f t="shared" si="21"/>
        <v>9.3390000000000004</v>
      </c>
      <c r="Y285">
        <f t="shared" si="22"/>
        <v>381.0755527464546</v>
      </c>
      <c r="Z285">
        <f t="shared" si="25"/>
        <v>762.15110549290921</v>
      </c>
      <c r="AA285">
        <f t="shared" si="23"/>
        <v>1143.2266582393636</v>
      </c>
      <c r="AB285">
        <f t="shared" si="24"/>
        <v>1524.3022109858184</v>
      </c>
    </row>
    <row r="286" spans="23:28" x14ac:dyDescent="0.3">
      <c r="W286">
        <v>284</v>
      </c>
      <c r="X286">
        <f t="shared" si="21"/>
        <v>9.3719999999999999</v>
      </c>
      <c r="Y286">
        <f t="shared" si="22"/>
        <v>382.62725163056655</v>
      </c>
      <c r="Z286">
        <f t="shared" si="25"/>
        <v>765.2545032611331</v>
      </c>
      <c r="AA286">
        <f t="shared" si="23"/>
        <v>1147.8817548916995</v>
      </c>
      <c r="AB286">
        <f t="shared" si="24"/>
        <v>1530.5090065222662</v>
      </c>
    </row>
    <row r="287" spans="23:28" x14ac:dyDescent="0.3">
      <c r="W287">
        <v>285</v>
      </c>
      <c r="X287">
        <f t="shared" si="21"/>
        <v>9.4049999999999994</v>
      </c>
      <c r="Y287">
        <f t="shared" si="22"/>
        <v>384.17897203306791</v>
      </c>
      <c r="Z287">
        <f t="shared" si="25"/>
        <v>768.35794406613581</v>
      </c>
      <c r="AA287">
        <f t="shared" si="23"/>
        <v>1152.5369160992036</v>
      </c>
      <c r="AB287">
        <f t="shared" si="24"/>
        <v>1536.7158881322716</v>
      </c>
    </row>
    <row r="288" spans="23:28" x14ac:dyDescent="0.3">
      <c r="W288">
        <v>286</v>
      </c>
      <c r="X288">
        <f t="shared" si="21"/>
        <v>9.4380000000000006</v>
      </c>
      <c r="Y288">
        <f t="shared" si="22"/>
        <v>385.73071338866509</v>
      </c>
      <c r="Z288">
        <f t="shared" si="25"/>
        <v>771.46142677733019</v>
      </c>
      <c r="AA288">
        <f t="shared" si="23"/>
        <v>1157.1921401659952</v>
      </c>
      <c r="AB288">
        <f t="shared" si="24"/>
        <v>1542.9228535546604</v>
      </c>
    </row>
    <row r="289" spans="23:28" x14ac:dyDescent="0.3">
      <c r="W289">
        <v>287</v>
      </c>
      <c r="X289">
        <f t="shared" si="21"/>
        <v>9.4710000000000001</v>
      </c>
      <c r="Y289">
        <f t="shared" si="22"/>
        <v>387.28247514691458</v>
      </c>
      <c r="Z289">
        <f t="shared" si="25"/>
        <v>774.56495029382916</v>
      </c>
      <c r="AA289">
        <f t="shared" si="23"/>
        <v>1161.8474254407436</v>
      </c>
      <c r="AB289">
        <f t="shared" si="24"/>
        <v>1549.1299005876583</v>
      </c>
    </row>
    <row r="290" spans="23:28" x14ac:dyDescent="0.3">
      <c r="W290">
        <v>288</v>
      </c>
      <c r="X290">
        <f t="shared" si="21"/>
        <v>9.5039999999999996</v>
      </c>
      <c r="Y290">
        <f t="shared" si="22"/>
        <v>388.83425677183334</v>
      </c>
      <c r="Z290">
        <f t="shared" si="25"/>
        <v>777.66851354366668</v>
      </c>
      <c r="AA290">
        <f t="shared" si="23"/>
        <v>1166.5027703154999</v>
      </c>
      <c r="AB290">
        <f t="shared" si="24"/>
        <v>1555.3370270873334</v>
      </c>
    </row>
    <row r="291" spans="23:28" x14ac:dyDescent="0.3">
      <c r="W291">
        <v>289</v>
      </c>
      <c r="X291">
        <f t="shared" si="21"/>
        <v>9.5370000000000008</v>
      </c>
      <c r="Y291">
        <f t="shared" ref="Y291:Y336" si="26">(940.92*$Y$1)*($X291-1.2396+1.2396*EXP(-1*$X291/1.2396))</f>
        <v>390.38605774151898</v>
      </c>
      <c r="Z291">
        <f t="shared" si="25"/>
        <v>780.77211548303796</v>
      </c>
      <c r="AA291">
        <f t="shared" si="23"/>
        <v>1171.1581732245568</v>
      </c>
      <c r="AB291">
        <f t="shared" si="24"/>
        <v>1561.5442309660759</v>
      </c>
    </row>
    <row r="292" spans="23:28" x14ac:dyDescent="0.3">
      <c r="W292">
        <v>290</v>
      </c>
      <c r="X292">
        <f t="shared" si="21"/>
        <v>9.57</v>
      </c>
      <c r="Y292">
        <f t="shared" si="26"/>
        <v>391.93787754777912</v>
      </c>
      <c r="Z292">
        <f t="shared" si="25"/>
        <v>783.87575509555825</v>
      </c>
      <c r="AA292">
        <f t="shared" si="23"/>
        <v>1175.8136326433371</v>
      </c>
      <c r="AB292">
        <f t="shared" si="24"/>
        <v>1567.7515101911165</v>
      </c>
    </row>
    <row r="293" spans="23:28" x14ac:dyDescent="0.3">
      <c r="W293">
        <v>291</v>
      </c>
      <c r="X293">
        <f t="shared" si="21"/>
        <v>9.6029999999999998</v>
      </c>
      <c r="Y293">
        <f t="shared" si="26"/>
        <v>393.48971569577213</v>
      </c>
      <c r="Z293">
        <f t="shared" si="25"/>
        <v>786.97943139154427</v>
      </c>
      <c r="AA293">
        <f t="shared" si="23"/>
        <v>1180.4691470873163</v>
      </c>
      <c r="AB293">
        <f t="shared" si="24"/>
        <v>1573.9588627830885</v>
      </c>
    </row>
    <row r="294" spans="23:28" x14ac:dyDescent="0.3">
      <c r="W294">
        <v>292</v>
      </c>
      <c r="X294">
        <f t="shared" si="21"/>
        <v>9.6359999999999992</v>
      </c>
      <c r="Y294">
        <f t="shared" si="26"/>
        <v>395.04157170365585</v>
      </c>
      <c r="Z294">
        <f t="shared" si="25"/>
        <v>790.0831434073117</v>
      </c>
      <c r="AA294">
        <f t="shared" si="23"/>
        <v>1185.1247151109674</v>
      </c>
      <c r="AB294">
        <f t="shared" si="24"/>
        <v>1580.1662868146234</v>
      </c>
    </row>
    <row r="295" spans="23:28" x14ac:dyDescent="0.3">
      <c r="W295">
        <v>293</v>
      </c>
      <c r="X295">
        <f t="shared" si="21"/>
        <v>9.6690000000000005</v>
      </c>
      <c r="Y295">
        <f t="shared" si="26"/>
        <v>396.59344510224645</v>
      </c>
      <c r="Z295">
        <f t="shared" si="25"/>
        <v>793.1868902044929</v>
      </c>
      <c r="AA295">
        <f t="shared" si="23"/>
        <v>1189.7803353067391</v>
      </c>
      <c r="AB295">
        <f t="shared" si="24"/>
        <v>1586.3737804089858</v>
      </c>
    </row>
    <row r="296" spans="23:28" x14ac:dyDescent="0.3">
      <c r="W296">
        <v>294</v>
      </c>
      <c r="X296">
        <f t="shared" si="21"/>
        <v>9.702</v>
      </c>
      <c r="Y296">
        <f t="shared" si="26"/>
        <v>398.14533543468508</v>
      </c>
      <c r="Z296">
        <f t="shared" si="25"/>
        <v>796.29067086937016</v>
      </c>
      <c r="AA296">
        <f t="shared" si="23"/>
        <v>1194.4360063040551</v>
      </c>
      <c r="AB296">
        <f t="shared" si="24"/>
        <v>1592.5813417387403</v>
      </c>
    </row>
    <row r="297" spans="23:28" x14ac:dyDescent="0.3">
      <c r="W297">
        <v>295</v>
      </c>
      <c r="X297">
        <f t="shared" si="21"/>
        <v>9.7349999999999994</v>
      </c>
      <c r="Y297">
        <f t="shared" si="26"/>
        <v>399.69724225611543</v>
      </c>
      <c r="Z297">
        <f t="shared" si="25"/>
        <v>799.39448451223086</v>
      </c>
      <c r="AA297">
        <f t="shared" si="23"/>
        <v>1199.0917267683462</v>
      </c>
      <c r="AB297">
        <f t="shared" si="24"/>
        <v>1598.7889690244617</v>
      </c>
    </row>
    <row r="298" spans="23:28" x14ac:dyDescent="0.3">
      <c r="W298">
        <v>296</v>
      </c>
      <c r="X298">
        <f t="shared" si="21"/>
        <v>9.7680000000000007</v>
      </c>
      <c r="Y298">
        <f t="shared" si="26"/>
        <v>401.24916513336734</v>
      </c>
      <c r="Z298">
        <f t="shared" si="25"/>
        <v>802.49833026673468</v>
      </c>
      <c r="AA298">
        <f t="shared" si="23"/>
        <v>1203.7474954001018</v>
      </c>
      <c r="AB298">
        <f t="shared" si="24"/>
        <v>1604.9966605334694</v>
      </c>
    </row>
    <row r="299" spans="23:28" x14ac:dyDescent="0.3">
      <c r="W299">
        <v>297</v>
      </c>
      <c r="X299">
        <f t="shared" si="21"/>
        <v>9.8010000000000002</v>
      </c>
      <c r="Y299">
        <f t="shared" si="26"/>
        <v>402.80110364465014</v>
      </c>
      <c r="Z299">
        <f t="shared" si="25"/>
        <v>805.60220728930028</v>
      </c>
      <c r="AA299">
        <f t="shared" si="23"/>
        <v>1208.4033109339503</v>
      </c>
      <c r="AB299">
        <f t="shared" si="24"/>
        <v>1611.2044145786006</v>
      </c>
    </row>
    <row r="300" spans="23:28" x14ac:dyDescent="0.3">
      <c r="W300">
        <v>298</v>
      </c>
      <c r="X300">
        <f t="shared" si="21"/>
        <v>9.8339999999999996</v>
      </c>
      <c r="Y300">
        <f t="shared" si="26"/>
        <v>404.35305737925358</v>
      </c>
      <c r="Z300">
        <f t="shared" si="25"/>
        <v>808.70611475850717</v>
      </c>
      <c r="AA300">
        <f t="shared" si="23"/>
        <v>1213.0591721377605</v>
      </c>
      <c r="AB300">
        <f t="shared" si="24"/>
        <v>1617.4122295170143</v>
      </c>
    </row>
    <row r="301" spans="23:28" x14ac:dyDescent="0.3">
      <c r="W301">
        <v>299</v>
      </c>
      <c r="X301">
        <f t="shared" si="21"/>
        <v>9.8670000000000009</v>
      </c>
      <c r="Y301">
        <f t="shared" si="26"/>
        <v>405.90502593725716</v>
      </c>
      <c r="Z301">
        <f t="shared" si="25"/>
        <v>811.81005187451433</v>
      </c>
      <c r="AA301">
        <f t="shared" si="23"/>
        <v>1217.7150778117714</v>
      </c>
      <c r="AB301">
        <f t="shared" si="24"/>
        <v>1623.6201037490287</v>
      </c>
    </row>
    <row r="302" spans="23:28" x14ac:dyDescent="0.3">
      <c r="W302">
        <v>300</v>
      </c>
      <c r="X302">
        <f t="shared" si="21"/>
        <v>9.9</v>
      </c>
      <c r="Y302">
        <f t="shared" si="26"/>
        <v>407.45700892924629</v>
      </c>
      <c r="Z302">
        <f t="shared" si="25"/>
        <v>814.91401785849257</v>
      </c>
      <c r="AA302">
        <f t="shared" si="23"/>
        <v>1222.3710267877386</v>
      </c>
      <c r="AB302">
        <f t="shared" si="24"/>
        <v>1629.8280357169851</v>
      </c>
    </row>
    <row r="303" spans="23:28" x14ac:dyDescent="0.3">
      <c r="W303">
        <v>301</v>
      </c>
      <c r="X303">
        <f t="shared" si="21"/>
        <v>9.9329999999999998</v>
      </c>
      <c r="Y303">
        <f t="shared" si="26"/>
        <v>409.00900597603624</v>
      </c>
      <c r="Z303">
        <f t="shared" si="25"/>
        <v>818.01801195207247</v>
      </c>
      <c r="AA303">
        <f t="shared" si="23"/>
        <v>1227.0270179281085</v>
      </c>
      <c r="AB303">
        <f t="shared" si="24"/>
        <v>1636.0360239041449</v>
      </c>
    </row>
    <row r="304" spans="23:28" x14ac:dyDescent="0.3">
      <c r="W304">
        <v>302</v>
      </c>
      <c r="X304">
        <f t="shared" si="21"/>
        <v>9.9659999999999993</v>
      </c>
      <c r="Y304">
        <f t="shared" si="26"/>
        <v>410.56101670840383</v>
      </c>
      <c r="Z304">
        <f t="shared" si="25"/>
        <v>821.12203341680765</v>
      </c>
      <c r="AA304">
        <f t="shared" si="23"/>
        <v>1231.6830501252114</v>
      </c>
      <c r="AB304">
        <f t="shared" si="24"/>
        <v>1642.2440668336153</v>
      </c>
    </row>
    <row r="305" spans="23:28" x14ac:dyDescent="0.3">
      <c r="W305">
        <v>303</v>
      </c>
      <c r="X305">
        <f t="shared" si="21"/>
        <v>9.9990000000000006</v>
      </c>
      <c r="Y305">
        <f t="shared" si="26"/>
        <v>412.11304076682541</v>
      </c>
      <c r="Z305">
        <f t="shared" si="25"/>
        <v>824.22608153365081</v>
      </c>
      <c r="AA305">
        <f t="shared" si="23"/>
        <v>1236.339122300476</v>
      </c>
      <c r="AB305">
        <f t="shared" si="24"/>
        <v>1648.4521630673016</v>
      </c>
    </row>
    <row r="306" spans="23:28" x14ac:dyDescent="0.3">
      <c r="W306">
        <v>304</v>
      </c>
      <c r="X306">
        <f t="shared" si="21"/>
        <v>10.032</v>
      </c>
      <c r="Y306">
        <f t="shared" si="26"/>
        <v>413.66507780122186</v>
      </c>
      <c r="Z306">
        <f t="shared" si="25"/>
        <v>827.33015560244371</v>
      </c>
      <c r="AA306">
        <f t="shared" si="23"/>
        <v>1240.9952334036655</v>
      </c>
      <c r="AB306">
        <f t="shared" si="24"/>
        <v>1654.6603112048874</v>
      </c>
    </row>
    <row r="307" spans="23:28" x14ac:dyDescent="0.3">
      <c r="W307">
        <v>305</v>
      </c>
      <c r="X307">
        <f t="shared" si="21"/>
        <v>10.065</v>
      </c>
      <c r="Y307">
        <f t="shared" si="26"/>
        <v>415.21712747071098</v>
      </c>
      <c r="Z307">
        <f t="shared" si="25"/>
        <v>830.43425494142195</v>
      </c>
      <c r="AA307">
        <f t="shared" si="23"/>
        <v>1245.6513824121328</v>
      </c>
      <c r="AB307">
        <f t="shared" si="24"/>
        <v>1660.8685098828439</v>
      </c>
    </row>
    <row r="308" spans="23:28" x14ac:dyDescent="0.3">
      <c r="W308">
        <v>306</v>
      </c>
      <c r="X308">
        <f t="shared" si="21"/>
        <v>10.098000000000001</v>
      </c>
      <c r="Y308">
        <f t="shared" si="26"/>
        <v>416.76918944336575</v>
      </c>
      <c r="Z308">
        <f t="shared" si="25"/>
        <v>833.53837888673149</v>
      </c>
      <c r="AA308">
        <f t="shared" si="23"/>
        <v>1250.307568330097</v>
      </c>
      <c r="AB308">
        <f t="shared" si="24"/>
        <v>1667.076757773463</v>
      </c>
    </row>
    <row r="309" spans="23:28" x14ac:dyDescent="0.3">
      <c r="W309">
        <v>307</v>
      </c>
      <c r="X309">
        <f t="shared" si="21"/>
        <v>10.131</v>
      </c>
      <c r="Y309">
        <f t="shared" si="26"/>
        <v>418.32126339597846</v>
      </c>
      <c r="Z309">
        <f t="shared" si="25"/>
        <v>836.64252679195693</v>
      </c>
      <c r="AA309">
        <f t="shared" si="23"/>
        <v>1254.963790187935</v>
      </c>
      <c r="AB309">
        <f t="shared" si="24"/>
        <v>1673.2850535839139</v>
      </c>
    </row>
    <row r="310" spans="23:28" x14ac:dyDescent="0.3">
      <c r="W310">
        <v>308</v>
      </c>
      <c r="X310">
        <f t="shared" si="21"/>
        <v>10.164</v>
      </c>
      <c r="Y310">
        <f t="shared" si="26"/>
        <v>419.87334901383258</v>
      </c>
      <c r="Z310">
        <f t="shared" si="25"/>
        <v>839.74669802766516</v>
      </c>
      <c r="AA310">
        <f t="shared" si="23"/>
        <v>1259.6200470414974</v>
      </c>
      <c r="AB310">
        <f t="shared" si="24"/>
        <v>1679.4933960553303</v>
      </c>
    </row>
    <row r="311" spans="23:28" x14ac:dyDescent="0.3">
      <c r="W311">
        <v>309</v>
      </c>
      <c r="X311">
        <f t="shared" si="21"/>
        <v>10.196999999999999</v>
      </c>
      <c r="Y311">
        <f t="shared" si="26"/>
        <v>421.42544599047926</v>
      </c>
      <c r="Z311">
        <f t="shared" si="25"/>
        <v>842.85089198095852</v>
      </c>
      <c r="AA311">
        <f t="shared" si="23"/>
        <v>1264.2763379714377</v>
      </c>
      <c r="AB311">
        <f t="shared" si="24"/>
        <v>1685.701783961917</v>
      </c>
    </row>
    <row r="312" spans="23:28" x14ac:dyDescent="0.3">
      <c r="W312">
        <v>310</v>
      </c>
      <c r="X312">
        <f t="shared" si="21"/>
        <v>10.23</v>
      </c>
      <c r="Y312">
        <f t="shared" si="26"/>
        <v>422.97755402752</v>
      </c>
      <c r="Z312">
        <f t="shared" si="25"/>
        <v>845.95510805504</v>
      </c>
      <c r="AA312">
        <f t="shared" si="23"/>
        <v>1268.9326620825598</v>
      </c>
      <c r="AB312">
        <f t="shared" si="24"/>
        <v>1691.91021611008</v>
      </c>
    </row>
    <row r="313" spans="23:28" x14ac:dyDescent="0.3">
      <c r="W313">
        <v>311</v>
      </c>
      <c r="X313">
        <f t="shared" si="21"/>
        <v>10.263</v>
      </c>
      <c r="Y313">
        <f t="shared" si="26"/>
        <v>424.52967283439529</v>
      </c>
      <c r="Z313">
        <f t="shared" si="25"/>
        <v>849.05934566879057</v>
      </c>
      <c r="AA313">
        <f t="shared" si="23"/>
        <v>1273.5890185031856</v>
      </c>
      <c r="AB313">
        <f t="shared" si="24"/>
        <v>1698.1186913375811</v>
      </c>
    </row>
    <row r="314" spans="23:28" x14ac:dyDescent="0.3">
      <c r="W314">
        <v>312</v>
      </c>
      <c r="X314">
        <f t="shared" si="21"/>
        <v>10.295999999999999</v>
      </c>
      <c r="Y314">
        <f t="shared" si="26"/>
        <v>426.08180212817877</v>
      </c>
      <c r="Z314">
        <f t="shared" si="25"/>
        <v>852.16360425635753</v>
      </c>
      <c r="AA314">
        <f t="shared" si="23"/>
        <v>1278.245406384536</v>
      </c>
      <c r="AB314">
        <f t="shared" si="24"/>
        <v>1704.3272085127151</v>
      </c>
    </row>
    <row r="315" spans="23:28" x14ac:dyDescent="0.3">
      <c r="W315">
        <v>313</v>
      </c>
      <c r="X315">
        <f t="shared" si="21"/>
        <v>10.329000000000001</v>
      </c>
      <c r="Y315">
        <f t="shared" si="26"/>
        <v>427.63394163337671</v>
      </c>
      <c r="Z315">
        <f t="shared" si="25"/>
        <v>855.26788326675342</v>
      </c>
      <c r="AA315">
        <f t="shared" si="23"/>
        <v>1282.9018249001299</v>
      </c>
      <c r="AB315">
        <f t="shared" si="24"/>
        <v>1710.5357665335068</v>
      </c>
    </row>
    <row r="316" spans="23:28" x14ac:dyDescent="0.3">
      <c r="W316">
        <v>314</v>
      </c>
      <c r="X316">
        <f t="shared" si="21"/>
        <v>10.362</v>
      </c>
      <c r="Y316">
        <f t="shared" si="26"/>
        <v>429.18609108173234</v>
      </c>
      <c r="Z316">
        <f t="shared" si="25"/>
        <v>858.37218216346469</v>
      </c>
      <c r="AA316">
        <f t="shared" si="23"/>
        <v>1287.5582732451969</v>
      </c>
      <c r="AB316">
        <f t="shared" si="24"/>
        <v>1716.7443643269294</v>
      </c>
    </row>
    <row r="317" spans="23:28" x14ac:dyDescent="0.3">
      <c r="W317">
        <v>315</v>
      </c>
      <c r="X317">
        <f t="shared" si="21"/>
        <v>10.395</v>
      </c>
      <c r="Y317">
        <f t="shared" si="26"/>
        <v>430.73825021203652</v>
      </c>
      <c r="Z317">
        <f t="shared" si="25"/>
        <v>861.47650042407304</v>
      </c>
      <c r="AA317">
        <f t="shared" si="23"/>
        <v>1292.2147506361093</v>
      </c>
      <c r="AB317">
        <f t="shared" si="24"/>
        <v>1722.9530008481461</v>
      </c>
    </row>
    <row r="318" spans="23:28" x14ac:dyDescent="0.3">
      <c r="W318">
        <v>316</v>
      </c>
      <c r="X318">
        <f t="shared" si="21"/>
        <v>10.428000000000001</v>
      </c>
      <c r="Y318">
        <f t="shared" si="26"/>
        <v>432.29041876994182</v>
      </c>
      <c r="Z318">
        <f t="shared" si="25"/>
        <v>864.58083753988365</v>
      </c>
      <c r="AA318">
        <f t="shared" si="23"/>
        <v>1296.8712563098252</v>
      </c>
      <c r="AB318">
        <f t="shared" si="24"/>
        <v>1729.1616750797673</v>
      </c>
    </row>
    <row r="319" spans="23:28" x14ac:dyDescent="0.3">
      <c r="W319">
        <v>317</v>
      </c>
      <c r="X319">
        <f t="shared" si="21"/>
        <v>10.461</v>
      </c>
      <c r="Y319">
        <f t="shared" si="26"/>
        <v>433.84259650778273</v>
      </c>
      <c r="Z319">
        <f t="shared" si="25"/>
        <v>867.68519301556546</v>
      </c>
      <c r="AA319">
        <f t="shared" si="23"/>
        <v>1301.527789523348</v>
      </c>
      <c r="AB319">
        <f t="shared" si="24"/>
        <v>1735.3703860311309</v>
      </c>
    </row>
    <row r="320" spans="23:28" x14ac:dyDescent="0.3">
      <c r="W320">
        <v>318</v>
      </c>
      <c r="X320">
        <f t="shared" si="21"/>
        <v>10.494</v>
      </c>
      <c r="Y320">
        <f t="shared" si="26"/>
        <v>435.39478318439978</v>
      </c>
      <c r="Z320">
        <f t="shared" si="25"/>
        <v>870.78956636879957</v>
      </c>
      <c r="AA320">
        <f t="shared" si="23"/>
        <v>1306.1843495531991</v>
      </c>
      <c r="AB320">
        <f t="shared" si="24"/>
        <v>1741.5791327375991</v>
      </c>
    </row>
    <row r="321" spans="23:28" x14ac:dyDescent="0.3">
      <c r="W321">
        <v>319</v>
      </c>
      <c r="X321">
        <f t="shared" si="21"/>
        <v>10.526999999999999</v>
      </c>
      <c r="Y321">
        <f t="shared" si="26"/>
        <v>436.94697856496913</v>
      </c>
      <c r="Z321">
        <f t="shared" si="25"/>
        <v>873.89395712993826</v>
      </c>
      <c r="AA321">
        <f t="shared" si="23"/>
        <v>1310.8409356949071</v>
      </c>
      <c r="AB321">
        <f t="shared" si="24"/>
        <v>1747.7879142598765</v>
      </c>
    </row>
    <row r="322" spans="23:28" x14ac:dyDescent="0.3">
      <c r="W322">
        <v>320</v>
      </c>
      <c r="X322">
        <f t="shared" si="21"/>
        <v>10.56</v>
      </c>
      <c r="Y322">
        <f t="shared" si="26"/>
        <v>438.49918242083578</v>
      </c>
      <c r="Z322">
        <f t="shared" si="25"/>
        <v>876.99836484167156</v>
      </c>
      <c r="AA322">
        <f t="shared" si="23"/>
        <v>1315.4975472625072</v>
      </c>
      <c r="AB322">
        <f t="shared" si="24"/>
        <v>1753.9967296833431</v>
      </c>
    </row>
    <row r="323" spans="23:28" x14ac:dyDescent="0.3">
      <c r="W323">
        <v>321</v>
      </c>
      <c r="X323">
        <f t="shared" ref="X323:X336" si="27">W323*33/1000</f>
        <v>10.593</v>
      </c>
      <c r="Y323">
        <f t="shared" si="26"/>
        <v>440.05139452935117</v>
      </c>
      <c r="Z323">
        <f t="shared" si="25"/>
        <v>880.10278905870234</v>
      </c>
      <c r="AA323">
        <f t="shared" ref="AA323:AA336" si="28">(940.92*$AA$1)*($X323-1.2396+1.2396*EXP(-1*$X323/1.2396))</f>
        <v>1320.1541835880532</v>
      </c>
      <c r="AB323">
        <f t="shared" ref="AB323:AB336" si="29">(940.92*$AB$1)*($X323-1.2396+1.2396*EXP(-1*$X323/1.2396))</f>
        <v>1760.2055781174047</v>
      </c>
    </row>
    <row r="324" spans="23:28" x14ac:dyDescent="0.3">
      <c r="W324">
        <v>322</v>
      </c>
      <c r="X324">
        <f t="shared" si="27"/>
        <v>10.625999999999999</v>
      </c>
      <c r="Y324">
        <f t="shared" si="26"/>
        <v>441.60361467371609</v>
      </c>
      <c r="Z324">
        <f t="shared" ref="Z324:Z336" si="30">(940.92*$Z$1)*($X324-1.2396+1.2396*EXP(-1*$X324/1.2396))</f>
        <v>883.20722934743219</v>
      </c>
      <c r="AA324">
        <f t="shared" si="28"/>
        <v>1324.8108440211481</v>
      </c>
      <c r="AB324">
        <f t="shared" si="29"/>
        <v>1766.4144586948644</v>
      </c>
    </row>
    <row r="325" spans="23:28" x14ac:dyDescent="0.3">
      <c r="W325">
        <v>323</v>
      </c>
      <c r="X325">
        <f t="shared" si="27"/>
        <v>10.659000000000001</v>
      </c>
      <c r="Y325">
        <f t="shared" si="26"/>
        <v>443.15584264282694</v>
      </c>
      <c r="Z325">
        <f t="shared" si="30"/>
        <v>886.31168528565388</v>
      </c>
      <c r="AA325">
        <f t="shared" si="28"/>
        <v>1329.4675279284806</v>
      </c>
      <c r="AB325">
        <f t="shared" si="29"/>
        <v>1772.6233705713078</v>
      </c>
    </row>
    <row r="326" spans="23:28" x14ac:dyDescent="0.3">
      <c r="W326">
        <v>324</v>
      </c>
      <c r="X326">
        <f t="shared" si="27"/>
        <v>10.692</v>
      </c>
      <c r="Y326">
        <f t="shared" si="26"/>
        <v>444.70807823112528</v>
      </c>
      <c r="Z326">
        <f t="shared" si="30"/>
        <v>889.41615646225057</v>
      </c>
      <c r="AA326">
        <f t="shared" si="28"/>
        <v>1334.1242346933757</v>
      </c>
      <c r="AB326">
        <f t="shared" si="29"/>
        <v>1778.8323129245011</v>
      </c>
    </row>
    <row r="327" spans="23:28" x14ac:dyDescent="0.3">
      <c r="W327">
        <v>325</v>
      </c>
      <c r="X327">
        <f t="shared" si="27"/>
        <v>10.725</v>
      </c>
      <c r="Y327">
        <f t="shared" si="26"/>
        <v>446.26032123845317</v>
      </c>
      <c r="Z327">
        <f t="shared" si="30"/>
        <v>892.52064247690635</v>
      </c>
      <c r="AA327">
        <f t="shared" si="28"/>
        <v>1338.7809637153593</v>
      </c>
      <c r="AB327">
        <f t="shared" si="29"/>
        <v>1785.0412849538127</v>
      </c>
    </row>
    <row r="328" spans="23:28" x14ac:dyDescent="0.3">
      <c r="W328">
        <v>326</v>
      </c>
      <c r="X328">
        <f t="shared" si="27"/>
        <v>10.757999999999999</v>
      </c>
      <c r="Y328">
        <f t="shared" si="26"/>
        <v>447.81257146991072</v>
      </c>
      <c r="Z328">
        <f t="shared" si="30"/>
        <v>895.62514293982144</v>
      </c>
      <c r="AA328">
        <f t="shared" si="28"/>
        <v>1343.4377144097318</v>
      </c>
      <c r="AB328">
        <f t="shared" si="29"/>
        <v>1791.2502858796429</v>
      </c>
    </row>
    <row r="329" spans="23:28" x14ac:dyDescent="0.3">
      <c r="W329">
        <v>327</v>
      </c>
      <c r="X329">
        <f t="shared" si="27"/>
        <v>10.791</v>
      </c>
      <c r="Y329">
        <f t="shared" si="26"/>
        <v>449.36482873571833</v>
      </c>
      <c r="Z329">
        <f t="shared" si="30"/>
        <v>898.72965747143667</v>
      </c>
      <c r="AA329">
        <f t="shared" si="28"/>
        <v>1348.0944862071549</v>
      </c>
      <c r="AB329">
        <f t="shared" si="29"/>
        <v>1797.4593149428733</v>
      </c>
    </row>
    <row r="330" spans="23:28" x14ac:dyDescent="0.3">
      <c r="W330">
        <v>328</v>
      </c>
      <c r="X330">
        <f t="shared" si="27"/>
        <v>10.824</v>
      </c>
      <c r="Y330">
        <f t="shared" si="26"/>
        <v>450.91709285108158</v>
      </c>
      <c r="Z330">
        <f t="shared" si="30"/>
        <v>901.83418570216315</v>
      </c>
      <c r="AA330">
        <f t="shared" si="28"/>
        <v>1352.7512785532444</v>
      </c>
      <c r="AB330">
        <f t="shared" si="29"/>
        <v>1803.6683714043263</v>
      </c>
    </row>
    <row r="331" spans="23:28" x14ac:dyDescent="0.3">
      <c r="W331">
        <v>329</v>
      </c>
      <c r="X331">
        <f t="shared" si="27"/>
        <v>10.856999999999999</v>
      </c>
      <c r="Y331">
        <f t="shared" si="26"/>
        <v>452.46936363606079</v>
      </c>
      <c r="Z331">
        <f t="shared" si="30"/>
        <v>904.93872727212158</v>
      </c>
      <c r="AA331">
        <f t="shared" si="28"/>
        <v>1357.4080909081822</v>
      </c>
      <c r="AB331">
        <f t="shared" si="29"/>
        <v>1809.8774545442432</v>
      </c>
    </row>
    <row r="332" spans="23:28" x14ac:dyDescent="0.3">
      <c r="W332">
        <v>330</v>
      </c>
      <c r="X332">
        <f t="shared" si="27"/>
        <v>10.89</v>
      </c>
      <c r="Y332">
        <f t="shared" si="26"/>
        <v>454.02164091544364</v>
      </c>
      <c r="Z332">
        <f t="shared" si="30"/>
        <v>908.04328183088728</v>
      </c>
      <c r="AA332">
        <f t="shared" si="28"/>
        <v>1362.0649227463307</v>
      </c>
      <c r="AB332">
        <f t="shared" si="29"/>
        <v>1816.0865636617746</v>
      </c>
    </row>
    <row r="333" spans="23:28" x14ac:dyDescent="0.3">
      <c r="W333">
        <v>331</v>
      </c>
      <c r="X333">
        <f t="shared" si="27"/>
        <v>10.923</v>
      </c>
      <c r="Y333">
        <f t="shared" si="26"/>
        <v>455.57392451862029</v>
      </c>
      <c r="Z333">
        <f t="shared" si="30"/>
        <v>911.14784903724058</v>
      </c>
      <c r="AA333">
        <f t="shared" si="28"/>
        <v>1366.7217735558606</v>
      </c>
      <c r="AB333">
        <f t="shared" si="29"/>
        <v>1822.2956980744812</v>
      </c>
    </row>
    <row r="334" spans="23:28" x14ac:dyDescent="0.3">
      <c r="W334">
        <v>332</v>
      </c>
      <c r="X334">
        <f t="shared" si="27"/>
        <v>10.956</v>
      </c>
      <c r="Y334">
        <f t="shared" si="26"/>
        <v>457.12621427946289</v>
      </c>
      <c r="Z334">
        <f t="shared" si="30"/>
        <v>914.25242855892577</v>
      </c>
      <c r="AA334">
        <f t="shared" si="28"/>
        <v>1371.3786428383885</v>
      </c>
      <c r="AB334">
        <f t="shared" si="29"/>
        <v>1828.5048571178515</v>
      </c>
    </row>
    <row r="335" spans="23:28" x14ac:dyDescent="0.3">
      <c r="W335">
        <v>333</v>
      </c>
      <c r="X335">
        <f t="shared" si="27"/>
        <v>10.989000000000001</v>
      </c>
      <c r="Y335">
        <f t="shared" si="26"/>
        <v>458.67851003620825</v>
      </c>
      <c r="Z335">
        <f t="shared" si="30"/>
        <v>917.3570200724165</v>
      </c>
      <c r="AA335">
        <f t="shared" si="28"/>
        <v>1376.0355301086245</v>
      </c>
      <c r="AB335">
        <f t="shared" si="29"/>
        <v>1834.714040144833</v>
      </c>
    </row>
    <row r="336" spans="23:28" x14ac:dyDescent="0.3">
      <c r="W336">
        <v>334</v>
      </c>
      <c r="X336">
        <f t="shared" si="27"/>
        <v>11.022</v>
      </c>
      <c r="Y336">
        <f t="shared" si="26"/>
        <v>460.23081163134214</v>
      </c>
      <c r="Z336">
        <f t="shared" si="30"/>
        <v>920.46162326268427</v>
      </c>
      <c r="AA336">
        <f t="shared" si="28"/>
        <v>1380.6924348940263</v>
      </c>
      <c r="AB336">
        <f t="shared" si="29"/>
        <v>1840.9232465253685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07DB-5FF6-4049-B916-5DF50FF1A240}">
  <dimension ref="A1:AM681"/>
  <sheetViews>
    <sheetView zoomScale="85" zoomScaleNormal="85" workbookViewId="0">
      <selection activeCell="D257" sqref="D257:D275"/>
    </sheetView>
  </sheetViews>
  <sheetFormatPr defaultRowHeight="14.4" x14ac:dyDescent="0.3"/>
  <cols>
    <col min="1" max="1" width="10.21875" customWidth="1"/>
    <col min="6" max="6" width="11.44140625" customWidth="1"/>
    <col min="10" max="13" width="12.44140625" bestFit="1" customWidth="1"/>
    <col min="14" max="14" width="10.21875" bestFit="1" customWidth="1"/>
    <col min="15" max="15" width="12" bestFit="1" customWidth="1"/>
    <col min="16" max="16" width="6.5546875" bestFit="1" customWidth="1"/>
    <col min="17" max="17" width="7.5546875" bestFit="1" customWidth="1"/>
    <col min="25" max="25" width="11.33203125" bestFit="1" customWidth="1"/>
    <col min="30" max="30" width="4.33203125" style="1" customWidth="1"/>
    <col min="31" max="32" width="9.109375" bestFit="1" customWidth="1"/>
    <col min="33" max="33" width="11.44140625" bestFit="1" customWidth="1"/>
    <col min="34" max="36" width="10.44140625" bestFit="1" customWidth="1"/>
    <col min="37" max="37" width="14.33203125" bestFit="1" customWidth="1"/>
    <col min="38" max="38" width="12.88671875" bestFit="1" customWidth="1"/>
    <col min="39" max="39" width="13.6640625" customWidth="1"/>
    <col min="41" max="41" width="14.6640625" bestFit="1" customWidth="1"/>
    <col min="42" max="42" width="14.6640625" customWidth="1"/>
    <col min="43" max="43" width="9.44140625" bestFit="1" customWidth="1"/>
    <col min="46" max="46" width="13.21875" customWidth="1"/>
  </cols>
  <sheetData>
    <row r="1" spans="1:39" x14ac:dyDescent="0.3">
      <c r="M1" t="s">
        <v>0</v>
      </c>
      <c r="AF1" t="s">
        <v>57</v>
      </c>
      <c r="AJ1" t="s">
        <v>1</v>
      </c>
      <c r="AK1" s="3">
        <v>60.755674865193235</v>
      </c>
    </row>
    <row r="2" spans="1:39" x14ac:dyDescent="0.3">
      <c r="AJ2" t="s">
        <v>2</v>
      </c>
      <c r="AK2" s="2">
        <v>1.8570873799707024</v>
      </c>
    </row>
    <row r="3" spans="1:39" x14ac:dyDescent="0.3">
      <c r="AI3" t="s">
        <v>11</v>
      </c>
      <c r="AJ3" s="2" t="s">
        <v>56</v>
      </c>
      <c r="AK3" s="2">
        <v>1.2873124049718803</v>
      </c>
      <c r="AL3" s="2"/>
    </row>
    <row r="4" spans="1:39" x14ac:dyDescent="0.3">
      <c r="AI4">
        <f>MIN(AI7:AI1002)</f>
        <v>26.639782857142801</v>
      </c>
      <c r="AJ4" t="s">
        <v>3</v>
      </c>
      <c r="AK4" s="2">
        <f>SUM(AL7:AL89)</f>
        <v>114.60187799922082</v>
      </c>
      <c r="AL4" s="2"/>
    </row>
    <row r="5" spans="1:39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E5" s="1"/>
      <c r="AF5" s="1"/>
      <c r="AG5" s="1"/>
      <c r="AH5" s="1"/>
      <c r="AI5" s="1"/>
      <c r="AJ5" s="1"/>
      <c r="AK5" s="4"/>
      <c r="AL5" s="4"/>
    </row>
    <row r="6" spans="1:39" x14ac:dyDescent="0.3">
      <c r="A6" t="s">
        <v>53</v>
      </c>
      <c r="B6" t="s">
        <v>7</v>
      </c>
      <c r="C6" t="s">
        <v>13</v>
      </c>
      <c r="D6" t="s">
        <v>8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  <c r="R6" t="s">
        <v>28</v>
      </c>
      <c r="S6" t="s">
        <v>29</v>
      </c>
      <c r="T6" t="s">
        <v>30</v>
      </c>
      <c r="U6" t="s">
        <v>31</v>
      </c>
      <c r="V6" t="s">
        <v>32</v>
      </c>
      <c r="W6" t="s">
        <v>33</v>
      </c>
      <c r="X6" t="s">
        <v>34</v>
      </c>
      <c r="Y6" t="s">
        <v>35</v>
      </c>
      <c r="Z6" s="6" t="s">
        <v>43</v>
      </c>
      <c r="AA6" t="s">
        <v>54</v>
      </c>
      <c r="AB6" s="6" t="s">
        <v>47</v>
      </c>
      <c r="AC6" s="6" t="s">
        <v>58</v>
      </c>
      <c r="AE6" t="s">
        <v>7</v>
      </c>
      <c r="AF6" t="s">
        <v>8</v>
      </c>
      <c r="AG6" t="s">
        <v>4</v>
      </c>
      <c r="AH6" t="s">
        <v>5</v>
      </c>
      <c r="AI6" t="s">
        <v>6</v>
      </c>
      <c r="AJ6" t="s">
        <v>55</v>
      </c>
      <c r="AK6" t="s">
        <v>9</v>
      </c>
      <c r="AL6" t="s">
        <v>10</v>
      </c>
    </row>
    <row r="7" spans="1:39" x14ac:dyDescent="0.3">
      <c r="A7">
        <f t="shared" ref="A7:A70" si="0">N7*10000</f>
        <v>0</v>
      </c>
      <c r="B7" s="2" t="s">
        <v>12</v>
      </c>
      <c r="C7" s="2" t="s">
        <v>12</v>
      </c>
      <c r="D7" s="2">
        <f>F7-$F$7</f>
        <v>0</v>
      </c>
      <c r="E7" s="2"/>
      <c r="F7">
        <v>2905.6035299999999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>
        <v>0</v>
      </c>
      <c r="O7">
        <v>0</v>
      </c>
      <c r="P7">
        <v>0</v>
      </c>
      <c r="Q7">
        <v>0</v>
      </c>
      <c r="R7">
        <v>-4.6169860839843702E-2</v>
      </c>
      <c r="S7">
        <v>9.5468873977661104E-3</v>
      </c>
      <c r="T7">
        <v>0</v>
      </c>
      <c r="U7" s="7">
        <v>166.22</v>
      </c>
      <c r="V7" s="7">
        <v>-0.27300000000000002</v>
      </c>
      <c r="W7" s="7">
        <v>-0.16900000000000001</v>
      </c>
      <c r="X7" s="7">
        <v>0.71599999999999997</v>
      </c>
      <c r="Y7" t="b">
        <v>1</v>
      </c>
      <c r="Z7">
        <v>80</v>
      </c>
      <c r="AA7">
        <f t="shared" ref="AA7:AA70" si="1">R7*100</f>
        <v>-4.6169860839843704</v>
      </c>
      <c r="AB7">
        <f>L179</f>
        <v>43.323</v>
      </c>
      <c r="AE7" s="2" t="s">
        <v>12</v>
      </c>
      <c r="AF7" s="2">
        <f t="shared" ref="AF7:AF38" si="2">AG7-$AG$7</f>
        <v>0</v>
      </c>
      <c r="AG7">
        <v>2909.9982759</v>
      </c>
      <c r="AH7">
        <v>183.81639428571401</v>
      </c>
      <c r="AI7">
        <v>32.619588571428501</v>
      </c>
      <c r="AJ7" s="2">
        <f>AI7-$AI$4</f>
        <v>5.9798057142856997</v>
      </c>
      <c r="AK7" s="2">
        <f t="shared" ref="AK7:AK70" si="3">IF(AF7&lt;$AK$3,0,$AK$1*((AF7-$AK$3)-$AK$2+($AK$2*(EXP(-1*(AF7-$AK$3)/$AK$2)))))</f>
        <v>0</v>
      </c>
      <c r="AL7" s="2">
        <f>ABS(AK7-AJ7)</f>
        <v>5.9798057142856997</v>
      </c>
      <c r="AM7" s="2"/>
    </row>
    <row r="8" spans="1:39" x14ac:dyDescent="0.3">
      <c r="A8">
        <f t="shared" si="0"/>
        <v>0</v>
      </c>
      <c r="B8" s="2">
        <f t="shared" ref="B8:B71" si="4">(F8-F7)*1000</f>
        <v>4.9277000002803106</v>
      </c>
      <c r="C8" s="2" t="e">
        <f>L8-L7</f>
        <v>#VALUE!</v>
      </c>
      <c r="D8" s="2">
        <f t="shared" ref="D8:D71" si="5">F8-$F$7</f>
        <v>4.9277000002803106E-3</v>
      </c>
      <c r="E8" s="2"/>
      <c r="F8">
        <v>2905.6084577000001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>
        <v>0</v>
      </c>
      <c r="O8">
        <v>0</v>
      </c>
      <c r="P8">
        <v>0</v>
      </c>
      <c r="Q8">
        <v>0</v>
      </c>
      <c r="R8">
        <v>-4.6169860839843702E-2</v>
      </c>
      <c r="S8">
        <v>9.5468873977661104E-3</v>
      </c>
      <c r="T8">
        <v>0</v>
      </c>
      <c r="U8" s="7">
        <v>166.22</v>
      </c>
      <c r="V8" s="7">
        <v>-0.27300000000000002</v>
      </c>
      <c r="W8" s="7">
        <v>-0.16900000000000001</v>
      </c>
      <c r="X8" s="7">
        <v>0.71599999999999997</v>
      </c>
      <c r="Y8" t="b">
        <v>1</v>
      </c>
      <c r="Z8">
        <v>80</v>
      </c>
      <c r="AA8">
        <f t="shared" si="1"/>
        <v>-4.6169860839843704</v>
      </c>
      <c r="AB8">
        <f t="shared" ref="AB8:AB71" si="6">AB7+(AA7*(D8-D7))</f>
        <v>43.300248877672658</v>
      </c>
      <c r="AC8" t="e">
        <f t="shared" ref="AC8:AC71" si="7">IF((L8-L7)/(D8-D7)&lt;100,IF((L8-L7)/(D8-D7)&gt;(-1*20),(L8-L7)/(D8-D7),AC7))</f>
        <v>#VALUE!</v>
      </c>
      <c r="AE8" s="2">
        <f t="shared" ref="AE8:AE39" si="8">AG8-AG7</f>
        <v>4.6469800000068062E-2</v>
      </c>
      <c r="AF8" s="2">
        <f t="shared" si="2"/>
        <v>4.6469800000068062E-2</v>
      </c>
      <c r="AG8">
        <v>2910.0447457</v>
      </c>
      <c r="AH8">
        <v>183.60989142857099</v>
      </c>
      <c r="AI8">
        <v>32.269582857142801</v>
      </c>
      <c r="AJ8" s="2">
        <f t="shared" ref="AJ8:AJ71" si="9">AI8-$AI$4</f>
        <v>5.6297999999999995</v>
      </c>
      <c r="AK8" s="2">
        <f t="shared" si="3"/>
        <v>0</v>
      </c>
      <c r="AL8" s="2">
        <f t="shared" ref="AL8:AL71" si="10">ABS(AK8-AJ8)</f>
        <v>5.6297999999999995</v>
      </c>
      <c r="AM8" s="2"/>
    </row>
    <row r="9" spans="1:39" x14ac:dyDescent="0.3">
      <c r="A9">
        <f t="shared" si="0"/>
        <v>0</v>
      </c>
      <c r="B9" s="2">
        <f t="shared" si="4"/>
        <v>3.7364999998317217</v>
      </c>
      <c r="C9" s="2" t="e">
        <f t="shared" ref="C9:C72" si="11">L9-L8</f>
        <v>#VALUE!</v>
      </c>
      <c r="D9" s="2">
        <f t="shared" si="5"/>
        <v>8.6642000001120323E-3</v>
      </c>
      <c r="E9" s="2"/>
      <c r="F9">
        <v>2905.6121942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>
        <v>0</v>
      </c>
      <c r="O9">
        <v>0</v>
      </c>
      <c r="P9">
        <v>0</v>
      </c>
      <c r="Q9">
        <v>0</v>
      </c>
      <c r="R9">
        <v>-4.6169860839843702E-2</v>
      </c>
      <c r="S9">
        <v>9.5468873977661104E-3</v>
      </c>
      <c r="T9">
        <v>0</v>
      </c>
      <c r="U9" s="7">
        <v>166.22</v>
      </c>
      <c r="V9" s="7">
        <v>-0.27300000000000002</v>
      </c>
      <c r="W9" s="7">
        <v>-0.16900000000000001</v>
      </c>
      <c r="X9" s="7">
        <v>0.71599999999999997</v>
      </c>
      <c r="Y9" t="b">
        <v>1</v>
      </c>
      <c r="Z9">
        <v>80</v>
      </c>
      <c r="AA9">
        <f t="shared" si="1"/>
        <v>-4.6169860839843704</v>
      </c>
      <c r="AB9">
        <f t="shared" si="6"/>
        <v>43.282997509170627</v>
      </c>
      <c r="AC9" t="e">
        <f t="shared" si="7"/>
        <v>#VALUE!</v>
      </c>
      <c r="AE9" s="2">
        <f t="shared" si="8"/>
        <v>3.1382499999836E-2</v>
      </c>
      <c r="AF9" s="2">
        <f t="shared" si="2"/>
        <v>7.7852299999904062E-2</v>
      </c>
      <c r="AG9">
        <v>2910.0761281999999</v>
      </c>
      <c r="AH9">
        <v>183.37733142857101</v>
      </c>
      <c r="AI9">
        <v>31.769542857142799</v>
      </c>
      <c r="AJ9" s="2">
        <f t="shared" si="9"/>
        <v>5.1297599999999974</v>
      </c>
      <c r="AK9" s="2">
        <f t="shared" si="3"/>
        <v>0</v>
      </c>
      <c r="AL9" s="2">
        <f t="shared" si="10"/>
        <v>5.1297599999999974</v>
      </c>
      <c r="AM9" s="2"/>
    </row>
    <row r="10" spans="1:39" x14ac:dyDescent="0.3">
      <c r="A10">
        <f t="shared" si="0"/>
        <v>0</v>
      </c>
      <c r="B10" s="2">
        <f t="shared" si="4"/>
        <v>16.938900000241119</v>
      </c>
      <c r="C10" s="2" t="e">
        <f t="shared" si="11"/>
        <v>#VALUE!</v>
      </c>
      <c r="D10" s="2">
        <f t="shared" si="5"/>
        <v>2.5603100000353152E-2</v>
      </c>
      <c r="E10" s="2"/>
      <c r="F10">
        <v>2905.6291331000002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>
        <v>0</v>
      </c>
      <c r="O10">
        <v>0</v>
      </c>
      <c r="P10">
        <v>0</v>
      </c>
      <c r="Q10">
        <v>0</v>
      </c>
      <c r="R10">
        <v>-4.6169860839843702E-2</v>
      </c>
      <c r="S10">
        <v>9.5468873977661104E-3</v>
      </c>
      <c r="T10">
        <v>0</v>
      </c>
      <c r="U10" s="7">
        <v>166.22</v>
      </c>
      <c r="V10" s="7">
        <v>-0.27300000000000002</v>
      </c>
      <c r="W10" s="7">
        <v>-0.16900000000000001</v>
      </c>
      <c r="X10" s="7">
        <v>0.71599999999999997</v>
      </c>
      <c r="Y10" t="b">
        <v>1</v>
      </c>
      <c r="Z10">
        <v>80</v>
      </c>
      <c r="AA10">
        <f t="shared" si="1"/>
        <v>-4.6169860839843704</v>
      </c>
      <c r="AB10">
        <f t="shared" si="6"/>
        <v>43.20479084359151</v>
      </c>
      <c r="AC10" t="e">
        <f t="shared" si="7"/>
        <v>#VALUE!</v>
      </c>
      <c r="AE10" s="2">
        <f t="shared" si="8"/>
        <v>1.6379600000163919E-2</v>
      </c>
      <c r="AF10" s="2">
        <f t="shared" si="2"/>
        <v>9.4231900000067981E-2</v>
      </c>
      <c r="AG10">
        <v>2910.0925078</v>
      </c>
      <c r="AH10">
        <v>183.13493142857101</v>
      </c>
      <c r="AI10">
        <v>31.248542857142802</v>
      </c>
      <c r="AJ10" s="2">
        <f t="shared" si="9"/>
        <v>4.6087600000000002</v>
      </c>
      <c r="AK10" s="2">
        <f t="shared" si="3"/>
        <v>0</v>
      </c>
      <c r="AL10" s="2">
        <f t="shared" si="10"/>
        <v>4.6087600000000002</v>
      </c>
      <c r="AM10" s="2"/>
    </row>
    <row r="11" spans="1:39" x14ac:dyDescent="0.3">
      <c r="A11">
        <f t="shared" si="0"/>
        <v>0</v>
      </c>
      <c r="B11" s="2">
        <f t="shared" si="4"/>
        <v>15.690799999902083</v>
      </c>
      <c r="C11" s="2" t="e">
        <f t="shared" si="11"/>
        <v>#VALUE!</v>
      </c>
      <c r="D11" s="2">
        <f t="shared" si="5"/>
        <v>4.1293900000255235E-2</v>
      </c>
      <c r="E11" s="2"/>
      <c r="F11">
        <v>2905.6448239000001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>
        <v>0</v>
      </c>
      <c r="O11">
        <v>0</v>
      </c>
      <c r="P11">
        <v>0</v>
      </c>
      <c r="Q11">
        <v>0</v>
      </c>
      <c r="R11">
        <v>-4.6169860839843702E-2</v>
      </c>
      <c r="S11">
        <v>9.5468873977661104E-3</v>
      </c>
      <c r="T11">
        <v>0</v>
      </c>
      <c r="U11" s="7">
        <v>166.22</v>
      </c>
      <c r="V11" s="7">
        <v>-0.27300000000000002</v>
      </c>
      <c r="W11" s="7">
        <v>-0.16900000000000001</v>
      </c>
      <c r="X11" s="7">
        <v>0.71599999999999997</v>
      </c>
      <c r="Y11" t="b">
        <v>1</v>
      </c>
      <c r="Z11">
        <v>80</v>
      </c>
      <c r="AA11">
        <f t="shared" si="1"/>
        <v>-4.6169860839843704</v>
      </c>
      <c r="AB11">
        <f t="shared" si="6"/>
        <v>43.132346638345382</v>
      </c>
      <c r="AC11" t="e">
        <f t="shared" si="7"/>
        <v>#VALUE!</v>
      </c>
      <c r="AE11" s="2">
        <f t="shared" si="8"/>
        <v>4.7269799999867246E-2</v>
      </c>
      <c r="AF11" s="2">
        <f t="shared" si="2"/>
        <v>0.14150169999993523</v>
      </c>
      <c r="AG11">
        <v>2910.1397775999999</v>
      </c>
      <c r="AH11">
        <v>182.88269142857101</v>
      </c>
      <c r="AI11">
        <v>30.706582857142799</v>
      </c>
      <c r="AJ11" s="2">
        <f t="shared" si="9"/>
        <v>4.0667999999999971</v>
      </c>
      <c r="AK11" s="2">
        <f t="shared" si="3"/>
        <v>0</v>
      </c>
      <c r="AL11" s="2">
        <f t="shared" si="10"/>
        <v>4.0667999999999971</v>
      </c>
      <c r="AM11" s="2"/>
    </row>
    <row r="12" spans="1:39" x14ac:dyDescent="0.3">
      <c r="A12">
        <f t="shared" si="0"/>
        <v>0</v>
      </c>
      <c r="B12" s="2">
        <f t="shared" si="4"/>
        <v>15.268799999830662</v>
      </c>
      <c r="C12" s="2" t="e">
        <f t="shared" si="11"/>
        <v>#VALUE!</v>
      </c>
      <c r="D12" s="2">
        <f t="shared" si="5"/>
        <v>5.6562700000085897E-2</v>
      </c>
      <c r="E12" s="2"/>
      <c r="F12">
        <v>2905.6600927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>
        <v>0</v>
      </c>
      <c r="O12">
        <v>0</v>
      </c>
      <c r="P12">
        <v>0</v>
      </c>
      <c r="Q12">
        <v>0</v>
      </c>
      <c r="R12">
        <v>-4.2184424400329504E-3</v>
      </c>
      <c r="S12">
        <v>8.0521497726440405E-3</v>
      </c>
      <c r="T12">
        <v>0</v>
      </c>
      <c r="U12" s="7">
        <v>166.31700000000001</v>
      </c>
      <c r="V12" s="7">
        <v>-0.53400000000000003</v>
      </c>
      <c r="W12" s="7">
        <v>-0.36599999999999999</v>
      </c>
      <c r="X12" s="7">
        <v>0.71699999999999997</v>
      </c>
      <c r="Y12" t="b">
        <v>1</v>
      </c>
      <c r="Z12">
        <v>80</v>
      </c>
      <c r="AA12">
        <f t="shared" si="1"/>
        <v>-0.42184424400329501</v>
      </c>
      <c r="AB12">
        <f t="shared" si="6"/>
        <v>43.061850801227024</v>
      </c>
      <c r="AC12" t="e">
        <f t="shared" si="7"/>
        <v>#VALUE!</v>
      </c>
      <c r="AE12" s="2">
        <f t="shared" si="8"/>
        <v>3.1436199999916425E-2</v>
      </c>
      <c r="AF12" s="2">
        <f t="shared" si="2"/>
        <v>0.17293789999985165</v>
      </c>
      <c r="AG12">
        <v>2910.1712137999998</v>
      </c>
      <c r="AH12">
        <v>182.633931428571</v>
      </c>
      <c r="AI12">
        <v>30.300262857142801</v>
      </c>
      <c r="AJ12" s="2">
        <f t="shared" si="9"/>
        <v>3.6604799999999997</v>
      </c>
      <c r="AK12" s="2">
        <f t="shared" si="3"/>
        <v>0</v>
      </c>
      <c r="AL12" s="2">
        <f t="shared" si="10"/>
        <v>3.6604799999999997</v>
      </c>
      <c r="AM12" s="2"/>
    </row>
    <row r="13" spans="1:39" x14ac:dyDescent="0.3">
      <c r="A13">
        <f t="shared" si="0"/>
        <v>0</v>
      </c>
      <c r="B13" s="2">
        <f t="shared" si="4"/>
        <v>16.041500000028464</v>
      </c>
      <c r="C13" s="2" t="e">
        <f t="shared" si="11"/>
        <v>#VALUE!</v>
      </c>
      <c r="D13" s="2">
        <f t="shared" si="5"/>
        <v>7.2604200000114361E-2</v>
      </c>
      <c r="E13" s="2"/>
      <c r="F13">
        <v>2905.6761342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>
        <v>0</v>
      </c>
      <c r="O13">
        <v>0</v>
      </c>
      <c r="P13">
        <v>0</v>
      </c>
      <c r="Q13">
        <v>0</v>
      </c>
      <c r="R13">
        <v>-4.2184424400329504E-3</v>
      </c>
      <c r="S13">
        <v>8.0521497726440405E-3</v>
      </c>
      <c r="T13">
        <v>0</v>
      </c>
      <c r="U13" s="7">
        <v>166.31700000000001</v>
      </c>
      <c r="V13" s="7">
        <v>-0.53400000000000003</v>
      </c>
      <c r="W13" s="7">
        <v>-0.36599999999999999</v>
      </c>
      <c r="X13" s="7">
        <v>0.71699999999999997</v>
      </c>
      <c r="Y13" t="b">
        <v>1</v>
      </c>
      <c r="Z13">
        <v>80</v>
      </c>
      <c r="AA13">
        <f t="shared" si="1"/>
        <v>-0.42184424400329501</v>
      </c>
      <c r="AB13">
        <f t="shared" si="6"/>
        <v>43.055083786786831</v>
      </c>
      <c r="AC13" t="e">
        <f t="shared" si="7"/>
        <v>#VALUE!</v>
      </c>
      <c r="AE13" s="2">
        <f t="shared" si="8"/>
        <v>1.5679000000091037E-2</v>
      </c>
      <c r="AF13" s="2">
        <f t="shared" si="2"/>
        <v>0.18861689999994269</v>
      </c>
      <c r="AG13">
        <v>2910.1868927999999</v>
      </c>
      <c r="AH13">
        <v>182.365491428571</v>
      </c>
      <c r="AI13">
        <v>29.872982857142802</v>
      </c>
      <c r="AJ13" s="2">
        <f t="shared" si="9"/>
        <v>3.2332000000000001</v>
      </c>
      <c r="AK13" s="2">
        <f t="shared" si="3"/>
        <v>0</v>
      </c>
      <c r="AL13" s="2">
        <f t="shared" si="10"/>
        <v>3.2332000000000001</v>
      </c>
      <c r="AM13" s="2"/>
    </row>
    <row r="14" spans="1:39" x14ac:dyDescent="0.3">
      <c r="A14">
        <f t="shared" si="0"/>
        <v>0</v>
      </c>
      <c r="B14" s="2">
        <f t="shared" si="4"/>
        <v>15.388100000109262</v>
      </c>
      <c r="C14" s="2" t="e">
        <f t="shared" si="11"/>
        <v>#VALUE!</v>
      </c>
      <c r="D14" s="2">
        <f t="shared" si="5"/>
        <v>8.7992300000223622E-2</v>
      </c>
      <c r="E14" s="2"/>
      <c r="F14">
        <v>2905.6915223000001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>
        <v>0</v>
      </c>
      <c r="O14">
        <v>0</v>
      </c>
      <c r="P14">
        <v>0</v>
      </c>
      <c r="Q14">
        <v>0</v>
      </c>
      <c r="R14">
        <v>-4.2184424400329504E-3</v>
      </c>
      <c r="S14">
        <v>8.0521497726440405E-3</v>
      </c>
      <c r="T14">
        <v>0</v>
      </c>
      <c r="U14" s="7">
        <v>166.31700000000001</v>
      </c>
      <c r="V14" s="7">
        <v>-0.53400000000000003</v>
      </c>
      <c r="W14" s="7">
        <v>-0.36599999999999999</v>
      </c>
      <c r="X14" s="7">
        <v>0.71699999999999997</v>
      </c>
      <c r="Y14" t="b">
        <v>1</v>
      </c>
      <c r="Z14">
        <v>80</v>
      </c>
      <c r="AA14">
        <f t="shared" si="1"/>
        <v>-0.42184424400329501</v>
      </c>
      <c r="AB14">
        <f t="shared" si="6"/>
        <v>43.048592405375636</v>
      </c>
      <c r="AC14" t="e">
        <f t="shared" si="7"/>
        <v>#VALUE!</v>
      </c>
      <c r="AE14" s="2">
        <f t="shared" si="8"/>
        <v>3.116890000001149E-2</v>
      </c>
      <c r="AF14" s="2">
        <f t="shared" si="2"/>
        <v>0.21978579999995418</v>
      </c>
      <c r="AG14">
        <v>2910.2180616999999</v>
      </c>
      <c r="AH14">
        <v>182.08721142857101</v>
      </c>
      <c r="AI14">
        <v>29.4247428571428</v>
      </c>
      <c r="AJ14" s="2">
        <f t="shared" si="9"/>
        <v>2.7849599999999981</v>
      </c>
      <c r="AK14" s="2">
        <f t="shared" si="3"/>
        <v>0</v>
      </c>
      <c r="AL14" s="2">
        <f t="shared" si="10"/>
        <v>2.7849599999999981</v>
      </c>
      <c r="AM14" s="2"/>
    </row>
    <row r="15" spans="1:39" x14ac:dyDescent="0.3">
      <c r="A15">
        <f t="shared" si="0"/>
        <v>0</v>
      </c>
      <c r="B15" s="2">
        <f t="shared" si="4"/>
        <v>16.193399999792746</v>
      </c>
      <c r="C15" s="2" t="e">
        <f t="shared" si="11"/>
        <v>#VALUE!</v>
      </c>
      <c r="D15" s="2">
        <f t="shared" si="5"/>
        <v>0.10418570000001637</v>
      </c>
      <c r="E15" s="2"/>
      <c r="F15">
        <v>2905.7077156999999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>
        <v>0</v>
      </c>
      <c r="O15">
        <v>0</v>
      </c>
      <c r="P15">
        <v>0</v>
      </c>
      <c r="Q15">
        <v>0</v>
      </c>
      <c r="R15">
        <v>-4.2184424400329504E-3</v>
      </c>
      <c r="S15">
        <v>8.0521497726440405E-3</v>
      </c>
      <c r="T15">
        <v>0</v>
      </c>
      <c r="U15" s="7">
        <v>166.31700000000001</v>
      </c>
      <c r="V15" s="7">
        <v>-0.53400000000000003</v>
      </c>
      <c r="W15" s="7">
        <v>-0.36599999999999999</v>
      </c>
      <c r="X15" s="7">
        <v>0.71699999999999997</v>
      </c>
      <c r="Y15" t="b">
        <v>1</v>
      </c>
      <c r="Z15">
        <v>80</v>
      </c>
      <c r="AA15">
        <f t="shared" si="1"/>
        <v>-0.42184424400329501</v>
      </c>
      <c r="AB15">
        <f t="shared" si="6"/>
        <v>43.041761312794883</v>
      </c>
      <c r="AC15" t="e">
        <f t="shared" si="7"/>
        <v>#VALUE!</v>
      </c>
      <c r="AE15" s="2">
        <f t="shared" si="8"/>
        <v>3.1528500000149506E-2</v>
      </c>
      <c r="AF15" s="2">
        <f t="shared" si="2"/>
        <v>0.25131430000010369</v>
      </c>
      <c r="AG15">
        <v>2910.2495902000001</v>
      </c>
      <c r="AH15">
        <v>181.80401142857099</v>
      </c>
      <c r="AI15">
        <v>28.950302857142798</v>
      </c>
      <c r="AJ15" s="2">
        <f t="shared" si="9"/>
        <v>2.3105199999999968</v>
      </c>
      <c r="AK15" s="2">
        <f t="shared" si="3"/>
        <v>0</v>
      </c>
      <c r="AL15" s="2">
        <f t="shared" si="10"/>
        <v>2.3105199999999968</v>
      </c>
      <c r="AM15" s="2"/>
    </row>
    <row r="16" spans="1:39" x14ac:dyDescent="0.3">
      <c r="A16">
        <f t="shared" si="0"/>
        <v>0</v>
      </c>
      <c r="B16" s="2">
        <f t="shared" si="4"/>
        <v>15.183400000296388</v>
      </c>
      <c r="C16" s="2" t="e">
        <f t="shared" si="11"/>
        <v>#VALUE!</v>
      </c>
      <c r="D16" s="2">
        <f t="shared" si="5"/>
        <v>0.11936910000031276</v>
      </c>
      <c r="E16" s="2"/>
      <c r="F16">
        <v>2905.7228991000002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>
        <v>0</v>
      </c>
      <c r="O16">
        <v>0</v>
      </c>
      <c r="P16">
        <v>0</v>
      </c>
      <c r="Q16">
        <v>0</v>
      </c>
      <c r="R16">
        <v>1.0715599060058501E-2</v>
      </c>
      <c r="S16">
        <v>6.9175130128860398E-4</v>
      </c>
      <c r="T16">
        <v>0</v>
      </c>
      <c r="U16" s="7">
        <v>166.46199999999999</v>
      </c>
      <c r="V16" s="7">
        <v>7.6999999999999999E-2</v>
      </c>
      <c r="W16" s="7">
        <v>1.9E-2</v>
      </c>
      <c r="X16" s="7">
        <v>0.71599999999999997</v>
      </c>
      <c r="Y16" t="b">
        <v>1</v>
      </c>
      <c r="Z16">
        <v>80</v>
      </c>
      <c r="AA16">
        <f t="shared" si="1"/>
        <v>1.07155990600585</v>
      </c>
      <c r="AB16">
        <f t="shared" si="6"/>
        <v>43.035356282900359</v>
      </c>
      <c r="AC16" t="e">
        <f t="shared" si="7"/>
        <v>#VALUE!</v>
      </c>
      <c r="AE16" s="2">
        <f t="shared" si="8"/>
        <v>4.5764599999984057E-2</v>
      </c>
      <c r="AF16" s="2">
        <f t="shared" si="2"/>
        <v>0.29707890000008774</v>
      </c>
      <c r="AG16">
        <v>2910.2953548</v>
      </c>
      <c r="AH16">
        <v>181.52573142857099</v>
      </c>
      <c r="AI16">
        <v>28.460142857142799</v>
      </c>
      <c r="AJ16" s="2">
        <f t="shared" si="9"/>
        <v>1.8203599999999973</v>
      </c>
      <c r="AK16" s="2">
        <f t="shared" si="3"/>
        <v>0</v>
      </c>
      <c r="AL16" s="2">
        <f t="shared" si="10"/>
        <v>1.8203599999999973</v>
      </c>
      <c r="AM16" s="2"/>
    </row>
    <row r="17" spans="1:39" x14ac:dyDescent="0.3">
      <c r="A17">
        <f t="shared" si="0"/>
        <v>0</v>
      </c>
      <c r="B17" s="2">
        <f t="shared" si="4"/>
        <v>15.280599999641709</v>
      </c>
      <c r="C17" s="2" t="e">
        <f t="shared" si="11"/>
        <v>#VALUE!</v>
      </c>
      <c r="D17" s="2">
        <f t="shared" si="5"/>
        <v>0.13464969999995446</v>
      </c>
      <c r="E17" s="2"/>
      <c r="F17">
        <v>2905.7381796999998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>
        <v>0</v>
      </c>
      <c r="O17">
        <v>0</v>
      </c>
      <c r="P17">
        <v>0</v>
      </c>
      <c r="Q17">
        <v>0</v>
      </c>
      <c r="R17">
        <v>1.0715599060058501E-2</v>
      </c>
      <c r="S17">
        <v>6.9175130128860398E-4</v>
      </c>
      <c r="T17">
        <v>0</v>
      </c>
      <c r="U17" s="7">
        <v>166.46199999999999</v>
      </c>
      <c r="V17" s="7">
        <v>7.6999999999999999E-2</v>
      </c>
      <c r="W17" s="7">
        <v>1.9E-2</v>
      </c>
      <c r="X17" s="7">
        <v>0.71599999999999997</v>
      </c>
      <c r="Y17" t="b">
        <v>1</v>
      </c>
      <c r="Z17">
        <v>80</v>
      </c>
      <c r="AA17">
        <f t="shared" si="1"/>
        <v>1.07155990600585</v>
      </c>
      <c r="AB17">
        <f t="shared" si="6"/>
        <v>43.051730361199688</v>
      </c>
      <c r="AC17" t="e">
        <f t="shared" si="7"/>
        <v>#VALUE!</v>
      </c>
      <c r="AE17" s="2">
        <f t="shared" si="8"/>
        <v>3.0648699999801465E-2</v>
      </c>
      <c r="AF17" s="2">
        <f t="shared" si="2"/>
        <v>0.32772759999988921</v>
      </c>
      <c r="AG17">
        <v>2910.3260034999998</v>
      </c>
      <c r="AH17">
        <v>181.25729142857099</v>
      </c>
      <c r="AI17">
        <v>27.949022857142801</v>
      </c>
      <c r="AJ17" s="2">
        <f t="shared" si="9"/>
        <v>1.3092399999999991</v>
      </c>
      <c r="AK17" s="2">
        <f t="shared" si="3"/>
        <v>0</v>
      </c>
      <c r="AL17" s="2">
        <f t="shared" si="10"/>
        <v>1.3092399999999991</v>
      </c>
      <c r="AM17" s="2"/>
    </row>
    <row r="18" spans="1:39" x14ac:dyDescent="0.3">
      <c r="A18">
        <f t="shared" si="0"/>
        <v>0</v>
      </c>
      <c r="B18" s="2">
        <f t="shared" si="4"/>
        <v>15.859300000101939</v>
      </c>
      <c r="C18" s="2" t="e">
        <f t="shared" si="11"/>
        <v>#VALUE!</v>
      </c>
      <c r="D18" s="2">
        <f t="shared" si="5"/>
        <v>0.1505090000000564</v>
      </c>
      <c r="E18" s="2"/>
      <c r="F18">
        <v>2905.7540389999999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>
        <v>0</v>
      </c>
      <c r="O18">
        <v>0</v>
      </c>
      <c r="P18">
        <v>0</v>
      </c>
      <c r="Q18">
        <v>0</v>
      </c>
      <c r="R18">
        <v>1.0715599060058501E-2</v>
      </c>
      <c r="S18">
        <v>6.9175130128860398E-4</v>
      </c>
      <c r="T18">
        <v>0</v>
      </c>
      <c r="U18" s="7">
        <v>166.46199999999999</v>
      </c>
      <c r="V18" s="7">
        <v>7.6999999999999999E-2</v>
      </c>
      <c r="W18" s="7">
        <v>1.9E-2</v>
      </c>
      <c r="X18" s="7">
        <v>0.71599999999999997</v>
      </c>
      <c r="Y18" t="b">
        <v>1</v>
      </c>
      <c r="Z18">
        <v>80</v>
      </c>
      <c r="AA18">
        <f t="shared" si="1"/>
        <v>1.07155990600585</v>
      </c>
      <c r="AB18">
        <f t="shared" si="6"/>
        <v>43.068724551217116</v>
      </c>
      <c r="AC18" t="e">
        <f t="shared" si="7"/>
        <v>#VALUE!</v>
      </c>
      <c r="AE18" s="2">
        <f t="shared" si="8"/>
        <v>3.1540100000256643E-2</v>
      </c>
      <c r="AF18" s="2">
        <f t="shared" si="2"/>
        <v>0.35926770000014585</v>
      </c>
      <c r="AG18">
        <v>2910.3575436000001</v>
      </c>
      <c r="AH18">
        <v>180.988851428571</v>
      </c>
      <c r="AI18">
        <v>27.427422857142801</v>
      </c>
      <c r="AJ18" s="2">
        <f t="shared" si="9"/>
        <v>0.78763999999999967</v>
      </c>
      <c r="AK18" s="2">
        <f t="shared" si="3"/>
        <v>0</v>
      </c>
      <c r="AL18" s="2">
        <f t="shared" si="10"/>
        <v>0.78763999999999967</v>
      </c>
      <c r="AM18" s="2"/>
    </row>
    <row r="19" spans="1:39" x14ac:dyDescent="0.3">
      <c r="A19">
        <f t="shared" si="0"/>
        <v>0</v>
      </c>
      <c r="B19" s="2">
        <f t="shared" si="4"/>
        <v>15.758399999867834</v>
      </c>
      <c r="C19" s="2" t="e">
        <f t="shared" si="11"/>
        <v>#VALUE!</v>
      </c>
      <c r="D19" s="2">
        <f t="shared" si="5"/>
        <v>0.16626739999992424</v>
      </c>
      <c r="E19" s="2"/>
      <c r="F19">
        <v>2905.7697973999998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>
        <v>0</v>
      </c>
      <c r="O19">
        <v>0</v>
      </c>
      <c r="P19">
        <v>0</v>
      </c>
      <c r="Q19">
        <v>0</v>
      </c>
      <c r="R19">
        <v>1.0715599060058501E-2</v>
      </c>
      <c r="S19">
        <v>6.9175130128860398E-4</v>
      </c>
      <c r="T19">
        <v>0</v>
      </c>
      <c r="U19" s="7">
        <v>166.46199999999999</v>
      </c>
      <c r="V19" s="7">
        <v>7.6999999999999999E-2</v>
      </c>
      <c r="W19" s="7">
        <v>1.9E-2</v>
      </c>
      <c r="X19" s="7">
        <v>0.71599999999999997</v>
      </c>
      <c r="Y19" t="b">
        <v>1</v>
      </c>
      <c r="Z19">
        <v>80</v>
      </c>
      <c r="AA19">
        <f t="shared" si="1"/>
        <v>1.07155990600585</v>
      </c>
      <c r="AB19">
        <f t="shared" si="6"/>
        <v>43.08561062083978</v>
      </c>
      <c r="AC19" t="e">
        <f t="shared" si="7"/>
        <v>#VALUE!</v>
      </c>
      <c r="AE19" s="2">
        <f t="shared" si="8"/>
        <v>3.1264799999917159E-2</v>
      </c>
      <c r="AF19" s="2">
        <f t="shared" si="2"/>
        <v>0.39053250000006301</v>
      </c>
      <c r="AG19">
        <v>2910.3888084</v>
      </c>
      <c r="AH19">
        <v>180.720411428571</v>
      </c>
      <c r="AI19">
        <v>26.884862857142799</v>
      </c>
      <c r="AJ19" s="2">
        <f t="shared" si="9"/>
        <v>0.24507999999999797</v>
      </c>
      <c r="AK19" s="2">
        <f t="shared" si="3"/>
        <v>0</v>
      </c>
      <c r="AL19" s="2">
        <f t="shared" si="10"/>
        <v>0.24507999999999797</v>
      </c>
      <c r="AM19" s="2"/>
    </row>
    <row r="20" spans="1:39" x14ac:dyDescent="0.3">
      <c r="A20">
        <f t="shared" si="0"/>
        <v>0</v>
      </c>
      <c r="B20" s="2">
        <f t="shared" si="4"/>
        <v>15.373900000213325</v>
      </c>
      <c r="C20" s="2" t="e">
        <f t="shared" si="11"/>
        <v>#VALUE!</v>
      </c>
      <c r="D20" s="2">
        <f t="shared" si="5"/>
        <v>0.18164130000013756</v>
      </c>
      <c r="E20" s="2"/>
      <c r="F20">
        <v>2905.7851713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>
        <v>0</v>
      </c>
      <c r="O20">
        <v>0</v>
      </c>
      <c r="P20">
        <v>0</v>
      </c>
      <c r="Q20">
        <v>0</v>
      </c>
      <c r="R20">
        <v>1.0715599060058501E-2</v>
      </c>
      <c r="S20">
        <v>6.9175130128860398E-4</v>
      </c>
      <c r="T20">
        <v>0</v>
      </c>
      <c r="U20" s="7">
        <v>166.46199999999999</v>
      </c>
      <c r="V20" s="7">
        <v>7.6999999999999999E-2</v>
      </c>
      <c r="W20" s="7">
        <v>1.9E-2</v>
      </c>
      <c r="X20" s="7">
        <v>0.71599999999999997</v>
      </c>
      <c r="Y20" t="b">
        <v>1</v>
      </c>
      <c r="Z20">
        <v>80</v>
      </c>
      <c r="AA20">
        <f t="shared" si="1"/>
        <v>1.07155990600585</v>
      </c>
      <c r="AB20">
        <f t="shared" si="6"/>
        <v>43.102084675678952</v>
      </c>
      <c r="AC20" t="e">
        <f t="shared" si="7"/>
        <v>#VALUE!</v>
      </c>
      <c r="AE20" s="2">
        <f t="shared" si="8"/>
        <v>3.1596599999829778E-2</v>
      </c>
      <c r="AF20" s="2">
        <f t="shared" si="2"/>
        <v>0.42212909999989279</v>
      </c>
      <c r="AG20">
        <v>2910.4204049999998</v>
      </c>
      <c r="AH20">
        <v>180.459051428571</v>
      </c>
      <c r="AI20">
        <v>26.639782857142801</v>
      </c>
      <c r="AJ20" s="2">
        <f t="shared" si="9"/>
        <v>0</v>
      </c>
      <c r="AK20" s="2">
        <f t="shared" si="3"/>
        <v>0</v>
      </c>
      <c r="AL20" s="2">
        <f t="shared" si="10"/>
        <v>0</v>
      </c>
      <c r="AM20" s="2"/>
    </row>
    <row r="21" spans="1:39" x14ac:dyDescent="0.3">
      <c r="A21">
        <f t="shared" si="0"/>
        <v>0</v>
      </c>
      <c r="B21" s="2">
        <f t="shared" si="4"/>
        <v>16.109400000004825</v>
      </c>
      <c r="C21" s="2" t="e">
        <f t="shared" si="11"/>
        <v>#VALUE!</v>
      </c>
      <c r="D21" s="2">
        <f t="shared" si="5"/>
        <v>0.19775070000014239</v>
      </c>
      <c r="E21" s="2"/>
      <c r="F21">
        <v>2905.8012807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>
        <v>0</v>
      </c>
      <c r="O21">
        <v>0</v>
      </c>
      <c r="P21">
        <v>0</v>
      </c>
      <c r="Q21">
        <v>0</v>
      </c>
      <c r="R21">
        <v>-5.1194324493408203E-2</v>
      </c>
      <c r="S21">
        <v>-5.8014214038848801E-4</v>
      </c>
      <c r="T21">
        <v>0</v>
      </c>
      <c r="U21" s="7">
        <v>166.31800000000001</v>
      </c>
      <c r="V21" s="7">
        <v>0.85499999999999998</v>
      </c>
      <c r="W21" s="7">
        <v>0.47799999999999998</v>
      </c>
      <c r="X21" s="7">
        <v>0.71299999999999997</v>
      </c>
      <c r="Y21" t="b">
        <v>1</v>
      </c>
      <c r="Z21">
        <v>80</v>
      </c>
      <c r="AA21">
        <f t="shared" si="1"/>
        <v>-5.1194324493408203</v>
      </c>
      <c r="AB21">
        <f t="shared" si="6"/>
        <v>43.11934686282877</v>
      </c>
      <c r="AC21" t="e">
        <f t="shared" si="7"/>
        <v>#VALUE!</v>
      </c>
      <c r="AE21" s="2">
        <f t="shared" si="8"/>
        <v>3.1192299999929674E-2</v>
      </c>
      <c r="AF21" s="2">
        <f t="shared" si="2"/>
        <v>0.45332139999982246</v>
      </c>
      <c r="AG21">
        <v>2910.4515972999998</v>
      </c>
      <c r="AH21">
        <v>180.22505142857099</v>
      </c>
      <c r="AI21">
        <v>26.843542857142801</v>
      </c>
      <c r="AJ21" s="2">
        <f t="shared" si="9"/>
        <v>0.20375999999999905</v>
      </c>
      <c r="AK21" s="2">
        <f t="shared" si="3"/>
        <v>0</v>
      </c>
      <c r="AL21" s="2">
        <f t="shared" si="10"/>
        <v>0.20375999999999905</v>
      </c>
      <c r="AM21" s="2"/>
    </row>
    <row r="22" spans="1:39" x14ac:dyDescent="0.3">
      <c r="A22">
        <f t="shared" si="0"/>
        <v>0</v>
      </c>
      <c r="B22" s="2">
        <f t="shared" si="4"/>
        <v>15.881899999840243</v>
      </c>
      <c r="C22" s="2" t="e">
        <f t="shared" si="11"/>
        <v>#VALUE!</v>
      </c>
      <c r="D22" s="2">
        <f t="shared" si="5"/>
        <v>0.21363259999998263</v>
      </c>
      <c r="E22" s="2"/>
      <c r="F22">
        <v>2905.8171625999998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>
        <v>0</v>
      </c>
      <c r="O22">
        <v>0</v>
      </c>
      <c r="P22">
        <v>0</v>
      </c>
      <c r="Q22">
        <v>0</v>
      </c>
      <c r="R22">
        <v>-5.1194324493408203E-2</v>
      </c>
      <c r="S22">
        <v>-5.8014214038848801E-4</v>
      </c>
      <c r="T22">
        <v>0</v>
      </c>
      <c r="U22" s="7">
        <v>166.31800000000001</v>
      </c>
      <c r="V22" s="7">
        <v>0.85499999999999998</v>
      </c>
      <c r="W22" s="7">
        <v>0.47799999999999998</v>
      </c>
      <c r="X22" s="7">
        <v>0.71299999999999997</v>
      </c>
      <c r="Y22" t="b">
        <v>1</v>
      </c>
      <c r="Z22">
        <v>80</v>
      </c>
      <c r="AA22">
        <f t="shared" si="1"/>
        <v>-5.1194324493408203</v>
      </c>
      <c r="AB22">
        <f t="shared" si="6"/>
        <v>43.0380405486124</v>
      </c>
      <c r="AC22" t="e">
        <f t="shared" si="7"/>
        <v>#VALUE!</v>
      </c>
      <c r="AE22" s="2">
        <f t="shared" si="8"/>
        <v>4.6713900000213471E-2</v>
      </c>
      <c r="AF22" s="2">
        <f t="shared" si="2"/>
        <v>0.50003530000003593</v>
      </c>
      <c r="AG22">
        <v>2910.4983112</v>
      </c>
      <c r="AH22">
        <v>180.015651428571</v>
      </c>
      <c r="AI22">
        <v>27.0158628571428</v>
      </c>
      <c r="AJ22" s="2">
        <f t="shared" si="9"/>
        <v>0.37607999999999819</v>
      </c>
      <c r="AK22" s="2">
        <f t="shared" si="3"/>
        <v>0</v>
      </c>
      <c r="AL22" s="2">
        <f t="shared" si="10"/>
        <v>0.37607999999999819</v>
      </c>
      <c r="AM22" s="2"/>
    </row>
    <row r="23" spans="1:39" x14ac:dyDescent="0.3">
      <c r="A23">
        <f t="shared" si="0"/>
        <v>0</v>
      </c>
      <c r="B23" s="2">
        <f t="shared" si="4"/>
        <v>4.0628000001561304</v>
      </c>
      <c r="C23" s="2" t="e">
        <f t="shared" si="11"/>
        <v>#VALUE!</v>
      </c>
      <c r="D23" s="2">
        <f t="shared" si="5"/>
        <v>0.21769540000013876</v>
      </c>
      <c r="E23" s="2"/>
      <c r="F23">
        <v>2905.8212254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>
        <v>0</v>
      </c>
      <c r="O23">
        <v>0</v>
      </c>
      <c r="P23">
        <v>0</v>
      </c>
      <c r="Q23">
        <v>0</v>
      </c>
      <c r="R23">
        <v>-5.1194324493408203E-2</v>
      </c>
      <c r="S23">
        <v>-5.8014214038848801E-4</v>
      </c>
      <c r="T23">
        <v>0</v>
      </c>
      <c r="U23" s="7">
        <v>166.31800000000001</v>
      </c>
      <c r="V23" s="7">
        <v>0.85499999999999998</v>
      </c>
      <c r="W23" s="7">
        <v>0.47799999999999998</v>
      </c>
      <c r="X23" s="7">
        <v>0.71299999999999997</v>
      </c>
      <c r="Y23" t="b">
        <v>1</v>
      </c>
      <c r="Z23">
        <v>80</v>
      </c>
      <c r="AA23">
        <f t="shared" si="1"/>
        <v>-5.1194324493408203</v>
      </c>
      <c r="AB23">
        <f t="shared" si="6"/>
        <v>43.017241318456421</v>
      </c>
      <c r="AC23" t="e">
        <f t="shared" si="7"/>
        <v>#VALUE!</v>
      </c>
      <c r="AE23" s="2">
        <f t="shared" si="8"/>
        <v>2.9869299999973009E-2</v>
      </c>
      <c r="AF23" s="2">
        <f t="shared" si="2"/>
        <v>0.52990460000000894</v>
      </c>
      <c r="AG23">
        <v>2910.5281805</v>
      </c>
      <c r="AH23">
        <v>179.83577142857101</v>
      </c>
      <c r="AI23">
        <v>27.156742857142799</v>
      </c>
      <c r="AJ23" s="2">
        <f t="shared" si="9"/>
        <v>0.51695999999999742</v>
      </c>
      <c r="AK23" s="2">
        <f t="shared" si="3"/>
        <v>0</v>
      </c>
      <c r="AL23" s="2">
        <f t="shared" si="10"/>
        <v>0.51695999999999742</v>
      </c>
      <c r="AM23" s="2"/>
    </row>
    <row r="24" spans="1:39" x14ac:dyDescent="0.3">
      <c r="A24">
        <f t="shared" si="0"/>
        <v>0</v>
      </c>
      <c r="B24" s="2">
        <f t="shared" si="4"/>
        <v>11.929700000109733</v>
      </c>
      <c r="C24" s="2" t="e">
        <f t="shared" si="11"/>
        <v>#VALUE!</v>
      </c>
      <c r="D24" s="2">
        <f t="shared" si="5"/>
        <v>0.22962510000024849</v>
      </c>
      <c r="E24" s="2"/>
      <c r="F24">
        <v>2905.8331551000001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>
        <v>0</v>
      </c>
      <c r="O24">
        <v>0</v>
      </c>
      <c r="P24">
        <v>0</v>
      </c>
      <c r="Q24">
        <v>0</v>
      </c>
      <c r="R24">
        <v>-5.1194324493408203E-2</v>
      </c>
      <c r="S24">
        <v>-5.8014214038848801E-4</v>
      </c>
      <c r="T24">
        <v>0</v>
      </c>
      <c r="U24" s="7">
        <v>166.31800000000001</v>
      </c>
      <c r="V24" s="7">
        <v>0.85499999999999998</v>
      </c>
      <c r="W24" s="7">
        <v>0.47799999999999998</v>
      </c>
      <c r="X24" s="7">
        <v>0.71299999999999997</v>
      </c>
      <c r="Y24" t="b">
        <v>1</v>
      </c>
      <c r="Z24">
        <v>80</v>
      </c>
      <c r="AA24">
        <f t="shared" si="1"/>
        <v>-5.1194324493408203</v>
      </c>
      <c r="AB24">
        <f t="shared" si="6"/>
        <v>42.956168025164956</v>
      </c>
      <c r="AC24" t="e">
        <f t="shared" si="7"/>
        <v>#VALUE!</v>
      </c>
      <c r="AE24" s="2">
        <f t="shared" si="8"/>
        <v>3.1206099999963044E-2</v>
      </c>
      <c r="AF24" s="2">
        <f t="shared" si="2"/>
        <v>0.56111069999997198</v>
      </c>
      <c r="AG24">
        <v>2910.5593865999999</v>
      </c>
      <c r="AH24">
        <v>179.675571428571</v>
      </c>
      <c r="AI24">
        <v>27.271422857142799</v>
      </c>
      <c r="AJ24" s="2">
        <f t="shared" si="9"/>
        <v>0.63163999999999731</v>
      </c>
      <c r="AK24" s="2">
        <f t="shared" si="3"/>
        <v>0</v>
      </c>
      <c r="AL24" s="2">
        <f t="shared" si="10"/>
        <v>0.63163999999999731</v>
      </c>
      <c r="AM24" s="2"/>
    </row>
    <row r="25" spans="1:39" x14ac:dyDescent="0.3">
      <c r="A25">
        <f t="shared" si="0"/>
        <v>0</v>
      </c>
      <c r="B25" s="2">
        <f t="shared" si="4"/>
        <v>16.090999999960331</v>
      </c>
      <c r="C25" s="2" t="e">
        <f t="shared" si="11"/>
        <v>#VALUE!</v>
      </c>
      <c r="D25" s="2">
        <f t="shared" si="5"/>
        <v>0.24571610000020883</v>
      </c>
      <c r="E25" s="2"/>
      <c r="F25">
        <v>2905.8492461000001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>
        <v>0</v>
      </c>
      <c r="O25">
        <v>0</v>
      </c>
      <c r="P25">
        <v>0</v>
      </c>
      <c r="Q25">
        <v>0</v>
      </c>
      <c r="R25">
        <v>-5.1194324493408203E-2</v>
      </c>
      <c r="S25">
        <v>-5.8014214038848801E-4</v>
      </c>
      <c r="T25">
        <v>0</v>
      </c>
      <c r="U25" s="7">
        <v>166.31800000000001</v>
      </c>
      <c r="V25" s="7">
        <v>0.85499999999999998</v>
      </c>
      <c r="W25" s="7">
        <v>0.47799999999999998</v>
      </c>
      <c r="X25" s="7">
        <v>0.71299999999999997</v>
      </c>
      <c r="Y25" t="b">
        <v>1</v>
      </c>
      <c r="Z25">
        <v>80</v>
      </c>
      <c r="AA25">
        <f t="shared" si="1"/>
        <v>-5.1194324493408203</v>
      </c>
      <c r="AB25">
        <f t="shared" si="6"/>
        <v>42.873791237622818</v>
      </c>
      <c r="AC25" t="e">
        <f t="shared" si="7"/>
        <v>#VALUE!</v>
      </c>
      <c r="AE25" s="2">
        <f t="shared" si="8"/>
        <v>3.0995800000255258E-2</v>
      </c>
      <c r="AF25" s="2">
        <f t="shared" si="2"/>
        <v>0.59210650000022724</v>
      </c>
      <c r="AG25">
        <v>2910.5903824000002</v>
      </c>
      <c r="AH25">
        <v>179.520291428571</v>
      </c>
      <c r="AI25">
        <v>27.3651428571428</v>
      </c>
      <c r="AJ25" s="2">
        <f t="shared" si="9"/>
        <v>0.72535999999999845</v>
      </c>
      <c r="AK25" s="2">
        <f t="shared" si="3"/>
        <v>0</v>
      </c>
      <c r="AL25" s="2">
        <f t="shared" si="10"/>
        <v>0.72535999999999845</v>
      </c>
      <c r="AM25" s="2"/>
    </row>
    <row r="26" spans="1:39" x14ac:dyDescent="0.3">
      <c r="A26">
        <f t="shared" si="0"/>
        <v>0</v>
      </c>
      <c r="B26" s="2">
        <f t="shared" si="4"/>
        <v>15.444900000147754</v>
      </c>
      <c r="C26" s="2" t="e">
        <f t="shared" si="11"/>
        <v>#VALUE!</v>
      </c>
      <c r="D26" s="2">
        <f t="shared" si="5"/>
        <v>0.26116100000035658</v>
      </c>
      <c r="E26" s="2"/>
      <c r="F26">
        <v>2905.8646910000002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>
        <v>0</v>
      </c>
      <c r="O26">
        <v>0</v>
      </c>
      <c r="P26">
        <v>0</v>
      </c>
      <c r="Q26">
        <v>0</v>
      </c>
      <c r="R26">
        <v>-1.6270414352416902E-2</v>
      </c>
      <c r="S26">
        <v>1.4095954895019501E-3</v>
      </c>
      <c r="T26">
        <v>0</v>
      </c>
      <c r="U26" s="7">
        <v>166.358</v>
      </c>
      <c r="V26" s="7">
        <v>1.06</v>
      </c>
      <c r="W26" s="7">
        <v>0.875</v>
      </c>
      <c r="X26" s="7">
        <v>0.71</v>
      </c>
      <c r="Y26" t="b">
        <v>1</v>
      </c>
      <c r="Z26">
        <v>80</v>
      </c>
      <c r="AA26">
        <f t="shared" si="1"/>
        <v>-1.6270414352416902</v>
      </c>
      <c r="AB26">
        <f t="shared" si="6"/>
        <v>42.794722115385241</v>
      </c>
      <c r="AC26" t="e">
        <f t="shared" si="7"/>
        <v>#VALUE!</v>
      </c>
      <c r="AE26" s="2">
        <f t="shared" si="8"/>
        <v>3.1780399999661313E-2</v>
      </c>
      <c r="AF26" s="2">
        <f t="shared" si="2"/>
        <v>0.62388689999988856</v>
      </c>
      <c r="AG26">
        <v>2910.6221627999998</v>
      </c>
      <c r="AH26">
        <v>179.37977142857099</v>
      </c>
      <c r="AI26">
        <v>27.437902857142799</v>
      </c>
      <c r="AJ26" s="2">
        <f t="shared" si="9"/>
        <v>0.79811999999999728</v>
      </c>
      <c r="AK26" s="2">
        <f t="shared" si="3"/>
        <v>0</v>
      </c>
      <c r="AL26" s="2">
        <f t="shared" si="10"/>
        <v>0.79811999999999728</v>
      </c>
      <c r="AM26" s="2"/>
    </row>
    <row r="27" spans="1:39" x14ac:dyDescent="0.3">
      <c r="A27">
        <f t="shared" si="0"/>
        <v>0</v>
      </c>
      <c r="B27" s="2">
        <f t="shared" si="4"/>
        <v>15.315499999815074</v>
      </c>
      <c r="C27" s="2" t="e">
        <f t="shared" si="11"/>
        <v>#VALUE!</v>
      </c>
      <c r="D27" s="2">
        <f t="shared" si="5"/>
        <v>0.27647650000017165</v>
      </c>
      <c r="E27" s="2"/>
      <c r="F27">
        <v>2905.8800065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>
        <v>0</v>
      </c>
      <c r="O27">
        <v>0</v>
      </c>
      <c r="P27">
        <v>0</v>
      </c>
      <c r="Q27">
        <v>0</v>
      </c>
      <c r="R27">
        <v>-1.6270414352416902E-2</v>
      </c>
      <c r="S27">
        <v>1.4095954895019501E-3</v>
      </c>
      <c r="T27">
        <v>0</v>
      </c>
      <c r="U27" s="7">
        <v>166.358</v>
      </c>
      <c r="V27" s="7">
        <v>1.06</v>
      </c>
      <c r="W27" s="7">
        <v>0.875</v>
      </c>
      <c r="X27" s="7">
        <v>0.71</v>
      </c>
      <c r="Y27" t="b">
        <v>1</v>
      </c>
      <c r="Z27">
        <v>80</v>
      </c>
      <c r="AA27">
        <f t="shared" si="1"/>
        <v>-1.6270414352416902</v>
      </c>
      <c r="AB27">
        <f t="shared" si="6"/>
        <v>42.769803162284099</v>
      </c>
      <c r="AC27" t="e">
        <f t="shared" si="7"/>
        <v>#VALUE!</v>
      </c>
      <c r="AE27" s="2">
        <f t="shared" si="8"/>
        <v>3.1495600000198465E-2</v>
      </c>
      <c r="AF27" s="2">
        <f t="shared" si="2"/>
        <v>0.65538250000008702</v>
      </c>
      <c r="AG27">
        <v>2910.6536584</v>
      </c>
      <c r="AH27">
        <v>179.254011428571</v>
      </c>
      <c r="AI27">
        <v>27.5001828571428</v>
      </c>
      <c r="AJ27" s="2">
        <f t="shared" si="9"/>
        <v>0.8603999999999985</v>
      </c>
      <c r="AK27" s="2">
        <f t="shared" si="3"/>
        <v>0</v>
      </c>
      <c r="AL27" s="2">
        <f t="shared" si="10"/>
        <v>0.8603999999999985</v>
      </c>
      <c r="AM27" s="2"/>
    </row>
    <row r="28" spans="1:39" x14ac:dyDescent="0.3">
      <c r="A28">
        <f t="shared" si="0"/>
        <v>0</v>
      </c>
      <c r="B28" s="2">
        <f t="shared" si="4"/>
        <v>15.501100000165025</v>
      </c>
      <c r="C28" s="2" t="e">
        <f t="shared" si="11"/>
        <v>#VALUE!</v>
      </c>
      <c r="D28" s="2">
        <f t="shared" si="5"/>
        <v>0.29197760000033668</v>
      </c>
      <c r="E28" s="2"/>
      <c r="F28">
        <v>2905.8955076000002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>
        <v>0</v>
      </c>
      <c r="O28">
        <v>0</v>
      </c>
      <c r="P28">
        <v>0</v>
      </c>
      <c r="Q28">
        <v>0</v>
      </c>
      <c r="R28">
        <v>-1.6270414352416902E-2</v>
      </c>
      <c r="S28">
        <v>1.4095954895019501E-3</v>
      </c>
      <c r="T28">
        <v>0</v>
      </c>
      <c r="U28" s="7">
        <v>166.358</v>
      </c>
      <c r="V28" s="7">
        <v>1.06</v>
      </c>
      <c r="W28" s="7">
        <v>0.875</v>
      </c>
      <c r="X28" s="7">
        <v>0.71</v>
      </c>
      <c r="Y28" t="b">
        <v>1</v>
      </c>
      <c r="Z28">
        <v>80</v>
      </c>
      <c r="AA28">
        <f t="shared" si="1"/>
        <v>-1.6270414352416902</v>
      </c>
      <c r="AB28">
        <f t="shared" si="6"/>
        <v>42.744582230292004</v>
      </c>
      <c r="AC28" t="e">
        <f t="shared" si="7"/>
        <v>#VALUE!</v>
      </c>
      <c r="AE28" s="2">
        <f t="shared" si="8"/>
        <v>4.5998199999758071E-2</v>
      </c>
      <c r="AF28" s="2">
        <f t="shared" si="2"/>
        <v>0.70138069999984509</v>
      </c>
      <c r="AG28">
        <v>2910.6996565999998</v>
      </c>
      <c r="AH28">
        <v>179.15777142857101</v>
      </c>
      <c r="AI28">
        <v>27.562462857142801</v>
      </c>
      <c r="AJ28" s="2">
        <f t="shared" si="9"/>
        <v>0.92267999999999972</v>
      </c>
      <c r="AK28" s="2">
        <f t="shared" si="3"/>
        <v>0</v>
      </c>
      <c r="AL28" s="2">
        <f t="shared" si="10"/>
        <v>0.92267999999999972</v>
      </c>
      <c r="AM28" s="2"/>
    </row>
    <row r="29" spans="1:39" x14ac:dyDescent="0.3">
      <c r="A29">
        <f t="shared" si="0"/>
        <v>0</v>
      </c>
      <c r="B29" s="2">
        <f t="shared" si="4"/>
        <v>15.917799999897397</v>
      </c>
      <c r="C29" s="2" t="e">
        <f t="shared" si="11"/>
        <v>#VALUE!</v>
      </c>
      <c r="D29" s="2">
        <f t="shared" si="5"/>
        <v>0.30789540000023408</v>
      </c>
      <c r="E29" s="2"/>
      <c r="F29">
        <v>2905.9114254000001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>
        <v>0</v>
      </c>
      <c r="O29">
        <v>0</v>
      </c>
      <c r="P29">
        <v>0</v>
      </c>
      <c r="Q29">
        <v>0</v>
      </c>
      <c r="R29">
        <v>-1.6270414352416902E-2</v>
      </c>
      <c r="S29">
        <v>1.4095954895019501E-3</v>
      </c>
      <c r="T29">
        <v>0</v>
      </c>
      <c r="U29" s="7">
        <v>166.358</v>
      </c>
      <c r="V29" s="7">
        <v>1.06</v>
      </c>
      <c r="W29" s="7">
        <v>0.875</v>
      </c>
      <c r="X29" s="7">
        <v>0.71</v>
      </c>
      <c r="Y29" t="b">
        <v>1</v>
      </c>
      <c r="Z29">
        <v>80</v>
      </c>
      <c r="AA29">
        <f t="shared" si="1"/>
        <v>-1.6270414352416902</v>
      </c>
      <c r="AB29">
        <f t="shared" si="6"/>
        <v>42.718683310134281</v>
      </c>
      <c r="AC29" t="e">
        <f t="shared" si="7"/>
        <v>#VALUE!</v>
      </c>
      <c r="AE29" s="2">
        <f t="shared" si="8"/>
        <v>3.1545300000288989E-2</v>
      </c>
      <c r="AF29" s="2">
        <f t="shared" si="2"/>
        <v>0.73292600000013408</v>
      </c>
      <c r="AG29">
        <v>2910.7312019000001</v>
      </c>
      <c r="AH29">
        <v>179.12333142857099</v>
      </c>
      <c r="AI29">
        <v>27.739622857142798</v>
      </c>
      <c r="AJ29" s="2">
        <f t="shared" si="9"/>
        <v>1.0998399999999968</v>
      </c>
      <c r="AK29" s="2">
        <f t="shared" si="3"/>
        <v>0</v>
      </c>
      <c r="AL29" s="2">
        <f t="shared" si="10"/>
        <v>1.0998399999999968</v>
      </c>
      <c r="AM29" s="2"/>
    </row>
    <row r="30" spans="1:39" x14ac:dyDescent="0.3">
      <c r="A30">
        <f t="shared" si="0"/>
        <v>0</v>
      </c>
      <c r="B30" s="2">
        <f t="shared" si="4"/>
        <v>16.009299999950599</v>
      </c>
      <c r="C30" s="2" t="e">
        <f t="shared" si="11"/>
        <v>#VALUE!</v>
      </c>
      <c r="D30" s="2">
        <f t="shared" si="5"/>
        <v>0.32390470000018468</v>
      </c>
      <c r="E30" s="2"/>
      <c r="F30">
        <v>2905.9274347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>
        <v>0</v>
      </c>
      <c r="O30">
        <v>0</v>
      </c>
      <c r="P30">
        <v>0</v>
      </c>
      <c r="Q30">
        <v>0</v>
      </c>
      <c r="R30">
        <v>-6.4855308532714803E-2</v>
      </c>
      <c r="S30">
        <v>2.61332130432128E-2</v>
      </c>
      <c r="T30">
        <v>0</v>
      </c>
      <c r="U30" s="7">
        <v>166.333</v>
      </c>
      <c r="V30" s="7">
        <v>1.5940000000000001</v>
      </c>
      <c r="W30" s="7">
        <v>1.0820000000000001</v>
      </c>
      <c r="X30" s="7">
        <v>0.70399999999999996</v>
      </c>
      <c r="Y30" t="b">
        <v>1</v>
      </c>
      <c r="Z30">
        <v>79</v>
      </c>
      <c r="AA30">
        <f t="shared" si="1"/>
        <v>-6.4855308532714799</v>
      </c>
      <c r="AB30">
        <f t="shared" si="6"/>
        <v>42.692635515685147</v>
      </c>
      <c r="AC30" t="e">
        <f t="shared" si="7"/>
        <v>#VALUE!</v>
      </c>
      <c r="AE30" s="2">
        <f t="shared" si="8"/>
        <v>1.5319199999794364E-2</v>
      </c>
      <c r="AF30" s="2">
        <f t="shared" si="2"/>
        <v>0.74824519999992845</v>
      </c>
      <c r="AG30">
        <v>2910.7465210999999</v>
      </c>
      <c r="AH30">
        <v>179.12825142857099</v>
      </c>
      <c r="AI30">
        <v>27.916782857142799</v>
      </c>
      <c r="AJ30" s="2">
        <f t="shared" si="9"/>
        <v>1.2769999999999975</v>
      </c>
      <c r="AK30" s="2">
        <f t="shared" si="3"/>
        <v>0</v>
      </c>
      <c r="AL30" s="2">
        <f t="shared" si="10"/>
        <v>1.2769999999999975</v>
      </c>
      <c r="AM30" s="2"/>
    </row>
    <row r="31" spans="1:39" x14ac:dyDescent="0.3">
      <c r="A31">
        <f t="shared" si="0"/>
        <v>0</v>
      </c>
      <c r="B31" s="2">
        <f t="shared" si="4"/>
        <v>15.608300000167219</v>
      </c>
      <c r="C31" s="2" t="e">
        <f t="shared" si="11"/>
        <v>#VALUE!</v>
      </c>
      <c r="D31" s="2">
        <f t="shared" si="5"/>
        <v>0.33951300000035189</v>
      </c>
      <c r="E31" s="2"/>
      <c r="F31">
        <v>2905.9430430000002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>
        <v>0</v>
      </c>
      <c r="O31">
        <v>0</v>
      </c>
      <c r="P31">
        <v>0</v>
      </c>
      <c r="Q31">
        <v>0</v>
      </c>
      <c r="R31">
        <v>-6.4855308532714803E-2</v>
      </c>
      <c r="S31">
        <v>2.61332130432128E-2</v>
      </c>
      <c r="T31">
        <v>0</v>
      </c>
      <c r="U31" s="7">
        <v>166.333</v>
      </c>
      <c r="V31" s="7">
        <v>1.5940000000000001</v>
      </c>
      <c r="W31" s="7">
        <v>1.0820000000000001</v>
      </c>
      <c r="X31" s="7">
        <v>0.70399999999999996</v>
      </c>
      <c r="Y31" t="b">
        <v>1</v>
      </c>
      <c r="Z31">
        <v>79</v>
      </c>
      <c r="AA31">
        <f t="shared" si="1"/>
        <v>-6.4855308532714799</v>
      </c>
      <c r="AB31">
        <f t="shared" si="6"/>
        <v>42.591407404466942</v>
      </c>
      <c r="AC31" t="e">
        <f t="shared" si="7"/>
        <v>#VALUE!</v>
      </c>
      <c r="AE31" s="2">
        <f t="shared" si="8"/>
        <v>4.5740900000055262E-2</v>
      </c>
      <c r="AF31" s="2">
        <f t="shared" si="2"/>
        <v>0.79398609999998371</v>
      </c>
      <c r="AG31">
        <v>2910.7922619999999</v>
      </c>
      <c r="AH31">
        <v>179.192074285714</v>
      </c>
      <c r="AI31">
        <v>27.991068571428499</v>
      </c>
      <c r="AJ31" s="2">
        <f t="shared" si="9"/>
        <v>1.351285714285698</v>
      </c>
      <c r="AK31" s="2">
        <f t="shared" si="3"/>
        <v>0</v>
      </c>
      <c r="AL31" s="2">
        <f t="shared" si="10"/>
        <v>1.351285714285698</v>
      </c>
      <c r="AM31" s="2"/>
    </row>
    <row r="32" spans="1:39" x14ac:dyDescent="0.3">
      <c r="A32">
        <f t="shared" si="0"/>
        <v>0</v>
      </c>
      <c r="B32" s="2">
        <f t="shared" si="4"/>
        <v>16.503599999850849</v>
      </c>
      <c r="C32" s="2" t="e">
        <f t="shared" si="11"/>
        <v>#VALUE!</v>
      </c>
      <c r="D32" s="2">
        <f t="shared" si="5"/>
        <v>0.35601660000020274</v>
      </c>
      <c r="E32" s="2"/>
      <c r="F32">
        <v>2905.9595466000001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>
        <v>0</v>
      </c>
      <c r="O32">
        <v>0</v>
      </c>
      <c r="P32">
        <v>0</v>
      </c>
      <c r="Q32">
        <v>0</v>
      </c>
      <c r="R32">
        <v>-6.4855308532714803E-2</v>
      </c>
      <c r="S32">
        <v>2.61332130432128E-2</v>
      </c>
      <c r="T32">
        <v>0</v>
      </c>
      <c r="U32" s="7">
        <v>166.333</v>
      </c>
      <c r="V32" s="7">
        <v>1.5940000000000001</v>
      </c>
      <c r="W32" s="7">
        <v>1.0820000000000001</v>
      </c>
      <c r="X32" s="7">
        <v>0.70399999999999996</v>
      </c>
      <c r="Y32" t="b">
        <v>1</v>
      </c>
      <c r="Z32">
        <v>79</v>
      </c>
      <c r="AA32">
        <f t="shared" si="1"/>
        <v>-6.4855308532714799</v>
      </c>
      <c r="AB32">
        <f t="shared" si="6"/>
        <v>42.48437279747786</v>
      </c>
      <c r="AC32" t="e">
        <f t="shared" si="7"/>
        <v>#VALUE!</v>
      </c>
      <c r="AE32" s="2">
        <f t="shared" si="8"/>
        <v>1.5611700000135897E-2</v>
      </c>
      <c r="AF32" s="2">
        <f t="shared" si="2"/>
        <v>0.80959780000011961</v>
      </c>
      <c r="AG32">
        <v>2910.8078737000001</v>
      </c>
      <c r="AH32">
        <v>179.300177142857</v>
      </c>
      <c r="AI32">
        <v>28.081074285714202</v>
      </c>
      <c r="AJ32" s="2">
        <f t="shared" si="9"/>
        <v>1.4412914285714002</v>
      </c>
      <c r="AK32" s="2">
        <f t="shared" si="3"/>
        <v>0</v>
      </c>
      <c r="AL32" s="2">
        <f t="shared" si="10"/>
        <v>1.4412914285714002</v>
      </c>
      <c r="AM32" s="2"/>
    </row>
    <row r="33" spans="1:39" x14ac:dyDescent="0.3">
      <c r="A33">
        <f t="shared" si="0"/>
        <v>0</v>
      </c>
      <c r="B33" s="2">
        <f t="shared" si="4"/>
        <v>15.476399999897694</v>
      </c>
      <c r="C33" s="2" t="e">
        <f t="shared" si="11"/>
        <v>#VALUE!</v>
      </c>
      <c r="D33" s="2">
        <f t="shared" si="5"/>
        <v>0.37149300000010044</v>
      </c>
      <c r="E33" s="2"/>
      <c r="F33">
        <v>2905.975023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>
        <v>0</v>
      </c>
      <c r="O33">
        <v>0</v>
      </c>
      <c r="P33">
        <v>0</v>
      </c>
      <c r="Q33">
        <v>0</v>
      </c>
      <c r="R33">
        <v>-6.4855308532714803E-2</v>
      </c>
      <c r="S33">
        <v>2.61332130432128E-2</v>
      </c>
      <c r="T33">
        <v>0</v>
      </c>
      <c r="U33" s="7">
        <v>166.333</v>
      </c>
      <c r="V33" s="7">
        <v>1.5940000000000001</v>
      </c>
      <c r="W33" s="7">
        <v>1.0820000000000001</v>
      </c>
      <c r="X33" s="7">
        <v>0.70399999999999996</v>
      </c>
      <c r="Y33" t="b">
        <v>1</v>
      </c>
      <c r="Z33">
        <v>79</v>
      </c>
      <c r="AA33">
        <f t="shared" si="1"/>
        <v>-6.4855308532714799</v>
      </c>
      <c r="AB33">
        <f t="shared" si="6"/>
        <v>42.384000127780951</v>
      </c>
      <c r="AC33" t="e">
        <f t="shared" si="7"/>
        <v>#VALUE!</v>
      </c>
      <c r="AE33" s="2">
        <f t="shared" si="8"/>
        <v>3.0848200000036741E-2</v>
      </c>
      <c r="AF33" s="2">
        <f t="shared" si="2"/>
        <v>0.84044600000015635</v>
      </c>
      <c r="AG33">
        <v>2910.8387219000001</v>
      </c>
      <c r="AH33">
        <v>179.44750285714201</v>
      </c>
      <c r="AI33">
        <v>28.060114285714199</v>
      </c>
      <c r="AJ33" s="2">
        <f t="shared" si="9"/>
        <v>1.4203314285713979</v>
      </c>
      <c r="AK33" s="2">
        <f t="shared" si="3"/>
        <v>0</v>
      </c>
      <c r="AL33" s="2">
        <f t="shared" si="10"/>
        <v>1.4203314285713979</v>
      </c>
      <c r="AM33" s="2"/>
    </row>
    <row r="34" spans="1:39" x14ac:dyDescent="0.3">
      <c r="A34">
        <f t="shared" si="0"/>
        <v>0</v>
      </c>
      <c r="B34" s="2">
        <f t="shared" si="4"/>
        <v>15.813399999842659</v>
      </c>
      <c r="C34" s="2" t="e">
        <f t="shared" si="11"/>
        <v>#VALUE!</v>
      </c>
      <c r="D34" s="2">
        <f t="shared" si="5"/>
        <v>0.3873063999999431</v>
      </c>
      <c r="E34" s="2"/>
      <c r="F34">
        <v>2905.9908363999998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>
        <v>0</v>
      </c>
      <c r="O34">
        <v>0</v>
      </c>
      <c r="P34">
        <v>0</v>
      </c>
      <c r="Q34">
        <v>0</v>
      </c>
      <c r="R34">
        <v>-0.13569862365722599</v>
      </c>
      <c r="S34">
        <v>1.65967321395874E-3</v>
      </c>
      <c r="T34">
        <v>0</v>
      </c>
      <c r="U34" s="7">
        <v>166.09700000000001</v>
      </c>
      <c r="V34" s="7">
        <v>1.7569999999999999</v>
      </c>
      <c r="W34" s="7">
        <v>0.89300000000000002</v>
      </c>
      <c r="X34" s="7">
        <v>0.69899999999999995</v>
      </c>
      <c r="Y34" t="b">
        <v>1</v>
      </c>
      <c r="Z34">
        <v>79</v>
      </c>
      <c r="AA34">
        <f t="shared" si="1"/>
        <v>-13.569862365722599</v>
      </c>
      <c r="AB34">
        <f t="shared" si="6"/>
        <v>42.28144183418685</v>
      </c>
      <c r="AC34" t="e">
        <f t="shared" si="7"/>
        <v>#VALUE!</v>
      </c>
      <c r="AE34" s="2">
        <f t="shared" si="8"/>
        <v>3.1234699999913573E-2</v>
      </c>
      <c r="AF34" s="2">
        <f t="shared" si="2"/>
        <v>0.87168070000006992</v>
      </c>
      <c r="AG34">
        <v>2910.8699566</v>
      </c>
      <c r="AH34">
        <v>179.640702857142</v>
      </c>
      <c r="AI34">
        <v>28.070594285714201</v>
      </c>
      <c r="AJ34" s="2">
        <f t="shared" si="9"/>
        <v>1.4308114285713991</v>
      </c>
      <c r="AK34" s="2">
        <f t="shared" si="3"/>
        <v>0</v>
      </c>
      <c r="AL34" s="2">
        <f t="shared" si="10"/>
        <v>1.4308114285713991</v>
      </c>
      <c r="AM34" s="2"/>
    </row>
    <row r="35" spans="1:39" x14ac:dyDescent="0.3">
      <c r="A35">
        <f t="shared" si="0"/>
        <v>0</v>
      </c>
      <c r="B35" s="2">
        <f t="shared" si="4"/>
        <v>16.158200000063516</v>
      </c>
      <c r="C35" s="2" t="e">
        <f t="shared" si="11"/>
        <v>#VALUE!</v>
      </c>
      <c r="D35" s="2">
        <f t="shared" si="5"/>
        <v>0.40346460000000661</v>
      </c>
      <c r="E35" s="2"/>
      <c r="F35">
        <v>2906.0069945999999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>
        <v>0</v>
      </c>
      <c r="O35">
        <v>0</v>
      </c>
      <c r="P35">
        <v>0</v>
      </c>
      <c r="Q35">
        <v>0</v>
      </c>
      <c r="R35">
        <v>-0.13569862365722599</v>
      </c>
      <c r="S35">
        <v>1.65967321395874E-3</v>
      </c>
      <c r="T35">
        <v>0</v>
      </c>
      <c r="U35" s="7">
        <v>166.09700000000001</v>
      </c>
      <c r="V35" s="7">
        <v>1.7569999999999999</v>
      </c>
      <c r="W35" s="7">
        <v>0.89300000000000002</v>
      </c>
      <c r="X35" s="7">
        <v>0.69899999999999995</v>
      </c>
      <c r="Y35" t="b">
        <v>1</v>
      </c>
      <c r="Z35">
        <v>79</v>
      </c>
      <c r="AA35">
        <f t="shared" si="1"/>
        <v>-13.569862365722599</v>
      </c>
      <c r="AB35">
        <f t="shared" si="6"/>
        <v>42.062177284108166</v>
      </c>
      <c r="AC35" t="e">
        <f t="shared" si="7"/>
        <v>#VALUE!</v>
      </c>
      <c r="AE35" s="2">
        <f t="shared" si="8"/>
        <v>4.7367499999836582E-2</v>
      </c>
      <c r="AF35" s="2">
        <f t="shared" si="2"/>
        <v>0.9190481999999065</v>
      </c>
      <c r="AG35">
        <v>2910.9173240999999</v>
      </c>
      <c r="AH35">
        <v>179.87818285714201</v>
      </c>
      <c r="AI35">
        <v>28.112514285714202</v>
      </c>
      <c r="AJ35" s="2">
        <f t="shared" si="9"/>
        <v>1.4727314285714002</v>
      </c>
      <c r="AK35" s="2">
        <f t="shared" si="3"/>
        <v>0</v>
      </c>
      <c r="AL35" s="2">
        <f t="shared" si="10"/>
        <v>1.4727314285714002</v>
      </c>
      <c r="AM35" s="2"/>
    </row>
    <row r="36" spans="1:39" x14ac:dyDescent="0.3">
      <c r="A36">
        <f t="shared" si="0"/>
        <v>0</v>
      </c>
      <c r="B36" s="2">
        <f t="shared" si="4"/>
        <v>14.697300000079849</v>
      </c>
      <c r="C36" s="2" t="e">
        <f t="shared" si="11"/>
        <v>#VALUE!</v>
      </c>
      <c r="D36" s="2">
        <f t="shared" si="5"/>
        <v>0.41816190000008646</v>
      </c>
      <c r="E36" s="2"/>
      <c r="F36">
        <v>2906.0216919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>
        <v>0</v>
      </c>
      <c r="O36">
        <v>0</v>
      </c>
      <c r="P36">
        <v>0</v>
      </c>
      <c r="Q36">
        <v>0</v>
      </c>
      <c r="R36">
        <v>-0.13569862365722599</v>
      </c>
      <c r="S36">
        <v>1.65967321395874E-3</v>
      </c>
      <c r="T36">
        <v>0</v>
      </c>
      <c r="U36" s="7">
        <v>166.09700000000001</v>
      </c>
      <c r="V36" s="7">
        <v>1.7569999999999999</v>
      </c>
      <c r="W36" s="7">
        <v>0.89300000000000002</v>
      </c>
      <c r="X36" s="7">
        <v>0.69899999999999995</v>
      </c>
      <c r="Y36" t="b">
        <v>1</v>
      </c>
      <c r="Z36">
        <v>79</v>
      </c>
      <c r="AA36">
        <f t="shared" si="1"/>
        <v>-13.569862365722599</v>
      </c>
      <c r="AB36">
        <f t="shared" si="6"/>
        <v>41.862736945959348</v>
      </c>
      <c r="AC36" t="e">
        <f t="shared" si="7"/>
        <v>#VALUE!</v>
      </c>
      <c r="AE36" s="2">
        <f t="shared" si="8"/>
        <v>3.1182000000171683E-2</v>
      </c>
      <c r="AF36" s="2">
        <f t="shared" si="2"/>
        <v>0.95023020000007818</v>
      </c>
      <c r="AG36">
        <v>2910.9485061</v>
      </c>
      <c r="AH36">
        <v>180.164862857142</v>
      </c>
      <c r="AI36">
        <v>28.180634285714198</v>
      </c>
      <c r="AJ36" s="2">
        <f t="shared" si="9"/>
        <v>1.540851428571397</v>
      </c>
      <c r="AK36" s="2">
        <f t="shared" si="3"/>
        <v>0</v>
      </c>
      <c r="AL36" s="2">
        <f t="shared" si="10"/>
        <v>1.540851428571397</v>
      </c>
      <c r="AM36" s="2"/>
    </row>
    <row r="37" spans="1:39" x14ac:dyDescent="0.3">
      <c r="A37">
        <f t="shared" si="0"/>
        <v>0</v>
      </c>
      <c r="B37" s="2">
        <f t="shared" si="4"/>
        <v>15.493599999899743</v>
      </c>
      <c r="C37" s="2" t="e">
        <f t="shared" si="11"/>
        <v>#VALUE!</v>
      </c>
      <c r="D37" s="2">
        <f t="shared" si="5"/>
        <v>0.4336554999999862</v>
      </c>
      <c r="E37" s="2"/>
      <c r="F37">
        <v>2906.0371854999999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>
        <v>0</v>
      </c>
      <c r="O37">
        <v>0</v>
      </c>
      <c r="P37">
        <v>0</v>
      </c>
      <c r="Q37">
        <v>0</v>
      </c>
      <c r="R37">
        <v>-0.13569862365722599</v>
      </c>
      <c r="S37">
        <v>1.65967321395874E-3</v>
      </c>
      <c r="T37">
        <v>0</v>
      </c>
      <c r="U37" s="7">
        <v>166.09700000000001</v>
      </c>
      <c r="V37" s="7">
        <v>1.7569999999999999</v>
      </c>
      <c r="W37" s="7">
        <v>0.89300000000000002</v>
      </c>
      <c r="X37" s="7">
        <v>0.69899999999999995</v>
      </c>
      <c r="Y37" t="b">
        <v>1</v>
      </c>
      <c r="Z37">
        <v>79</v>
      </c>
      <c r="AA37">
        <f t="shared" si="1"/>
        <v>-13.569862365722599</v>
      </c>
      <c r="AB37">
        <f t="shared" si="6"/>
        <v>41.652490926411147</v>
      </c>
      <c r="AC37" t="e">
        <f t="shared" si="7"/>
        <v>#VALUE!</v>
      </c>
      <c r="AE37" s="2">
        <f t="shared" si="8"/>
        <v>3.0733499999769265E-2</v>
      </c>
      <c r="AF37" s="2">
        <f t="shared" si="2"/>
        <v>0.98096369999984745</v>
      </c>
      <c r="AG37">
        <v>2910.9792395999998</v>
      </c>
      <c r="AH37">
        <v>180.48742285714201</v>
      </c>
      <c r="AI37">
        <v>28.1131142857142</v>
      </c>
      <c r="AJ37" s="2">
        <f t="shared" si="9"/>
        <v>1.4733314285713988</v>
      </c>
      <c r="AK37" s="2">
        <f t="shared" si="3"/>
        <v>0</v>
      </c>
      <c r="AL37" s="2">
        <f t="shared" si="10"/>
        <v>1.4733314285713988</v>
      </c>
      <c r="AM37" s="2"/>
    </row>
    <row r="38" spans="1:39" x14ac:dyDescent="0.3">
      <c r="A38">
        <f t="shared" si="0"/>
        <v>0</v>
      </c>
      <c r="B38" s="2">
        <f t="shared" si="4"/>
        <v>15.798100000210979</v>
      </c>
      <c r="C38" s="2" t="e">
        <f t="shared" si="11"/>
        <v>#VALUE!</v>
      </c>
      <c r="D38" s="2">
        <f t="shared" si="5"/>
        <v>0.44945360000019718</v>
      </c>
      <c r="E38" s="2"/>
      <c r="F38">
        <v>2906.0529836000001</v>
      </c>
      <c r="G38" t="s">
        <v>37</v>
      </c>
      <c r="H38" t="s">
        <v>37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>
        <v>0</v>
      </c>
      <c r="O38">
        <v>0</v>
      </c>
      <c r="P38">
        <v>0</v>
      </c>
      <c r="Q38">
        <v>0</v>
      </c>
      <c r="R38">
        <v>-0.15106326293945299</v>
      </c>
      <c r="S38">
        <v>1.51213254928588E-2</v>
      </c>
      <c r="T38">
        <v>0</v>
      </c>
      <c r="U38" s="7">
        <v>165.964</v>
      </c>
      <c r="V38" s="7">
        <v>0.99399999999999999</v>
      </c>
      <c r="W38" s="7">
        <v>0.65600000000000003</v>
      </c>
      <c r="X38" s="7">
        <v>0.69099999999999995</v>
      </c>
      <c r="Y38" t="b">
        <v>1</v>
      </c>
      <c r="Z38">
        <v>79</v>
      </c>
      <c r="AA38">
        <f t="shared" si="1"/>
        <v>-15.106326293945299</v>
      </c>
      <c r="AB38">
        <f t="shared" si="6"/>
        <v>41.438112883768362</v>
      </c>
      <c r="AC38" t="e">
        <f t="shared" si="7"/>
        <v>#VALUE!</v>
      </c>
      <c r="AE38" s="2">
        <f t="shared" si="8"/>
        <v>4.6512100000200007E-2</v>
      </c>
      <c r="AF38" s="2">
        <f t="shared" si="2"/>
        <v>1.0274758000000475</v>
      </c>
      <c r="AG38">
        <v>2911.0257517</v>
      </c>
      <c r="AH38">
        <v>180.869022857142</v>
      </c>
      <c r="AI38">
        <v>28.066554285714201</v>
      </c>
      <c r="AJ38" s="2">
        <f t="shared" si="9"/>
        <v>1.4267714285713993</v>
      </c>
      <c r="AK38" s="2">
        <f t="shared" si="3"/>
        <v>0</v>
      </c>
      <c r="AL38" s="2">
        <f t="shared" si="10"/>
        <v>1.4267714285713993</v>
      </c>
      <c r="AM38" s="2"/>
    </row>
    <row r="39" spans="1:39" x14ac:dyDescent="0.3">
      <c r="A39">
        <f t="shared" si="0"/>
        <v>0</v>
      </c>
      <c r="B39" s="2">
        <f t="shared" si="4"/>
        <v>15.205599999717379</v>
      </c>
      <c r="C39" s="2" t="e">
        <f t="shared" si="11"/>
        <v>#VALUE!</v>
      </c>
      <c r="D39" s="2">
        <f t="shared" si="5"/>
        <v>0.46465919999991456</v>
      </c>
      <c r="E39" s="2"/>
      <c r="F39">
        <v>2906.0681891999998</v>
      </c>
      <c r="G39" t="s">
        <v>37</v>
      </c>
      <c r="H39" t="s">
        <v>37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>
        <v>0</v>
      </c>
      <c r="O39">
        <v>0</v>
      </c>
      <c r="P39">
        <v>0</v>
      </c>
      <c r="Q39">
        <v>0</v>
      </c>
      <c r="R39">
        <v>-0.15106326293945299</v>
      </c>
      <c r="S39">
        <v>1.51213254928588E-2</v>
      </c>
      <c r="T39">
        <v>0</v>
      </c>
      <c r="U39" s="7">
        <v>165.964</v>
      </c>
      <c r="V39" s="7">
        <v>0.99399999999999999</v>
      </c>
      <c r="W39" s="7">
        <v>0.65600000000000003</v>
      </c>
      <c r="X39" s="7">
        <v>0.69099999999999995</v>
      </c>
      <c r="Y39" t="b">
        <v>1</v>
      </c>
      <c r="Z39">
        <v>79</v>
      </c>
      <c r="AA39">
        <f t="shared" si="1"/>
        <v>-15.106326293945299</v>
      </c>
      <c r="AB39">
        <f t="shared" si="6"/>
        <v>41.208412128677416</v>
      </c>
      <c r="AC39" t="e">
        <f t="shared" si="7"/>
        <v>#VALUE!</v>
      </c>
      <c r="AE39" s="2">
        <f t="shared" si="8"/>
        <v>1.590200000009645E-2</v>
      </c>
      <c r="AF39" s="2">
        <f t="shared" ref="AF39:AF70" si="12">AG39-$AG$7</f>
        <v>1.0433778000001439</v>
      </c>
      <c r="AG39">
        <v>2911.0416537000001</v>
      </c>
      <c r="AH39">
        <v>181.299685714285</v>
      </c>
      <c r="AI39">
        <v>27.932839999999999</v>
      </c>
      <c r="AJ39" s="2">
        <f t="shared" si="9"/>
        <v>1.2930571428571973</v>
      </c>
      <c r="AK39" s="2">
        <f t="shared" si="3"/>
        <v>0</v>
      </c>
      <c r="AL39" s="2">
        <f t="shared" si="10"/>
        <v>1.2930571428571973</v>
      </c>
      <c r="AM39" s="2"/>
    </row>
    <row r="40" spans="1:39" x14ac:dyDescent="0.3">
      <c r="A40">
        <f t="shared" si="0"/>
        <v>0</v>
      </c>
      <c r="B40" s="2">
        <f t="shared" si="4"/>
        <v>16.21530000011262</v>
      </c>
      <c r="C40" s="2" t="e">
        <f t="shared" si="11"/>
        <v>#VALUE!</v>
      </c>
      <c r="D40" s="2">
        <f t="shared" si="5"/>
        <v>0.48087450000002718</v>
      </c>
      <c r="E40" s="2"/>
      <c r="F40">
        <v>2906.0844044999999</v>
      </c>
      <c r="G40" t="s">
        <v>37</v>
      </c>
      <c r="H40" t="s">
        <v>37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>
        <v>0</v>
      </c>
      <c r="O40">
        <v>0</v>
      </c>
      <c r="P40">
        <v>0</v>
      </c>
      <c r="Q40">
        <v>0</v>
      </c>
      <c r="R40">
        <v>-0.15106326293945299</v>
      </c>
      <c r="S40">
        <v>1.51213254928588E-2</v>
      </c>
      <c r="T40">
        <v>0</v>
      </c>
      <c r="U40" s="7">
        <v>165.964</v>
      </c>
      <c r="V40" s="7">
        <v>0.99399999999999999</v>
      </c>
      <c r="W40" s="7">
        <v>0.65600000000000003</v>
      </c>
      <c r="X40" s="7">
        <v>0.69099999999999995</v>
      </c>
      <c r="Y40" t="b">
        <v>1</v>
      </c>
      <c r="Z40">
        <v>79</v>
      </c>
      <c r="AA40">
        <f t="shared" si="1"/>
        <v>-15.106326293945299</v>
      </c>
      <c r="AB40">
        <f t="shared" si="6"/>
        <v>40.963458515921502</v>
      </c>
      <c r="AC40" t="e">
        <f t="shared" si="7"/>
        <v>#VALUE!</v>
      </c>
      <c r="AE40" s="2">
        <f t="shared" ref="AE40:AE71" si="13">AG40-AG39</f>
        <v>3.0741099999886501E-2</v>
      </c>
      <c r="AF40" s="2">
        <f t="shared" si="12"/>
        <v>1.0741189000000304</v>
      </c>
      <c r="AG40">
        <v>2911.0723948</v>
      </c>
      <c r="AH40">
        <v>181.774628571428</v>
      </c>
      <c r="AI40">
        <v>27.809605714285698</v>
      </c>
      <c r="AJ40" s="2">
        <f t="shared" si="9"/>
        <v>1.169822857142897</v>
      </c>
      <c r="AK40" s="2">
        <f t="shared" si="3"/>
        <v>0</v>
      </c>
      <c r="AL40" s="2">
        <f t="shared" si="10"/>
        <v>1.169822857142897</v>
      </c>
      <c r="AM40" s="2"/>
    </row>
    <row r="41" spans="1:39" x14ac:dyDescent="0.3">
      <c r="A41">
        <f t="shared" si="0"/>
        <v>0</v>
      </c>
      <c r="B41" s="2">
        <f t="shared" si="4"/>
        <v>15.420100000028469</v>
      </c>
      <c r="C41" s="2" t="e">
        <f t="shared" si="11"/>
        <v>#VALUE!</v>
      </c>
      <c r="D41" s="2">
        <f t="shared" si="5"/>
        <v>0.49629460000005565</v>
      </c>
      <c r="E41" s="2"/>
      <c r="F41">
        <v>2906.0998245999999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>
        <v>0</v>
      </c>
      <c r="O41">
        <v>0</v>
      </c>
      <c r="P41">
        <v>0</v>
      </c>
      <c r="Q41">
        <v>0</v>
      </c>
      <c r="R41">
        <v>-0.15106326293945299</v>
      </c>
      <c r="S41">
        <v>1.51213254928588E-2</v>
      </c>
      <c r="T41">
        <v>0</v>
      </c>
      <c r="U41" s="7">
        <v>165.964</v>
      </c>
      <c r="V41" s="7">
        <v>0.99399999999999999</v>
      </c>
      <c r="W41" s="7">
        <v>0.65600000000000003</v>
      </c>
      <c r="X41" s="7">
        <v>0.69099999999999995</v>
      </c>
      <c r="Y41" t="b">
        <v>1</v>
      </c>
      <c r="Z41">
        <v>79</v>
      </c>
      <c r="AA41">
        <f t="shared" si="1"/>
        <v>-15.106326293945299</v>
      </c>
      <c r="AB41">
        <f t="shared" si="6"/>
        <v>40.730517453835809</v>
      </c>
      <c r="AC41" t="e">
        <f t="shared" si="7"/>
        <v>#VALUE!</v>
      </c>
      <c r="AE41" s="2">
        <f t="shared" si="13"/>
        <v>3.093669999998383E-2</v>
      </c>
      <c r="AF41" s="2">
        <f t="shared" si="12"/>
        <v>1.1050556000000142</v>
      </c>
      <c r="AG41">
        <v>2911.1033315</v>
      </c>
      <c r="AH41">
        <v>182.280548571428</v>
      </c>
      <c r="AI41">
        <v>27.815445714285701</v>
      </c>
      <c r="AJ41" s="2">
        <f t="shared" si="9"/>
        <v>1.1756628571428998</v>
      </c>
      <c r="AK41" s="2">
        <f t="shared" si="3"/>
        <v>0</v>
      </c>
      <c r="AL41" s="2">
        <f t="shared" si="10"/>
        <v>1.1756628571428998</v>
      </c>
      <c r="AM41" s="2"/>
    </row>
    <row r="42" spans="1:39" x14ac:dyDescent="0.3">
      <c r="A42">
        <f t="shared" si="0"/>
        <v>0</v>
      </c>
      <c r="B42" s="2">
        <f t="shared" si="4"/>
        <v>14.968800000133342</v>
      </c>
      <c r="C42" s="2" t="e">
        <f t="shared" si="11"/>
        <v>#VALUE!</v>
      </c>
      <c r="D42" s="2">
        <f t="shared" si="5"/>
        <v>0.51126340000018899</v>
      </c>
      <c r="E42" s="2"/>
      <c r="F42">
        <v>2906.1147934000001</v>
      </c>
      <c r="G42" t="s">
        <v>37</v>
      </c>
      <c r="H42" t="s">
        <v>37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>
        <v>0</v>
      </c>
      <c r="O42">
        <v>0</v>
      </c>
      <c r="P42">
        <v>0</v>
      </c>
      <c r="Q42">
        <v>0</v>
      </c>
      <c r="R42">
        <v>-0.101475494384765</v>
      </c>
      <c r="S42">
        <v>3.4791484832763599E-2</v>
      </c>
      <c r="T42">
        <v>0</v>
      </c>
      <c r="U42" s="7">
        <v>166.06899999999999</v>
      </c>
      <c r="V42" s="7">
        <v>-0.47899999999999998</v>
      </c>
      <c r="W42" s="7">
        <v>0.441</v>
      </c>
      <c r="X42" s="7">
        <v>0.68500000000000005</v>
      </c>
      <c r="Y42" t="b">
        <v>1</v>
      </c>
      <c r="Z42">
        <v>79</v>
      </c>
      <c r="AA42">
        <f t="shared" si="1"/>
        <v>-10.147549438476499</v>
      </c>
      <c r="AB42">
        <f t="shared" si="6"/>
        <v>40.504393876804983</v>
      </c>
      <c r="AC42" t="e">
        <f t="shared" si="7"/>
        <v>#VALUE!</v>
      </c>
      <c r="AE42" s="2">
        <f t="shared" si="13"/>
        <v>4.5379000000139058E-2</v>
      </c>
      <c r="AF42" s="2">
        <f t="shared" si="12"/>
        <v>1.1504346000001533</v>
      </c>
      <c r="AG42">
        <v>2911.1487105000001</v>
      </c>
      <c r="AH42">
        <v>182.796308571428</v>
      </c>
      <c r="AI42">
        <v>27.8160457142857</v>
      </c>
      <c r="AJ42" s="2">
        <f t="shared" si="9"/>
        <v>1.1762628571428984</v>
      </c>
      <c r="AK42" s="2">
        <f t="shared" si="3"/>
        <v>0</v>
      </c>
      <c r="AL42" s="2">
        <f t="shared" si="10"/>
        <v>1.1762628571428984</v>
      </c>
      <c r="AM42" s="2"/>
    </row>
    <row r="43" spans="1:39" x14ac:dyDescent="0.3">
      <c r="A43">
        <f t="shared" si="0"/>
        <v>0</v>
      </c>
      <c r="B43" s="2">
        <f t="shared" si="4"/>
        <v>15.3691999998955</v>
      </c>
      <c r="C43" s="2" t="e">
        <f t="shared" si="11"/>
        <v>#VALUE!</v>
      </c>
      <c r="D43" s="2">
        <f t="shared" si="5"/>
        <v>0.52663260000008449</v>
      </c>
      <c r="E43" s="2"/>
      <c r="F43">
        <v>2906.1301625999999</v>
      </c>
      <c r="G43" t="s">
        <v>37</v>
      </c>
      <c r="H43" t="s">
        <v>37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>
        <v>0</v>
      </c>
      <c r="O43">
        <v>0</v>
      </c>
      <c r="P43">
        <v>0</v>
      </c>
      <c r="Q43">
        <v>0</v>
      </c>
      <c r="R43">
        <v>-0.101475494384765</v>
      </c>
      <c r="S43">
        <v>3.4791484832763599E-2</v>
      </c>
      <c r="T43">
        <v>0</v>
      </c>
      <c r="U43" s="7">
        <v>166.06899999999999</v>
      </c>
      <c r="V43" s="7">
        <v>-0.47899999999999998</v>
      </c>
      <c r="W43" s="7">
        <v>0.441</v>
      </c>
      <c r="X43" s="7">
        <v>0.68500000000000005</v>
      </c>
      <c r="Y43" t="b">
        <v>1</v>
      </c>
      <c r="Z43">
        <v>79</v>
      </c>
      <c r="AA43">
        <f t="shared" si="1"/>
        <v>-10.147549438476499</v>
      </c>
      <c r="AB43">
        <f t="shared" si="6"/>
        <v>40.348434159976208</v>
      </c>
      <c r="AC43" t="e">
        <f t="shared" si="7"/>
        <v>#VALUE!</v>
      </c>
      <c r="AE43" s="2">
        <f t="shared" si="13"/>
        <v>3.131039999971108E-2</v>
      </c>
      <c r="AF43" s="2">
        <f t="shared" si="12"/>
        <v>1.1817449999998644</v>
      </c>
      <c r="AG43">
        <v>2911.1800208999998</v>
      </c>
      <c r="AH43">
        <v>183.316988571428</v>
      </c>
      <c r="AI43">
        <v>27.7956857142857</v>
      </c>
      <c r="AJ43" s="2">
        <f t="shared" si="9"/>
        <v>1.1559028571428982</v>
      </c>
      <c r="AK43" s="2">
        <f t="shared" si="3"/>
        <v>0</v>
      </c>
      <c r="AL43" s="2">
        <f t="shared" si="10"/>
        <v>1.1559028571428982</v>
      </c>
      <c r="AM43" s="2"/>
    </row>
    <row r="44" spans="1:39" x14ac:dyDescent="0.3">
      <c r="A44">
        <f t="shared" si="0"/>
        <v>0</v>
      </c>
      <c r="B44" s="2">
        <f t="shared" si="4"/>
        <v>15.668000000005122</v>
      </c>
      <c r="C44" s="2" t="e">
        <f t="shared" si="11"/>
        <v>#VALUE!</v>
      </c>
      <c r="D44" s="2">
        <f t="shared" si="5"/>
        <v>0.54230060000008962</v>
      </c>
      <c r="E44" s="2"/>
      <c r="F44">
        <v>2906.1458306</v>
      </c>
      <c r="G44" t="s">
        <v>37</v>
      </c>
      <c r="H44" t="s">
        <v>37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>
        <v>0</v>
      </c>
      <c r="O44">
        <v>0</v>
      </c>
      <c r="P44">
        <v>0</v>
      </c>
      <c r="Q44">
        <v>0</v>
      </c>
      <c r="R44">
        <v>-0.101475494384765</v>
      </c>
      <c r="S44">
        <v>3.4791484832763599E-2</v>
      </c>
      <c r="T44">
        <v>0</v>
      </c>
      <c r="U44" s="7">
        <v>166.06899999999999</v>
      </c>
      <c r="V44" s="7">
        <v>-0.47899999999999998</v>
      </c>
      <c r="W44" s="7">
        <v>0.441</v>
      </c>
      <c r="X44" s="7">
        <v>0.68500000000000005</v>
      </c>
      <c r="Y44" t="b">
        <v>1</v>
      </c>
      <c r="Z44">
        <v>79</v>
      </c>
      <c r="AA44">
        <f t="shared" si="1"/>
        <v>-10.147549438476499</v>
      </c>
      <c r="AB44">
        <f t="shared" si="6"/>
        <v>40.189442355374105</v>
      </c>
      <c r="AC44" t="e">
        <f t="shared" si="7"/>
        <v>#VALUE!</v>
      </c>
      <c r="AE44" s="2">
        <f t="shared" si="13"/>
        <v>3.1576500000028318E-2</v>
      </c>
      <c r="AF44" s="2">
        <f t="shared" si="12"/>
        <v>1.2133214999998927</v>
      </c>
      <c r="AG44">
        <v>2911.2115973999998</v>
      </c>
      <c r="AH44">
        <v>183.84750857142799</v>
      </c>
      <c r="AI44">
        <v>27.759605714285701</v>
      </c>
      <c r="AJ44" s="2">
        <f t="shared" si="9"/>
        <v>1.1198228571428999</v>
      </c>
      <c r="AK44" s="2">
        <f t="shared" si="3"/>
        <v>0</v>
      </c>
      <c r="AL44" s="2">
        <f t="shared" si="10"/>
        <v>1.1198228571428999</v>
      </c>
      <c r="AM44" s="2"/>
    </row>
    <row r="45" spans="1:39" x14ac:dyDescent="0.3">
      <c r="A45">
        <f t="shared" si="0"/>
        <v>0</v>
      </c>
      <c r="B45" s="2">
        <f t="shared" si="4"/>
        <v>15.808099999958358</v>
      </c>
      <c r="C45" s="2" t="e">
        <f t="shared" si="11"/>
        <v>#VALUE!</v>
      </c>
      <c r="D45" s="2">
        <f t="shared" si="5"/>
        <v>0.55810870000004797</v>
      </c>
      <c r="E45" s="2"/>
      <c r="F45">
        <v>2906.1616386999999</v>
      </c>
      <c r="G45" t="s">
        <v>37</v>
      </c>
      <c r="H45" t="s">
        <v>37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>
        <v>0</v>
      </c>
      <c r="O45">
        <v>0</v>
      </c>
      <c r="P45">
        <v>0</v>
      </c>
      <c r="Q45">
        <v>0</v>
      </c>
      <c r="R45">
        <v>-0.101475494384765</v>
      </c>
      <c r="S45">
        <v>3.4791484832763599E-2</v>
      </c>
      <c r="T45">
        <v>0</v>
      </c>
      <c r="U45" s="7">
        <v>166.06899999999999</v>
      </c>
      <c r="V45" s="7">
        <v>-0.47899999999999998</v>
      </c>
      <c r="W45" s="7">
        <v>0.441</v>
      </c>
      <c r="X45" s="7">
        <v>0.68500000000000005</v>
      </c>
      <c r="Y45" t="b">
        <v>1</v>
      </c>
      <c r="Z45">
        <v>79</v>
      </c>
      <c r="AA45">
        <f t="shared" si="1"/>
        <v>-10.147549438476499</v>
      </c>
      <c r="AB45">
        <f t="shared" si="6"/>
        <v>40.029028879096145</v>
      </c>
      <c r="AC45" t="e">
        <f t="shared" si="7"/>
        <v>#VALUE!</v>
      </c>
      <c r="AE45" s="2">
        <f t="shared" si="13"/>
        <v>3.0636299999969197E-2</v>
      </c>
      <c r="AF45" s="2">
        <f t="shared" si="12"/>
        <v>1.2439577999998619</v>
      </c>
      <c r="AG45">
        <v>2911.2422336999998</v>
      </c>
      <c r="AH45">
        <v>184.38294857142799</v>
      </c>
      <c r="AI45">
        <v>27.6973257142857</v>
      </c>
      <c r="AJ45" s="2">
        <f t="shared" si="9"/>
        <v>1.0575428571428986</v>
      </c>
      <c r="AK45" s="2">
        <f t="shared" si="3"/>
        <v>0</v>
      </c>
      <c r="AL45" s="2">
        <f t="shared" si="10"/>
        <v>1.0575428571428986</v>
      </c>
      <c r="AM45" s="2"/>
    </row>
    <row r="46" spans="1:39" x14ac:dyDescent="0.3">
      <c r="A46">
        <f t="shared" si="0"/>
        <v>0</v>
      </c>
      <c r="B46" s="2">
        <f t="shared" si="4"/>
        <v>15.638599999874714</v>
      </c>
      <c r="C46" s="2" t="e">
        <f t="shared" si="11"/>
        <v>#VALUE!</v>
      </c>
      <c r="D46" s="2">
        <f t="shared" si="5"/>
        <v>0.57374729999992269</v>
      </c>
      <c r="E46" s="2"/>
      <c r="F46">
        <v>2906.1772772999998</v>
      </c>
      <c r="G46" t="s">
        <v>37</v>
      </c>
      <c r="H46" t="s">
        <v>37</v>
      </c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>
        <v>0</v>
      </c>
      <c r="O46">
        <v>0</v>
      </c>
      <c r="P46">
        <v>0</v>
      </c>
      <c r="Q46">
        <v>0</v>
      </c>
      <c r="R46">
        <v>-0.101475494384765</v>
      </c>
      <c r="S46">
        <v>3.4791484832763599E-2</v>
      </c>
      <c r="T46">
        <v>0</v>
      </c>
      <c r="U46" s="7">
        <v>166.06899999999999</v>
      </c>
      <c r="V46" s="7">
        <v>-0.47899999999999998</v>
      </c>
      <c r="W46" s="7">
        <v>0.441</v>
      </c>
      <c r="X46" s="7">
        <v>0.68500000000000005</v>
      </c>
      <c r="Y46" t="b">
        <v>1</v>
      </c>
      <c r="Z46">
        <v>79</v>
      </c>
      <c r="AA46">
        <f t="shared" si="1"/>
        <v>-10.147549438476499</v>
      </c>
      <c r="AB46">
        <f t="shared" si="6"/>
        <v>39.87033541244886</v>
      </c>
      <c r="AC46" t="e">
        <f t="shared" si="7"/>
        <v>#VALUE!</v>
      </c>
      <c r="AE46" s="2">
        <f t="shared" si="13"/>
        <v>3.1247900000380469E-2</v>
      </c>
      <c r="AF46" s="2">
        <f t="shared" si="12"/>
        <v>1.2752057000002424</v>
      </c>
      <c r="AG46">
        <v>2911.2734816000002</v>
      </c>
      <c r="AH46">
        <v>184.93314857142801</v>
      </c>
      <c r="AI46">
        <v>27.619325714285701</v>
      </c>
      <c r="AJ46" s="2">
        <f t="shared" si="9"/>
        <v>0.97954285714289924</v>
      </c>
      <c r="AK46" s="2">
        <f t="shared" si="3"/>
        <v>0</v>
      </c>
      <c r="AL46" s="2">
        <f t="shared" si="10"/>
        <v>0.97954285714289924</v>
      </c>
      <c r="AM46" s="2"/>
    </row>
    <row r="47" spans="1:39" x14ac:dyDescent="0.3">
      <c r="A47">
        <f t="shared" si="0"/>
        <v>0</v>
      </c>
      <c r="B47" s="2">
        <f t="shared" si="4"/>
        <v>15.818100000160484</v>
      </c>
      <c r="C47" s="2" t="e">
        <f t="shared" si="11"/>
        <v>#VALUE!</v>
      </c>
      <c r="D47" s="2">
        <f t="shared" si="5"/>
        <v>0.58956540000008317</v>
      </c>
      <c r="E47" s="2"/>
      <c r="F47">
        <v>2906.1930953999999</v>
      </c>
      <c r="G47" t="s">
        <v>37</v>
      </c>
      <c r="H47" t="s">
        <v>37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>
        <v>0</v>
      </c>
      <c r="O47">
        <v>0</v>
      </c>
      <c r="P47">
        <v>0</v>
      </c>
      <c r="Q47">
        <v>0</v>
      </c>
      <c r="R47">
        <v>-4.7591152191162098E-2</v>
      </c>
      <c r="S47">
        <v>4.8930297851562499E-2</v>
      </c>
      <c r="T47">
        <v>0</v>
      </c>
      <c r="U47" s="7">
        <v>166.23</v>
      </c>
      <c r="V47" s="7">
        <v>-1.4870000000000001</v>
      </c>
      <c r="W47" s="7">
        <v>-6.0999999999999999E-2</v>
      </c>
      <c r="X47" s="7">
        <v>0.67700000000000005</v>
      </c>
      <c r="Y47" t="b">
        <v>1</v>
      </c>
      <c r="Z47">
        <v>79</v>
      </c>
      <c r="AA47">
        <f t="shared" si="1"/>
        <v>-4.75911521911621</v>
      </c>
      <c r="AB47">
        <f t="shared" si="6"/>
        <v>39.709820460674464</v>
      </c>
      <c r="AC47" t="e">
        <f t="shared" si="7"/>
        <v>#VALUE!</v>
      </c>
      <c r="AE47" s="2">
        <f t="shared" si="13"/>
        <v>3.202309999960562E-2</v>
      </c>
      <c r="AF47" s="2">
        <f t="shared" si="12"/>
        <v>1.307228799999848</v>
      </c>
      <c r="AG47">
        <v>2911.3055046999998</v>
      </c>
      <c r="AH47">
        <v>185.49318857142799</v>
      </c>
      <c r="AI47">
        <v>27.5308457142857</v>
      </c>
      <c r="AJ47" s="2">
        <f t="shared" si="9"/>
        <v>0.89106285714289868</v>
      </c>
      <c r="AK47" s="2">
        <f t="shared" si="3"/>
        <v>6.4653915286677251E-3</v>
      </c>
      <c r="AL47" s="2">
        <f t="shared" si="10"/>
        <v>0.88459746561423092</v>
      </c>
      <c r="AM47" s="2"/>
    </row>
    <row r="48" spans="1:39" x14ac:dyDescent="0.3">
      <c r="A48">
        <f t="shared" si="0"/>
        <v>0</v>
      </c>
      <c r="B48" s="2">
        <f t="shared" si="4"/>
        <v>14.783300000090094</v>
      </c>
      <c r="C48" s="2" t="e">
        <f t="shared" si="11"/>
        <v>#VALUE!</v>
      </c>
      <c r="D48" s="2">
        <f t="shared" si="5"/>
        <v>0.60434870000017327</v>
      </c>
      <c r="E48" s="2"/>
      <c r="F48">
        <v>2906.2078787</v>
      </c>
      <c r="G48" t="s">
        <v>37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>
        <v>0</v>
      </c>
      <c r="O48">
        <v>0</v>
      </c>
      <c r="P48">
        <v>0</v>
      </c>
      <c r="Q48">
        <v>0</v>
      </c>
      <c r="R48">
        <v>-4.7591152191162098E-2</v>
      </c>
      <c r="S48">
        <v>4.8930297851562499E-2</v>
      </c>
      <c r="T48">
        <v>0</v>
      </c>
      <c r="U48" s="7">
        <v>166.23</v>
      </c>
      <c r="V48" s="7">
        <v>-1.4870000000000001</v>
      </c>
      <c r="W48" s="7">
        <v>-6.0999999999999999E-2</v>
      </c>
      <c r="X48" s="7">
        <v>0.67700000000000005</v>
      </c>
      <c r="Y48" t="b">
        <v>1</v>
      </c>
      <c r="Z48">
        <v>79</v>
      </c>
      <c r="AA48">
        <f t="shared" si="1"/>
        <v>-4.75911521911621</v>
      </c>
      <c r="AB48">
        <f t="shared" si="6"/>
        <v>39.639465032655274</v>
      </c>
      <c r="AC48" t="e">
        <f t="shared" si="7"/>
        <v>#VALUE!</v>
      </c>
      <c r="AE48" s="2">
        <f t="shared" si="13"/>
        <v>4.6701900000243768E-2</v>
      </c>
      <c r="AF48" s="2">
        <f t="shared" si="12"/>
        <v>1.3539307000000917</v>
      </c>
      <c r="AG48">
        <v>2911.3522066</v>
      </c>
      <c r="AH48">
        <v>186.05322857142801</v>
      </c>
      <c r="AI48">
        <v>27.437125714285699</v>
      </c>
      <c r="AJ48" s="2">
        <f t="shared" si="9"/>
        <v>0.79734285714289754</v>
      </c>
      <c r="AK48" s="2">
        <f t="shared" si="3"/>
        <v>7.1735473712489173E-2</v>
      </c>
      <c r="AL48" s="2">
        <f t="shared" si="10"/>
        <v>0.72560738343040843</v>
      </c>
      <c r="AM48" s="2"/>
    </row>
    <row r="49" spans="1:39" x14ac:dyDescent="0.3">
      <c r="A49">
        <f t="shared" si="0"/>
        <v>0</v>
      </c>
      <c r="B49" s="2">
        <f t="shared" si="4"/>
        <v>16.074199999820848</v>
      </c>
      <c r="C49" s="2" t="e">
        <f t="shared" si="11"/>
        <v>#VALUE!</v>
      </c>
      <c r="D49" s="2">
        <f t="shared" si="5"/>
        <v>0.62042289999999412</v>
      </c>
      <c r="E49" s="2"/>
      <c r="F49">
        <v>2906.2239528999999</v>
      </c>
      <c r="G49" t="s">
        <v>37</v>
      </c>
      <c r="H49" t="s">
        <v>37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>
        <v>0</v>
      </c>
      <c r="O49">
        <v>0</v>
      </c>
      <c r="P49">
        <v>0</v>
      </c>
      <c r="Q49">
        <v>0</v>
      </c>
      <c r="R49">
        <v>-4.7591152191162098E-2</v>
      </c>
      <c r="S49">
        <v>4.8930297851562499E-2</v>
      </c>
      <c r="T49">
        <v>0</v>
      </c>
      <c r="U49" s="7">
        <v>166.23</v>
      </c>
      <c r="V49" s="7">
        <v>-1.4870000000000001</v>
      </c>
      <c r="W49" s="7">
        <v>-6.0999999999999999E-2</v>
      </c>
      <c r="X49" s="7">
        <v>0.67700000000000005</v>
      </c>
      <c r="Y49" t="b">
        <v>1</v>
      </c>
      <c r="Z49">
        <v>79</v>
      </c>
      <c r="AA49">
        <f t="shared" si="1"/>
        <v>-4.75911521911621</v>
      </c>
      <c r="AB49">
        <f t="shared" si="6"/>
        <v>39.56296606280101</v>
      </c>
      <c r="AC49" t="e">
        <f t="shared" si="7"/>
        <v>#VALUE!</v>
      </c>
      <c r="AE49" s="2">
        <f t="shared" si="13"/>
        <v>1.5648300000066229E-2</v>
      </c>
      <c r="AF49" s="2">
        <f t="shared" si="12"/>
        <v>1.369579000000158</v>
      </c>
      <c r="AG49">
        <v>2911.3678549000001</v>
      </c>
      <c r="AH49">
        <v>186.61326857142799</v>
      </c>
      <c r="AI49">
        <v>27.3329257142857</v>
      </c>
      <c r="AJ49" s="2">
        <f t="shared" si="9"/>
        <v>0.69314285714289881</v>
      </c>
      <c r="AK49" s="2">
        <f t="shared" si="3"/>
        <v>0.10908933392427418</v>
      </c>
      <c r="AL49" s="2">
        <f t="shared" si="10"/>
        <v>0.58405352321862458</v>
      </c>
      <c r="AM49" s="2"/>
    </row>
    <row r="50" spans="1:39" x14ac:dyDescent="0.3">
      <c r="A50">
        <f t="shared" si="0"/>
        <v>0</v>
      </c>
      <c r="B50" s="2">
        <f t="shared" si="4"/>
        <v>15.624399999978777</v>
      </c>
      <c r="C50" s="2" t="e">
        <f t="shared" si="11"/>
        <v>#VALUE!</v>
      </c>
      <c r="D50" s="2">
        <f t="shared" si="5"/>
        <v>0.63604729999997289</v>
      </c>
      <c r="E50" s="2"/>
      <c r="F50">
        <v>2906.2395772999998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>
        <v>0</v>
      </c>
      <c r="O50">
        <v>0</v>
      </c>
      <c r="P50">
        <v>0</v>
      </c>
      <c r="Q50">
        <v>0</v>
      </c>
      <c r="R50">
        <v>-4.7591152191162098E-2</v>
      </c>
      <c r="S50">
        <v>4.8930297851562499E-2</v>
      </c>
      <c r="T50">
        <v>0</v>
      </c>
      <c r="U50" s="7">
        <v>166.23</v>
      </c>
      <c r="V50" s="7">
        <v>-1.4870000000000001</v>
      </c>
      <c r="W50" s="7">
        <v>-6.0999999999999999E-2</v>
      </c>
      <c r="X50" s="7">
        <v>0.67700000000000005</v>
      </c>
      <c r="Y50" t="b">
        <v>1</v>
      </c>
      <c r="Z50">
        <v>79</v>
      </c>
      <c r="AA50">
        <f t="shared" si="1"/>
        <v>-4.75911521911621</v>
      </c>
      <c r="AB50">
        <f t="shared" si="6"/>
        <v>39.488607742971553</v>
      </c>
      <c r="AC50" t="e">
        <f t="shared" si="7"/>
        <v>#VALUE!</v>
      </c>
      <c r="AE50" s="2">
        <f t="shared" si="13"/>
        <v>3.0922399999781192E-2</v>
      </c>
      <c r="AF50" s="2">
        <f t="shared" si="12"/>
        <v>1.4005013999999392</v>
      </c>
      <c r="AG50">
        <v>2911.3987772999999</v>
      </c>
      <c r="AH50">
        <v>187.17822857142801</v>
      </c>
      <c r="AI50">
        <v>27.2130057142857</v>
      </c>
      <c r="AJ50" s="2">
        <f t="shared" si="9"/>
        <v>0.57322285714289833</v>
      </c>
      <c r="AK50" s="2">
        <f t="shared" si="3"/>
        <v>0.20537814998363305</v>
      </c>
      <c r="AL50" s="2">
        <f t="shared" si="10"/>
        <v>0.36784470715926532</v>
      </c>
      <c r="AM50" s="2"/>
    </row>
    <row r="51" spans="1:39" x14ac:dyDescent="0.3">
      <c r="A51">
        <f t="shared" si="0"/>
        <v>0</v>
      </c>
      <c r="B51" s="2">
        <f t="shared" si="4"/>
        <v>16.127500000038708</v>
      </c>
      <c r="C51" s="2" t="e">
        <f t="shared" si="11"/>
        <v>#VALUE!</v>
      </c>
      <c r="D51" s="2">
        <f t="shared" si="5"/>
        <v>0.6521748000000116</v>
      </c>
      <c r="E51" s="2"/>
      <c r="F51">
        <v>2906.2557047999999</v>
      </c>
      <c r="G51" t="s">
        <v>37</v>
      </c>
      <c r="H51" t="s">
        <v>37</v>
      </c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>
        <v>0</v>
      </c>
      <c r="O51">
        <v>0</v>
      </c>
      <c r="P51">
        <v>0</v>
      </c>
      <c r="Q51">
        <v>0</v>
      </c>
      <c r="R51">
        <v>-5.4758556365966798E-2</v>
      </c>
      <c r="S51">
        <v>2.7448617935180601E-2</v>
      </c>
      <c r="T51">
        <v>0</v>
      </c>
      <c r="U51" s="7">
        <v>166.34800000000001</v>
      </c>
      <c r="V51" s="7">
        <v>-1.448</v>
      </c>
      <c r="W51" s="7">
        <v>-0.57199999999999995</v>
      </c>
      <c r="X51" s="7">
        <v>0.66700000000000004</v>
      </c>
      <c r="Y51" t="b">
        <v>1</v>
      </c>
      <c r="Z51">
        <v>79</v>
      </c>
      <c r="AA51">
        <f t="shared" si="1"/>
        <v>-5.4758556365966795</v>
      </c>
      <c r="AB51">
        <f t="shared" si="6"/>
        <v>39.41185511227507</v>
      </c>
      <c r="AC51" t="e">
        <f t="shared" si="7"/>
        <v>#VALUE!</v>
      </c>
      <c r="AE51" s="2">
        <f t="shared" si="13"/>
        <v>4.7557700000197656E-2</v>
      </c>
      <c r="AF51" s="2">
        <f t="shared" si="12"/>
        <v>1.4480591000001368</v>
      </c>
      <c r="AG51">
        <v>2911.4463350000001</v>
      </c>
      <c r="AH51">
        <v>187.728428571428</v>
      </c>
      <c r="AI51">
        <v>27.087845714285699</v>
      </c>
      <c r="AJ51" s="2">
        <f t="shared" si="9"/>
        <v>0.44806285714289729</v>
      </c>
      <c r="AK51" s="2">
        <f t="shared" si="3"/>
        <v>0.41074097566191592</v>
      </c>
      <c r="AL51" s="2">
        <f t="shared" si="10"/>
        <v>3.7321881480981367E-2</v>
      </c>
      <c r="AM51" s="2"/>
    </row>
    <row r="52" spans="1:39" x14ac:dyDescent="0.3">
      <c r="A52">
        <f t="shared" si="0"/>
        <v>0</v>
      </c>
      <c r="B52" s="2">
        <f t="shared" si="4"/>
        <v>15.948499999922205</v>
      </c>
      <c r="C52" s="2" t="e">
        <f t="shared" si="11"/>
        <v>#VALUE!</v>
      </c>
      <c r="D52" s="2">
        <f t="shared" si="5"/>
        <v>0.66812329999993381</v>
      </c>
      <c r="E52" s="2"/>
      <c r="F52">
        <v>2906.2716532999998</v>
      </c>
      <c r="G52" t="s">
        <v>37</v>
      </c>
      <c r="H52" t="s">
        <v>37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>
        <v>0</v>
      </c>
      <c r="O52">
        <v>0</v>
      </c>
      <c r="P52">
        <v>0</v>
      </c>
      <c r="Q52">
        <v>0</v>
      </c>
      <c r="R52">
        <v>-5.4758556365966798E-2</v>
      </c>
      <c r="S52">
        <v>2.7448617935180601E-2</v>
      </c>
      <c r="T52">
        <v>0</v>
      </c>
      <c r="U52" s="7">
        <v>166.34800000000001</v>
      </c>
      <c r="V52" s="7">
        <v>-1.448</v>
      </c>
      <c r="W52" s="7">
        <v>-0.57199999999999995</v>
      </c>
      <c r="X52" s="7">
        <v>0.66700000000000004</v>
      </c>
      <c r="Y52" t="b">
        <v>1</v>
      </c>
      <c r="Z52">
        <v>79</v>
      </c>
      <c r="AA52">
        <f t="shared" si="1"/>
        <v>-5.4758556365966795</v>
      </c>
      <c r="AB52">
        <f t="shared" si="6"/>
        <v>39.324523428655233</v>
      </c>
      <c r="AC52" t="e">
        <f t="shared" si="7"/>
        <v>#VALUE!</v>
      </c>
      <c r="AE52" s="2">
        <f t="shared" si="13"/>
        <v>1.5272600000116654E-2</v>
      </c>
      <c r="AF52" s="2">
        <f t="shared" si="12"/>
        <v>1.4633317000002535</v>
      </c>
      <c r="AG52">
        <v>2911.4616076000002</v>
      </c>
      <c r="AH52">
        <v>188.26386857142799</v>
      </c>
      <c r="AI52">
        <v>26.9469657142857</v>
      </c>
      <c r="AJ52" s="2">
        <f t="shared" si="9"/>
        <v>0.30718285714289806</v>
      </c>
      <c r="AK52" s="2">
        <f t="shared" si="3"/>
        <v>0.49116998793824318</v>
      </c>
      <c r="AL52" s="2">
        <f t="shared" si="10"/>
        <v>0.18398713079534512</v>
      </c>
      <c r="AM52" s="2"/>
    </row>
    <row r="53" spans="1:39" x14ac:dyDescent="0.3">
      <c r="A53">
        <f t="shared" si="0"/>
        <v>0</v>
      </c>
      <c r="B53" s="2">
        <f t="shared" si="4"/>
        <v>14.954100000068138</v>
      </c>
      <c r="C53" s="2" t="e">
        <f t="shared" si="11"/>
        <v>#VALUE!</v>
      </c>
      <c r="D53" s="2">
        <f t="shared" si="5"/>
        <v>0.68307740000000194</v>
      </c>
      <c r="E53" s="2"/>
      <c r="F53">
        <v>2906.2866073999999</v>
      </c>
      <c r="G53" t="s">
        <v>37</v>
      </c>
      <c r="H53" t="s">
        <v>37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>
        <v>0</v>
      </c>
      <c r="O53">
        <v>0</v>
      </c>
      <c r="P53">
        <v>0</v>
      </c>
      <c r="Q53">
        <v>0</v>
      </c>
      <c r="R53">
        <v>-5.4758556365966798E-2</v>
      </c>
      <c r="S53">
        <v>2.7448617935180601E-2</v>
      </c>
      <c r="T53">
        <v>0</v>
      </c>
      <c r="U53" s="7">
        <v>166.34800000000001</v>
      </c>
      <c r="V53" s="7">
        <v>-1.448</v>
      </c>
      <c r="W53" s="7">
        <v>-0.57199999999999995</v>
      </c>
      <c r="X53" s="7">
        <v>0.66700000000000004</v>
      </c>
      <c r="Y53" t="b">
        <v>1</v>
      </c>
      <c r="Z53">
        <v>79</v>
      </c>
      <c r="AA53">
        <f t="shared" si="1"/>
        <v>-5.4758556365966795</v>
      </c>
      <c r="AB53">
        <f t="shared" si="6"/>
        <v>39.242636935879631</v>
      </c>
      <c r="AC53" t="e">
        <f t="shared" si="7"/>
        <v>#VALUE!</v>
      </c>
      <c r="AE53" s="2">
        <f t="shared" si="13"/>
        <v>4.6644699999887962E-2</v>
      </c>
      <c r="AF53" s="2">
        <f t="shared" si="12"/>
        <v>1.5099764000001414</v>
      </c>
      <c r="AG53">
        <v>2911.5082523000001</v>
      </c>
      <c r="AH53">
        <v>188.77470857142799</v>
      </c>
      <c r="AI53">
        <v>26.779885714285701</v>
      </c>
      <c r="AJ53" s="2">
        <f t="shared" si="9"/>
        <v>0.1401028571428995</v>
      </c>
      <c r="AK53" s="2">
        <f t="shared" si="3"/>
        <v>0.77954243818703417</v>
      </c>
      <c r="AL53" s="2">
        <f t="shared" si="10"/>
        <v>0.63943958104413468</v>
      </c>
      <c r="AM53" s="2"/>
    </row>
    <row r="54" spans="1:39" x14ac:dyDescent="0.3">
      <c r="A54">
        <f t="shared" si="0"/>
        <v>0</v>
      </c>
      <c r="B54" s="2">
        <f t="shared" si="4"/>
        <v>15.549500000361149</v>
      </c>
      <c r="C54" s="2" t="e">
        <f t="shared" si="11"/>
        <v>#VALUE!</v>
      </c>
      <c r="D54" s="2">
        <f t="shared" si="5"/>
        <v>0.69862690000036309</v>
      </c>
      <c r="E54" s="2"/>
      <c r="F54">
        <v>2906.3021569000002</v>
      </c>
      <c r="G54" t="s">
        <v>37</v>
      </c>
      <c r="H54" t="s">
        <v>37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>
        <v>0</v>
      </c>
      <c r="O54">
        <v>0</v>
      </c>
      <c r="P54">
        <v>0</v>
      </c>
      <c r="Q54">
        <v>0</v>
      </c>
      <c r="R54">
        <v>-5.4758556365966798E-2</v>
      </c>
      <c r="S54">
        <v>2.7448617935180601E-2</v>
      </c>
      <c r="T54">
        <v>0</v>
      </c>
      <c r="U54" s="7">
        <v>166.34800000000001</v>
      </c>
      <c r="V54" s="7">
        <v>-1.448</v>
      </c>
      <c r="W54" s="7">
        <v>-0.57199999999999995</v>
      </c>
      <c r="X54" s="7">
        <v>0.66700000000000004</v>
      </c>
      <c r="Y54" t="b">
        <v>1</v>
      </c>
      <c r="Z54">
        <v>79</v>
      </c>
      <c r="AA54">
        <f t="shared" si="1"/>
        <v>-5.4758556365966795</v>
      </c>
      <c r="AB54">
        <f t="shared" si="6"/>
        <v>39.157490118656391</v>
      </c>
      <c r="AC54" t="e">
        <f t="shared" si="7"/>
        <v>#VALUE!</v>
      </c>
      <c r="AE54" s="2">
        <f t="shared" si="13"/>
        <v>3.1118599999899743E-2</v>
      </c>
      <c r="AF54" s="2">
        <f t="shared" si="12"/>
        <v>1.5410950000000412</v>
      </c>
      <c r="AG54">
        <v>2911.5393709</v>
      </c>
      <c r="AH54">
        <v>189.266228571428</v>
      </c>
      <c r="AI54">
        <v>26.876325714285699</v>
      </c>
      <c r="AJ54" s="2">
        <f t="shared" si="9"/>
        <v>0.23654285714289713</v>
      </c>
      <c r="AK54" s="2">
        <f t="shared" si="3"/>
        <v>1.0071382126495199</v>
      </c>
      <c r="AL54" s="2">
        <f t="shared" si="10"/>
        <v>0.77059535550662273</v>
      </c>
      <c r="AM54" s="2"/>
    </row>
    <row r="55" spans="1:39" x14ac:dyDescent="0.3">
      <c r="A55">
        <f t="shared" si="0"/>
        <v>0</v>
      </c>
      <c r="B55" s="2">
        <f t="shared" si="4"/>
        <v>15.883199999734643</v>
      </c>
      <c r="C55" s="2" t="e">
        <f t="shared" si="11"/>
        <v>#VALUE!</v>
      </c>
      <c r="D55" s="2">
        <f t="shared" si="5"/>
        <v>0.71451010000009774</v>
      </c>
      <c r="E55" s="2"/>
      <c r="F55">
        <v>2906.3180401</v>
      </c>
      <c r="G55" t="s">
        <v>37</v>
      </c>
      <c r="H55" t="s">
        <v>37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>
        <v>0</v>
      </c>
      <c r="O55">
        <v>0</v>
      </c>
      <c r="P55">
        <v>0</v>
      </c>
      <c r="Q55">
        <v>0</v>
      </c>
      <c r="R55">
        <v>-9.1591156005859306E-2</v>
      </c>
      <c r="S55">
        <v>2.9245292663574202E-2</v>
      </c>
      <c r="T55">
        <v>0</v>
      </c>
      <c r="U55" s="7">
        <v>166.447</v>
      </c>
      <c r="V55" s="7">
        <v>-1.2509999999999999</v>
      </c>
      <c r="W55" s="7">
        <v>-0.77800000000000002</v>
      </c>
      <c r="X55" s="7">
        <v>0.66500000000000004</v>
      </c>
      <c r="Y55" t="b">
        <v>1</v>
      </c>
      <c r="Z55">
        <v>79</v>
      </c>
      <c r="AA55">
        <f t="shared" si="1"/>
        <v>-9.1591156005859311</v>
      </c>
      <c r="AB55">
        <f t="shared" si="6"/>
        <v>39.07051600841065</v>
      </c>
      <c r="AC55" t="e">
        <f t="shared" si="7"/>
        <v>#VALUE!</v>
      </c>
      <c r="AE55" s="2">
        <f t="shared" si="13"/>
        <v>3.1711900000118476E-2</v>
      </c>
      <c r="AF55" s="2">
        <f t="shared" si="12"/>
        <v>1.5728069000001597</v>
      </c>
      <c r="AG55">
        <v>2911.5710828000001</v>
      </c>
      <c r="AH55">
        <v>189.72822857142799</v>
      </c>
      <c r="AI55">
        <v>26.951805714285701</v>
      </c>
      <c r="AJ55" s="2">
        <f t="shared" si="9"/>
        <v>0.31202285714289957</v>
      </c>
      <c r="AK55" s="2">
        <f t="shared" si="3"/>
        <v>1.2675003615065847</v>
      </c>
      <c r="AL55" s="2">
        <f t="shared" si="10"/>
        <v>0.95547750436368517</v>
      </c>
      <c r="AM55" s="2"/>
    </row>
    <row r="56" spans="1:39" x14ac:dyDescent="0.3">
      <c r="A56">
        <f t="shared" si="0"/>
        <v>0</v>
      </c>
      <c r="B56" s="2">
        <f t="shared" si="4"/>
        <v>15.915500000119209</v>
      </c>
      <c r="C56" s="2" t="e">
        <f t="shared" si="11"/>
        <v>#VALUE!</v>
      </c>
      <c r="D56" s="2">
        <f t="shared" si="5"/>
        <v>0.73042560000021695</v>
      </c>
      <c r="E56" s="2"/>
      <c r="F56">
        <v>2906.3339556000001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>
        <v>0</v>
      </c>
      <c r="O56">
        <v>0</v>
      </c>
      <c r="P56">
        <v>0</v>
      </c>
      <c r="Q56">
        <v>0</v>
      </c>
      <c r="R56">
        <v>-9.1591156005859306E-2</v>
      </c>
      <c r="S56">
        <v>2.9245292663574202E-2</v>
      </c>
      <c r="T56">
        <v>0</v>
      </c>
      <c r="U56" s="7">
        <v>166.447</v>
      </c>
      <c r="V56" s="7">
        <v>-1.2509999999999999</v>
      </c>
      <c r="W56" s="7">
        <v>-0.77800000000000002</v>
      </c>
      <c r="X56" s="7">
        <v>0.66500000000000004</v>
      </c>
      <c r="Y56" t="b">
        <v>1</v>
      </c>
      <c r="Z56">
        <v>79</v>
      </c>
      <c r="AA56">
        <f t="shared" si="1"/>
        <v>-9.1591156005859311</v>
      </c>
      <c r="AB56">
        <f t="shared" si="6"/>
        <v>38.924744104068431</v>
      </c>
      <c r="AC56" t="e">
        <f t="shared" si="7"/>
        <v>#VALUE!</v>
      </c>
      <c r="AE56" s="2">
        <f t="shared" si="13"/>
        <v>3.2110799999827577E-2</v>
      </c>
      <c r="AF56" s="2">
        <f t="shared" si="12"/>
        <v>1.6049176999999872</v>
      </c>
      <c r="AG56">
        <v>2911.6031935999999</v>
      </c>
      <c r="AH56">
        <v>190.17546857142801</v>
      </c>
      <c r="AI56">
        <v>27.001085714285701</v>
      </c>
      <c r="AJ56" s="2">
        <f t="shared" si="9"/>
        <v>0.36130285714289911</v>
      </c>
      <c r="AK56" s="2">
        <f t="shared" si="3"/>
        <v>1.559882768963387</v>
      </c>
      <c r="AL56" s="2">
        <f t="shared" si="10"/>
        <v>1.1985799118204878</v>
      </c>
      <c r="AM56" s="2"/>
    </row>
    <row r="57" spans="1:39" x14ac:dyDescent="0.3">
      <c r="A57">
        <f t="shared" si="0"/>
        <v>0</v>
      </c>
      <c r="B57" s="2">
        <f t="shared" si="4"/>
        <v>15.47789999995075</v>
      </c>
      <c r="C57" s="2" t="e">
        <f t="shared" si="11"/>
        <v>#VALUE!</v>
      </c>
      <c r="D57" s="2">
        <f t="shared" si="5"/>
        <v>0.7459035000001677</v>
      </c>
      <c r="E57" s="2"/>
      <c r="F57">
        <v>2906.3494335</v>
      </c>
      <c r="G57" t="s">
        <v>37</v>
      </c>
      <c r="H57" t="s">
        <v>37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>
        <v>0</v>
      </c>
      <c r="O57">
        <v>0</v>
      </c>
      <c r="P57">
        <v>0</v>
      </c>
      <c r="Q57">
        <v>0</v>
      </c>
      <c r="R57">
        <v>-9.1591156005859306E-2</v>
      </c>
      <c r="S57">
        <v>2.9245292663574202E-2</v>
      </c>
      <c r="T57">
        <v>0</v>
      </c>
      <c r="U57" s="7">
        <v>166.447</v>
      </c>
      <c r="V57" s="7">
        <v>-1.2509999999999999</v>
      </c>
      <c r="W57" s="7">
        <v>-0.77800000000000002</v>
      </c>
      <c r="X57" s="7">
        <v>0.66500000000000004</v>
      </c>
      <c r="Y57" t="b">
        <v>1</v>
      </c>
      <c r="Z57">
        <v>79</v>
      </c>
      <c r="AA57">
        <f t="shared" si="1"/>
        <v>-9.1591156005859311</v>
      </c>
      <c r="AB57">
        <f t="shared" si="6"/>
        <v>38.782980228714571</v>
      </c>
      <c r="AC57" t="e">
        <f t="shared" si="7"/>
        <v>#VALUE!</v>
      </c>
      <c r="AE57" s="2">
        <f t="shared" si="13"/>
        <v>3.1020400000215886E-2</v>
      </c>
      <c r="AF57" s="2">
        <f t="shared" si="12"/>
        <v>1.6359381000002031</v>
      </c>
      <c r="AG57">
        <v>2911.6342140000002</v>
      </c>
      <c r="AH57">
        <v>190.61466857142801</v>
      </c>
      <c r="AI57">
        <v>27.428765714285699</v>
      </c>
      <c r="AJ57" s="2">
        <f t="shared" si="9"/>
        <v>0.78898285714289784</v>
      </c>
      <c r="AK57" s="2">
        <f t="shared" si="3"/>
        <v>1.8693411716710933</v>
      </c>
      <c r="AL57" s="2">
        <f t="shared" si="10"/>
        <v>1.0803583145281954</v>
      </c>
      <c r="AM57" s="2"/>
    </row>
    <row r="58" spans="1:39" x14ac:dyDescent="0.3">
      <c r="A58">
        <f t="shared" si="0"/>
        <v>0</v>
      </c>
      <c r="B58" s="2">
        <f t="shared" si="4"/>
        <v>14.816699999755656</v>
      </c>
      <c r="C58" s="2" t="e">
        <f t="shared" si="11"/>
        <v>#VALUE!</v>
      </c>
      <c r="D58" s="2">
        <f t="shared" si="5"/>
        <v>0.76072019999992335</v>
      </c>
      <c r="E58" s="2"/>
      <c r="F58">
        <v>2906.3642501999998</v>
      </c>
      <c r="G58" t="s">
        <v>37</v>
      </c>
      <c r="H58" t="s">
        <v>37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>
        <v>0</v>
      </c>
      <c r="O58">
        <v>0</v>
      </c>
      <c r="P58">
        <v>0</v>
      </c>
      <c r="Q58">
        <v>0</v>
      </c>
      <c r="R58">
        <v>-9.1591156005859306E-2</v>
      </c>
      <c r="S58">
        <v>2.9245292663574202E-2</v>
      </c>
      <c r="T58">
        <v>0</v>
      </c>
      <c r="U58" s="7">
        <v>166.447</v>
      </c>
      <c r="V58" s="7">
        <v>-1.2509999999999999</v>
      </c>
      <c r="W58" s="7">
        <v>-0.77800000000000002</v>
      </c>
      <c r="X58" s="7">
        <v>0.66500000000000004</v>
      </c>
      <c r="Y58" t="b">
        <v>1</v>
      </c>
      <c r="Z58">
        <v>79</v>
      </c>
      <c r="AA58">
        <f t="shared" si="1"/>
        <v>-9.1591156005859311</v>
      </c>
      <c r="AB58">
        <f t="shared" si="6"/>
        <v>38.647272360597604</v>
      </c>
      <c r="AC58" t="e">
        <f t="shared" si="7"/>
        <v>#VALUE!</v>
      </c>
      <c r="AE58" s="2">
        <f t="shared" si="13"/>
        <v>3.0975099999977829E-2</v>
      </c>
      <c r="AF58" s="2">
        <f t="shared" si="12"/>
        <v>1.666913200000181</v>
      </c>
      <c r="AG58">
        <v>2911.6651891000001</v>
      </c>
      <c r="AH58">
        <v>191.04416571428499</v>
      </c>
      <c r="AI58">
        <v>27.9778914285714</v>
      </c>
      <c r="AJ58" s="2">
        <f t="shared" si="9"/>
        <v>1.3381085714285987</v>
      </c>
      <c r="AK58" s="2">
        <f t="shared" si="3"/>
        <v>2.2043841362876182</v>
      </c>
      <c r="AL58" s="2">
        <f t="shared" si="10"/>
        <v>0.86627556485901946</v>
      </c>
      <c r="AM58" s="2"/>
    </row>
    <row r="59" spans="1:39" x14ac:dyDescent="0.3">
      <c r="A59">
        <f t="shared" si="0"/>
        <v>0</v>
      </c>
      <c r="B59" s="2">
        <f t="shared" si="4"/>
        <v>16.29640000010113</v>
      </c>
      <c r="C59" s="2" t="e">
        <f t="shared" si="11"/>
        <v>#VALUE!</v>
      </c>
      <c r="D59" s="2">
        <f t="shared" si="5"/>
        <v>0.77701660000002448</v>
      </c>
      <c r="E59" s="2"/>
      <c r="F59">
        <v>2906.3805465999999</v>
      </c>
      <c r="G59" t="s">
        <v>37</v>
      </c>
      <c r="H59" t="s">
        <v>37</v>
      </c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>
        <v>0</v>
      </c>
      <c r="O59">
        <v>0</v>
      </c>
      <c r="P59">
        <v>0</v>
      </c>
      <c r="Q59">
        <v>0</v>
      </c>
      <c r="R59">
        <v>-0.126464378356933</v>
      </c>
      <c r="S59">
        <v>-1.3879941701888999E-3</v>
      </c>
      <c r="T59">
        <v>0</v>
      </c>
      <c r="U59" s="7">
        <v>166.488</v>
      </c>
      <c r="V59" s="7">
        <v>-1.4850000000000001</v>
      </c>
      <c r="W59" s="7">
        <v>-0.86499999999999999</v>
      </c>
      <c r="X59" s="7">
        <v>0.65400000000000003</v>
      </c>
      <c r="Y59" t="b">
        <v>1</v>
      </c>
      <c r="Z59">
        <v>79</v>
      </c>
      <c r="AA59">
        <f t="shared" si="1"/>
        <v>-12.6464378356933</v>
      </c>
      <c r="AB59">
        <f t="shared" si="6"/>
        <v>38.498011749123286</v>
      </c>
      <c r="AC59" t="e">
        <f t="shared" si="7"/>
        <v>#VALUE!</v>
      </c>
      <c r="AE59" s="2">
        <f t="shared" si="13"/>
        <v>3.0986299999767652E-2</v>
      </c>
      <c r="AF59" s="2">
        <f t="shared" si="12"/>
        <v>1.6978994999999486</v>
      </c>
      <c r="AG59">
        <v>2911.6961753999999</v>
      </c>
      <c r="AH59">
        <v>191.46860571428499</v>
      </c>
      <c r="AI59">
        <v>28.629891428571401</v>
      </c>
      <c r="AJ59" s="2">
        <f t="shared" si="9"/>
        <v>1.9901085714285998</v>
      </c>
      <c r="AK59" s="2">
        <f t="shared" si="3"/>
        <v>2.5651489570080619</v>
      </c>
      <c r="AL59" s="2">
        <f t="shared" si="10"/>
        <v>0.57504038557946213</v>
      </c>
      <c r="AM59" s="2"/>
    </row>
    <row r="60" spans="1:39" x14ac:dyDescent="0.3">
      <c r="A60">
        <f t="shared" si="0"/>
        <v>0</v>
      </c>
      <c r="B60" s="2">
        <f t="shared" si="4"/>
        <v>15.707600000041566</v>
      </c>
      <c r="C60" s="2" t="e">
        <f t="shared" si="11"/>
        <v>#VALUE!</v>
      </c>
      <c r="D60" s="2">
        <f t="shared" si="5"/>
        <v>0.79272420000006605</v>
      </c>
      <c r="E60" s="2"/>
      <c r="F60">
        <v>2906.3962541999999</v>
      </c>
      <c r="G60" t="s">
        <v>37</v>
      </c>
      <c r="H60" t="s">
        <v>37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>
        <v>0</v>
      </c>
      <c r="O60">
        <v>0</v>
      </c>
      <c r="P60">
        <v>0</v>
      </c>
      <c r="Q60">
        <v>0</v>
      </c>
      <c r="R60">
        <v>-0.126464378356933</v>
      </c>
      <c r="S60">
        <v>-1.3879941701888999E-3</v>
      </c>
      <c r="T60">
        <v>0</v>
      </c>
      <c r="U60" s="7">
        <v>166.488</v>
      </c>
      <c r="V60" s="7">
        <v>-1.4850000000000001</v>
      </c>
      <c r="W60" s="7">
        <v>-0.86499999999999999</v>
      </c>
      <c r="X60" s="7">
        <v>0.65400000000000003</v>
      </c>
      <c r="Y60" t="b">
        <v>1</v>
      </c>
      <c r="Z60">
        <v>79</v>
      </c>
      <c r="AA60">
        <f t="shared" si="1"/>
        <v>-12.6464378356933</v>
      </c>
      <c r="AB60">
        <f t="shared" si="6"/>
        <v>38.299366562174825</v>
      </c>
      <c r="AC60" t="e">
        <f t="shared" si="7"/>
        <v>#VALUE!</v>
      </c>
      <c r="AE60" s="2">
        <f t="shared" si="13"/>
        <v>4.7510599999895931E-2</v>
      </c>
      <c r="AF60" s="2">
        <f t="shared" si="12"/>
        <v>1.7454100999998445</v>
      </c>
      <c r="AG60">
        <v>2911.7436859999998</v>
      </c>
      <c r="AH60">
        <v>191.878285714285</v>
      </c>
      <c r="AI60">
        <v>29.266171428571401</v>
      </c>
      <c r="AJ60" s="2">
        <f t="shared" si="9"/>
        <v>2.6263885714285991</v>
      </c>
      <c r="AK60" s="2">
        <f t="shared" si="3"/>
        <v>3.1670630499712482</v>
      </c>
      <c r="AL60" s="2">
        <f t="shared" si="10"/>
        <v>0.54067447854264916</v>
      </c>
      <c r="AM60" s="2"/>
    </row>
    <row r="61" spans="1:39" x14ac:dyDescent="0.3">
      <c r="A61">
        <f t="shared" si="0"/>
        <v>0</v>
      </c>
      <c r="B61" s="2">
        <f t="shared" si="4"/>
        <v>15.982200000053126</v>
      </c>
      <c r="C61" s="2" t="e">
        <f t="shared" si="11"/>
        <v>#VALUE!</v>
      </c>
      <c r="D61" s="2">
        <f t="shared" si="5"/>
        <v>0.80870640000011917</v>
      </c>
      <c r="E61" s="2"/>
      <c r="F61">
        <v>2906.4122364</v>
      </c>
      <c r="G61" t="s">
        <v>37</v>
      </c>
      <c r="H61" t="s">
        <v>37</v>
      </c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>
        <v>0</v>
      </c>
      <c r="O61">
        <v>0</v>
      </c>
      <c r="P61">
        <v>0</v>
      </c>
      <c r="Q61">
        <v>0</v>
      </c>
      <c r="R61">
        <v>-0.126464378356933</v>
      </c>
      <c r="S61">
        <v>-1.3879941701888999E-3</v>
      </c>
      <c r="T61">
        <v>0</v>
      </c>
      <c r="U61" s="7">
        <v>166.488</v>
      </c>
      <c r="V61" s="7">
        <v>-1.4850000000000001</v>
      </c>
      <c r="W61" s="7">
        <v>-0.86499999999999999</v>
      </c>
      <c r="X61" s="7">
        <v>0.65400000000000003</v>
      </c>
      <c r="Y61" t="b">
        <v>1</v>
      </c>
      <c r="Z61">
        <v>79</v>
      </c>
      <c r="AA61">
        <f t="shared" si="1"/>
        <v>-12.6464378356933</v>
      </c>
      <c r="AB61">
        <f t="shared" si="6"/>
        <v>38.097248663396535</v>
      </c>
      <c r="AC61" t="e">
        <f t="shared" si="7"/>
        <v>#VALUE!</v>
      </c>
      <c r="AE61" s="2">
        <f t="shared" si="13"/>
        <v>1.6173100000287377E-2</v>
      </c>
      <c r="AF61" s="2">
        <f t="shared" si="12"/>
        <v>1.7615832000001319</v>
      </c>
      <c r="AG61">
        <v>2911.7598591000001</v>
      </c>
      <c r="AH61">
        <v>192.27812571428501</v>
      </c>
      <c r="AI61">
        <v>29.881491428571401</v>
      </c>
      <c r="AJ61" s="2">
        <f t="shared" si="9"/>
        <v>3.2417085714285996</v>
      </c>
      <c r="AK61" s="2">
        <f t="shared" si="3"/>
        <v>3.3852003097367236</v>
      </c>
      <c r="AL61" s="2">
        <f t="shared" si="10"/>
        <v>0.14349173830812401</v>
      </c>
      <c r="AM61" s="2"/>
    </row>
    <row r="62" spans="1:39" x14ac:dyDescent="0.3">
      <c r="A62">
        <f t="shared" si="0"/>
        <v>0</v>
      </c>
      <c r="B62" s="2">
        <f t="shared" si="4"/>
        <v>15.99160000023403</v>
      </c>
      <c r="C62" s="2" t="e">
        <f t="shared" si="11"/>
        <v>#VALUE!</v>
      </c>
      <c r="D62" s="2">
        <f t="shared" si="5"/>
        <v>0.8246980000003532</v>
      </c>
      <c r="E62" s="2"/>
      <c r="F62">
        <v>2906.4282280000002</v>
      </c>
      <c r="G62" t="s">
        <v>37</v>
      </c>
      <c r="H62" t="s">
        <v>37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>
        <v>0</v>
      </c>
      <c r="O62">
        <v>0</v>
      </c>
      <c r="P62">
        <v>0</v>
      </c>
      <c r="Q62">
        <v>0</v>
      </c>
      <c r="R62">
        <v>-0.126464378356933</v>
      </c>
      <c r="S62">
        <v>-1.3879941701888999E-3</v>
      </c>
      <c r="T62">
        <v>0</v>
      </c>
      <c r="U62" s="7">
        <v>166.488</v>
      </c>
      <c r="V62" s="7">
        <v>-1.4850000000000001</v>
      </c>
      <c r="W62" s="7">
        <v>-0.86499999999999999</v>
      </c>
      <c r="X62" s="7">
        <v>0.65400000000000003</v>
      </c>
      <c r="Y62" t="b">
        <v>1</v>
      </c>
      <c r="Z62">
        <v>79</v>
      </c>
      <c r="AA62">
        <f t="shared" si="1"/>
        <v>-12.6464378356933</v>
      </c>
      <c r="AB62">
        <f t="shared" si="6"/>
        <v>37.895011888100299</v>
      </c>
      <c r="AC62" t="e">
        <f t="shared" si="7"/>
        <v>#VALUE!</v>
      </c>
      <c r="AE62" s="2">
        <f t="shared" si="13"/>
        <v>3.1985199999780889E-2</v>
      </c>
      <c r="AF62" s="2">
        <f t="shared" si="12"/>
        <v>1.7935683999999128</v>
      </c>
      <c r="AG62">
        <v>2911.7918442999999</v>
      </c>
      <c r="AH62">
        <v>192.663205714285</v>
      </c>
      <c r="AI62">
        <v>30.475851428571399</v>
      </c>
      <c r="AJ62" s="2">
        <f t="shared" si="9"/>
        <v>3.8360685714285978</v>
      </c>
      <c r="AK62" s="2">
        <f t="shared" si="3"/>
        <v>3.8360686365249506</v>
      </c>
      <c r="AL62" s="2">
        <f t="shared" si="10"/>
        <v>6.5096352752647135E-8</v>
      </c>
      <c r="AM62" s="2"/>
    </row>
    <row r="63" spans="1:39" x14ac:dyDescent="0.3">
      <c r="A63">
        <f t="shared" si="0"/>
        <v>0</v>
      </c>
      <c r="B63" s="2">
        <f t="shared" si="4"/>
        <v>15.627599999788799</v>
      </c>
      <c r="C63" s="2" t="e">
        <f t="shared" si="11"/>
        <v>#VALUE!</v>
      </c>
      <c r="D63" s="2">
        <f t="shared" si="5"/>
        <v>0.840325600000142</v>
      </c>
      <c r="E63" s="2"/>
      <c r="F63">
        <v>2906.4438556</v>
      </c>
      <c r="G63" t="s">
        <v>37</v>
      </c>
      <c r="H63" t="s">
        <v>37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>
        <v>0</v>
      </c>
      <c r="O63">
        <v>0</v>
      </c>
      <c r="P63">
        <v>0</v>
      </c>
      <c r="Q63">
        <v>0</v>
      </c>
      <c r="R63">
        <v>-0.116051727294921</v>
      </c>
      <c r="S63">
        <v>-3.4151367187499997E-2</v>
      </c>
      <c r="T63">
        <v>0</v>
      </c>
      <c r="U63" s="7">
        <v>166.523</v>
      </c>
      <c r="V63" s="7">
        <v>-2.302</v>
      </c>
      <c r="W63" s="7">
        <v>-0.83399999999999996</v>
      </c>
      <c r="X63" s="7">
        <v>0.64300000000000002</v>
      </c>
      <c r="Y63" t="b">
        <v>1</v>
      </c>
      <c r="Z63">
        <v>79</v>
      </c>
      <c r="AA63">
        <f t="shared" si="1"/>
        <v>-11.6051727294921</v>
      </c>
      <c r="AB63">
        <f t="shared" si="6"/>
        <v>37.697378416181891</v>
      </c>
      <c r="AC63" t="e">
        <f t="shared" si="7"/>
        <v>#VALUE!</v>
      </c>
      <c r="AE63" s="2">
        <f t="shared" si="13"/>
        <v>3.1429200000275159E-2</v>
      </c>
      <c r="AF63" s="2">
        <f t="shared" si="12"/>
        <v>1.824997600000188</v>
      </c>
      <c r="AG63">
        <v>2911.8232735000001</v>
      </c>
      <c r="AH63">
        <v>193.03844571428499</v>
      </c>
      <c r="AI63">
        <v>31.044011428571402</v>
      </c>
      <c r="AJ63" s="2">
        <f t="shared" si="9"/>
        <v>4.4042285714286002</v>
      </c>
      <c r="AK63" s="2">
        <f t="shared" si="3"/>
        <v>4.3039255542701955</v>
      </c>
      <c r="AL63" s="2">
        <f t="shared" si="10"/>
        <v>0.10030301715840473</v>
      </c>
      <c r="AM63" s="2"/>
    </row>
    <row r="64" spans="1:39" x14ac:dyDescent="0.3">
      <c r="A64">
        <f t="shared" si="0"/>
        <v>0</v>
      </c>
      <c r="B64" s="2">
        <f t="shared" si="4"/>
        <v>15.439700000115408</v>
      </c>
      <c r="C64" s="2" t="e">
        <f t="shared" si="11"/>
        <v>#VALUE!</v>
      </c>
      <c r="D64" s="2">
        <f t="shared" si="5"/>
        <v>0.85576530000025741</v>
      </c>
      <c r="E64" s="2"/>
      <c r="F64">
        <v>2906.4592953000001</v>
      </c>
      <c r="G64" t="s">
        <v>37</v>
      </c>
      <c r="H64" t="s">
        <v>37</v>
      </c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>
        <v>0</v>
      </c>
      <c r="O64">
        <v>0</v>
      </c>
      <c r="P64">
        <v>0</v>
      </c>
      <c r="Q64">
        <v>0</v>
      </c>
      <c r="R64">
        <v>-0.116051727294921</v>
      </c>
      <c r="S64">
        <v>-3.4151367187499997E-2</v>
      </c>
      <c r="T64">
        <v>0</v>
      </c>
      <c r="U64" s="7">
        <v>166.523</v>
      </c>
      <c r="V64" s="7">
        <v>-2.302</v>
      </c>
      <c r="W64" s="7">
        <v>-0.83399999999999996</v>
      </c>
      <c r="X64" s="7">
        <v>0.64300000000000002</v>
      </c>
      <c r="Y64" t="b">
        <v>1</v>
      </c>
      <c r="Z64">
        <v>79</v>
      </c>
      <c r="AA64">
        <f t="shared" si="1"/>
        <v>-11.6051727294921</v>
      </c>
      <c r="AB64">
        <f t="shared" si="6"/>
        <v>37.518198030789016</v>
      </c>
      <c r="AC64" t="e">
        <f t="shared" si="7"/>
        <v>#VALUE!</v>
      </c>
      <c r="AE64" s="2">
        <f t="shared" si="13"/>
        <v>3.1860600000072736E-2</v>
      </c>
      <c r="AF64" s="2">
        <f t="shared" si="12"/>
        <v>1.8568582000002607</v>
      </c>
      <c r="AG64">
        <v>2911.8551341000002</v>
      </c>
      <c r="AH64">
        <v>193.40398285714201</v>
      </c>
      <c r="AI64">
        <v>31.6783657142857</v>
      </c>
      <c r="AJ64" s="2">
        <f t="shared" si="9"/>
        <v>5.0385828571428988</v>
      </c>
      <c r="AK64" s="2">
        <f t="shared" si="3"/>
        <v>4.802895799837982</v>
      </c>
      <c r="AL64" s="2">
        <f t="shared" si="10"/>
        <v>0.23568705730491679</v>
      </c>
      <c r="AM64" s="2"/>
    </row>
    <row r="65" spans="1:39" x14ac:dyDescent="0.3">
      <c r="A65">
        <f t="shared" si="0"/>
        <v>0</v>
      </c>
      <c r="B65" s="2">
        <f t="shared" si="4"/>
        <v>15.877199999977165</v>
      </c>
      <c r="C65" s="2" t="e">
        <f t="shared" si="11"/>
        <v>#VALUE!</v>
      </c>
      <c r="D65" s="2">
        <f t="shared" si="5"/>
        <v>0.87164250000023458</v>
      </c>
      <c r="E65" s="2"/>
      <c r="F65">
        <v>2906.4751725000001</v>
      </c>
      <c r="G65" t="s">
        <v>37</v>
      </c>
      <c r="H65" t="s">
        <v>37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>
        <v>0</v>
      </c>
      <c r="O65">
        <v>0</v>
      </c>
      <c r="P65">
        <v>0</v>
      </c>
      <c r="Q65">
        <v>0</v>
      </c>
      <c r="R65">
        <v>-0.116051727294921</v>
      </c>
      <c r="S65">
        <v>-3.4151367187499997E-2</v>
      </c>
      <c r="T65">
        <v>0</v>
      </c>
      <c r="U65" s="7">
        <v>166.523</v>
      </c>
      <c r="V65" s="7">
        <v>-2.302</v>
      </c>
      <c r="W65" s="7">
        <v>-0.83399999999999996</v>
      </c>
      <c r="X65" s="7">
        <v>0.64300000000000002</v>
      </c>
      <c r="Y65" t="b">
        <v>1</v>
      </c>
      <c r="Z65">
        <v>79</v>
      </c>
      <c r="AA65">
        <f t="shared" si="1"/>
        <v>-11.6051727294921</v>
      </c>
      <c r="AB65">
        <f t="shared" si="6"/>
        <v>37.333940382328592</v>
      </c>
      <c r="AC65" t="e">
        <f t="shared" si="7"/>
        <v>#VALUE!</v>
      </c>
      <c r="AE65" s="2">
        <f t="shared" si="13"/>
        <v>3.1158999999661319E-2</v>
      </c>
      <c r="AF65" s="2">
        <f t="shared" si="12"/>
        <v>1.888017199999922</v>
      </c>
      <c r="AG65">
        <v>2911.8862930999999</v>
      </c>
      <c r="AH65">
        <v>193.75476</v>
      </c>
      <c r="AI65">
        <v>32.276039999999902</v>
      </c>
      <c r="AJ65" s="2">
        <f t="shared" si="9"/>
        <v>5.6362571428571009</v>
      </c>
      <c r="AK65" s="2">
        <f t="shared" si="3"/>
        <v>5.3145187224191091</v>
      </c>
      <c r="AL65" s="2">
        <f t="shared" si="10"/>
        <v>0.32173842043799183</v>
      </c>
      <c r="AM65" s="2"/>
    </row>
    <row r="66" spans="1:39" x14ac:dyDescent="0.3">
      <c r="A66">
        <f t="shared" si="0"/>
        <v>0</v>
      </c>
      <c r="B66" s="2">
        <f t="shared" si="4"/>
        <v>15.086699999756092</v>
      </c>
      <c r="C66" s="2" t="e">
        <f t="shared" si="11"/>
        <v>#VALUE!</v>
      </c>
      <c r="D66" s="2">
        <f t="shared" si="5"/>
        <v>0.88672919999999067</v>
      </c>
      <c r="E66" s="2"/>
      <c r="F66">
        <v>2906.4902591999999</v>
      </c>
      <c r="G66" t="s">
        <v>37</v>
      </c>
      <c r="H66" t="s">
        <v>37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>
        <v>0</v>
      </c>
      <c r="O66">
        <v>0</v>
      </c>
      <c r="P66">
        <v>0</v>
      </c>
      <c r="Q66">
        <v>0</v>
      </c>
      <c r="R66">
        <v>-0.116051727294921</v>
      </c>
      <c r="S66">
        <v>-3.4151367187499997E-2</v>
      </c>
      <c r="T66">
        <v>0</v>
      </c>
      <c r="U66" s="7">
        <v>166.523</v>
      </c>
      <c r="V66" s="7">
        <v>-2.302</v>
      </c>
      <c r="W66" s="7">
        <v>-0.83399999999999996</v>
      </c>
      <c r="X66" s="7">
        <v>0.64300000000000002</v>
      </c>
      <c r="Y66" t="b">
        <v>1</v>
      </c>
      <c r="Z66">
        <v>79</v>
      </c>
      <c r="AA66">
        <f t="shared" si="1"/>
        <v>-11.6051727294921</v>
      </c>
      <c r="AB66">
        <f t="shared" si="6"/>
        <v>37.158856622913397</v>
      </c>
      <c r="AC66" t="e">
        <f t="shared" si="7"/>
        <v>#VALUE!</v>
      </c>
      <c r="AE66" s="2">
        <f t="shared" si="13"/>
        <v>4.5746700000108831E-2</v>
      </c>
      <c r="AF66" s="2">
        <f t="shared" si="12"/>
        <v>1.9337639000000308</v>
      </c>
      <c r="AG66">
        <v>2911.9320398</v>
      </c>
      <c r="AH66">
        <v>194.09424000000001</v>
      </c>
      <c r="AI66">
        <v>32.70796</v>
      </c>
      <c r="AJ66" s="2">
        <f t="shared" si="9"/>
        <v>6.0681771428571984</v>
      </c>
      <c r="AK66" s="2">
        <f t="shared" si="3"/>
        <v>6.1072056408099327</v>
      </c>
      <c r="AL66" s="2">
        <f t="shared" si="10"/>
        <v>3.902849795273422E-2</v>
      </c>
      <c r="AM66" s="2"/>
    </row>
    <row r="67" spans="1:39" x14ac:dyDescent="0.3">
      <c r="A67">
        <f t="shared" si="0"/>
        <v>0</v>
      </c>
      <c r="B67" s="2">
        <f t="shared" si="4"/>
        <v>15.78719999997702</v>
      </c>
      <c r="C67" s="2" t="e">
        <f t="shared" si="11"/>
        <v>#VALUE!</v>
      </c>
      <c r="D67" s="2">
        <f t="shared" si="5"/>
        <v>0.90251639999996769</v>
      </c>
      <c r="E67" s="2"/>
      <c r="F67">
        <v>2906.5060463999998</v>
      </c>
      <c r="G67" t="s">
        <v>37</v>
      </c>
      <c r="H67" t="s">
        <v>37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>
        <v>0</v>
      </c>
      <c r="O67">
        <v>0</v>
      </c>
      <c r="P67">
        <v>0</v>
      </c>
      <c r="Q67">
        <v>0</v>
      </c>
      <c r="R67">
        <v>-3.3164123535156201E-2</v>
      </c>
      <c r="S67">
        <v>-6.23199005126953E-2</v>
      </c>
      <c r="T67">
        <v>0</v>
      </c>
      <c r="U67" s="7">
        <v>166.60599999999999</v>
      </c>
      <c r="V67" s="7">
        <v>-3.31</v>
      </c>
      <c r="W67" s="7">
        <v>-0.59899999999999998</v>
      </c>
      <c r="X67" s="7">
        <v>0.62</v>
      </c>
      <c r="Y67" t="b">
        <v>1</v>
      </c>
      <c r="Z67">
        <v>79</v>
      </c>
      <c r="AA67">
        <f t="shared" si="1"/>
        <v>-3.31641235351562</v>
      </c>
      <c r="AB67">
        <f t="shared" si="6"/>
        <v>36.975643439998628</v>
      </c>
      <c r="AC67" t="e">
        <f t="shared" si="7"/>
        <v>#VALUE!</v>
      </c>
      <c r="AE67" s="2">
        <f t="shared" si="13"/>
        <v>3.1401700000060373E-2</v>
      </c>
      <c r="AF67" s="2">
        <f t="shared" si="12"/>
        <v>1.9651656000000912</v>
      </c>
      <c r="AG67">
        <v>2911.9634415</v>
      </c>
      <c r="AH67">
        <v>194.43863999999999</v>
      </c>
      <c r="AI67">
        <v>33.103199999999902</v>
      </c>
      <c r="AJ67" s="2">
        <f t="shared" si="9"/>
        <v>6.4634171428571001</v>
      </c>
      <c r="AK67" s="2">
        <f t="shared" si="3"/>
        <v>6.6793779391449224</v>
      </c>
      <c r="AL67" s="2">
        <f t="shared" si="10"/>
        <v>0.21596079628782228</v>
      </c>
      <c r="AM67" s="2"/>
    </row>
    <row r="68" spans="1:39" x14ac:dyDescent="0.3">
      <c r="A68">
        <f t="shared" si="0"/>
        <v>0</v>
      </c>
      <c r="B68" s="2">
        <f t="shared" si="4"/>
        <v>14.700500000344618</v>
      </c>
      <c r="C68" s="2" t="e">
        <f t="shared" si="11"/>
        <v>#VALUE!</v>
      </c>
      <c r="D68" s="2">
        <f t="shared" si="5"/>
        <v>0.91721690000031231</v>
      </c>
      <c r="E68" s="2"/>
      <c r="F68">
        <v>2906.5207469000002</v>
      </c>
      <c r="G68" t="s">
        <v>37</v>
      </c>
      <c r="H68" t="s">
        <v>37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>
        <v>0</v>
      </c>
      <c r="O68">
        <v>0</v>
      </c>
      <c r="P68">
        <v>0</v>
      </c>
      <c r="Q68">
        <v>0</v>
      </c>
      <c r="R68">
        <v>-3.3164123535156201E-2</v>
      </c>
      <c r="S68">
        <v>-6.23199005126953E-2</v>
      </c>
      <c r="T68">
        <v>0</v>
      </c>
      <c r="U68" s="7">
        <v>166.60599999999999</v>
      </c>
      <c r="V68" s="7">
        <v>-3.31</v>
      </c>
      <c r="W68" s="7">
        <v>-0.59899999999999998</v>
      </c>
      <c r="X68" s="7">
        <v>0.62</v>
      </c>
      <c r="Y68" t="b">
        <v>1</v>
      </c>
      <c r="Z68">
        <v>79</v>
      </c>
      <c r="AA68">
        <f t="shared" si="1"/>
        <v>-3.31641235351562</v>
      </c>
      <c r="AB68">
        <f t="shared" si="6"/>
        <v>36.926890520194625</v>
      </c>
      <c r="AC68" t="e">
        <f t="shared" si="7"/>
        <v>#VALUE!</v>
      </c>
      <c r="AE68" s="2">
        <f t="shared" si="13"/>
        <v>3.1796199999917008E-2</v>
      </c>
      <c r="AF68" s="2">
        <f t="shared" si="12"/>
        <v>1.9969618000000082</v>
      </c>
      <c r="AG68">
        <v>2911.9952377</v>
      </c>
      <c r="AH68">
        <v>194.79288</v>
      </c>
      <c r="AI68">
        <v>33.461759999999998</v>
      </c>
      <c r="AJ68" s="2">
        <f t="shared" si="9"/>
        <v>6.8219771428571967</v>
      </c>
      <c r="AK68" s="2">
        <f t="shared" si="3"/>
        <v>7.2815555652696062</v>
      </c>
      <c r="AL68" s="2">
        <f t="shared" si="10"/>
        <v>0.45957842241240954</v>
      </c>
      <c r="AM68" s="2"/>
    </row>
    <row r="69" spans="1:39" x14ac:dyDescent="0.3">
      <c r="A69">
        <f t="shared" si="0"/>
        <v>0</v>
      </c>
      <c r="B69" s="2">
        <f t="shared" si="4"/>
        <v>15.28329999973721</v>
      </c>
      <c r="C69" s="2" t="e">
        <f t="shared" si="11"/>
        <v>#VALUE!</v>
      </c>
      <c r="D69" s="2">
        <f t="shared" si="5"/>
        <v>0.93250020000004952</v>
      </c>
      <c r="E69" s="2"/>
      <c r="F69">
        <v>2906.5360301999999</v>
      </c>
      <c r="G69" t="s">
        <v>37</v>
      </c>
      <c r="H69" t="s">
        <v>37</v>
      </c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>
        <v>0</v>
      </c>
      <c r="O69">
        <v>0</v>
      </c>
      <c r="P69">
        <v>0</v>
      </c>
      <c r="Q69">
        <v>0</v>
      </c>
      <c r="R69">
        <v>-3.3164123535156201E-2</v>
      </c>
      <c r="S69">
        <v>-6.23199005126953E-2</v>
      </c>
      <c r="T69">
        <v>0</v>
      </c>
      <c r="U69" s="7">
        <v>166.60599999999999</v>
      </c>
      <c r="V69" s="7">
        <v>-3.31</v>
      </c>
      <c r="W69" s="7">
        <v>-0.59899999999999998</v>
      </c>
      <c r="X69" s="7">
        <v>0.62</v>
      </c>
      <c r="Y69" t="b">
        <v>1</v>
      </c>
      <c r="Z69">
        <v>79</v>
      </c>
      <c r="AA69">
        <f t="shared" si="1"/>
        <v>-3.31641235351562</v>
      </c>
      <c r="AB69">
        <f t="shared" si="6"/>
        <v>36.876204795273011</v>
      </c>
      <c r="AC69" t="e">
        <f t="shared" si="7"/>
        <v>#VALUE!</v>
      </c>
      <c r="AE69" s="2">
        <f t="shared" si="13"/>
        <v>3.0953100000260747E-2</v>
      </c>
      <c r="AF69" s="2">
        <f t="shared" si="12"/>
        <v>2.027914900000269</v>
      </c>
      <c r="AG69">
        <v>2912.0261908000002</v>
      </c>
      <c r="AH69">
        <v>195.16368</v>
      </c>
      <c r="AI69">
        <v>34.1829999999999</v>
      </c>
      <c r="AJ69" s="2">
        <f t="shared" si="9"/>
        <v>7.5432171428570989</v>
      </c>
      <c r="AK69" s="2">
        <f t="shared" si="3"/>
        <v>7.8894508563132844</v>
      </c>
      <c r="AL69" s="2">
        <f t="shared" si="10"/>
        <v>0.34623371345618548</v>
      </c>
      <c r="AM69" s="2"/>
    </row>
    <row r="70" spans="1:39" x14ac:dyDescent="0.3">
      <c r="A70">
        <f t="shared" si="0"/>
        <v>0</v>
      </c>
      <c r="B70" s="2">
        <f t="shared" si="4"/>
        <v>15.881000000263157</v>
      </c>
      <c r="C70" s="2" t="e">
        <f t="shared" si="11"/>
        <v>#VALUE!</v>
      </c>
      <c r="D70" s="2">
        <f t="shared" si="5"/>
        <v>0.94838120000031267</v>
      </c>
      <c r="E70" s="2"/>
      <c r="F70">
        <v>2906.5519112000002</v>
      </c>
      <c r="G70" t="s">
        <v>37</v>
      </c>
      <c r="H70" t="s">
        <v>37</v>
      </c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>
        <v>0</v>
      </c>
      <c r="O70">
        <v>0</v>
      </c>
      <c r="P70">
        <v>0</v>
      </c>
      <c r="Q70">
        <v>0</v>
      </c>
      <c r="R70">
        <v>-3.3164123535156201E-2</v>
      </c>
      <c r="S70">
        <v>-6.23199005126953E-2</v>
      </c>
      <c r="T70">
        <v>0</v>
      </c>
      <c r="U70" s="7">
        <v>166.60599999999999</v>
      </c>
      <c r="V70" s="7">
        <v>-3.31</v>
      </c>
      <c r="W70" s="7">
        <v>-0.59899999999999998</v>
      </c>
      <c r="X70" s="7">
        <v>0.62</v>
      </c>
      <c r="Y70" t="b">
        <v>1</v>
      </c>
      <c r="Z70">
        <v>79</v>
      </c>
      <c r="AA70">
        <f t="shared" si="1"/>
        <v>-3.31641235351562</v>
      </c>
      <c r="AB70">
        <f t="shared" si="6"/>
        <v>36.823536850685954</v>
      </c>
      <c r="AC70" t="e">
        <f t="shared" si="7"/>
        <v>#VALUE!</v>
      </c>
      <c r="AE70" s="2">
        <f t="shared" si="13"/>
        <v>3.112169999985781E-2</v>
      </c>
      <c r="AF70" s="2">
        <f t="shared" si="12"/>
        <v>2.0590366000001268</v>
      </c>
      <c r="AG70">
        <v>2912.0573125000001</v>
      </c>
      <c r="AH70">
        <v>195.53904</v>
      </c>
      <c r="AI70">
        <v>35.115559999999903</v>
      </c>
      <c r="AJ70" s="2">
        <f t="shared" si="9"/>
        <v>8.4757771428571012</v>
      </c>
      <c r="AK70" s="2">
        <f t="shared" si="3"/>
        <v>8.5218655519733879</v>
      </c>
      <c r="AL70" s="2">
        <f t="shared" si="10"/>
        <v>4.6088409116286755E-2</v>
      </c>
      <c r="AM70" s="2"/>
    </row>
    <row r="71" spans="1:39" x14ac:dyDescent="0.3">
      <c r="A71">
        <f t="shared" ref="A71:A134" si="14">N71*10000</f>
        <v>0</v>
      </c>
      <c r="B71" s="2">
        <f t="shared" si="4"/>
        <v>16.169699999863951</v>
      </c>
      <c r="C71" s="2" t="e">
        <f t="shared" si="11"/>
        <v>#VALUE!</v>
      </c>
      <c r="D71" s="2">
        <f t="shared" si="5"/>
        <v>0.96455090000017663</v>
      </c>
      <c r="E71" s="2"/>
      <c r="F71">
        <v>2906.5680809</v>
      </c>
      <c r="G71" t="s">
        <v>37</v>
      </c>
      <c r="H71" t="s">
        <v>37</v>
      </c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>
        <v>0</v>
      </c>
      <c r="O71">
        <v>0</v>
      </c>
      <c r="P71">
        <v>0</v>
      </c>
      <c r="Q71">
        <v>0</v>
      </c>
      <c r="R71">
        <v>-3.3164123535156201E-2</v>
      </c>
      <c r="S71">
        <v>-6.23199005126953E-2</v>
      </c>
      <c r="T71">
        <v>0</v>
      </c>
      <c r="U71" s="7">
        <v>166.60599999999999</v>
      </c>
      <c r="V71" s="7">
        <v>-3.31</v>
      </c>
      <c r="W71" s="7">
        <v>-0.59899999999999998</v>
      </c>
      <c r="X71" s="7">
        <v>0.62</v>
      </c>
      <c r="Y71" t="b">
        <v>1</v>
      </c>
      <c r="Z71">
        <v>79</v>
      </c>
      <c r="AA71">
        <f t="shared" ref="AA71:AA134" si="15">R71*100</f>
        <v>-3.31641235351562</v>
      </c>
      <c r="AB71">
        <f t="shared" si="6"/>
        <v>36.769911457853766</v>
      </c>
      <c r="AC71" t="e">
        <f t="shared" si="7"/>
        <v>#VALUE!</v>
      </c>
      <c r="AE71" s="2">
        <f t="shared" si="13"/>
        <v>3.0705699999998615E-2</v>
      </c>
      <c r="AF71" s="2">
        <f t="shared" ref="AF71:AF89" si="16">AG71-$AG$7</f>
        <v>2.0897423000001254</v>
      </c>
      <c r="AG71">
        <v>2912.0880182000001</v>
      </c>
      <c r="AH71">
        <v>195.91788</v>
      </c>
      <c r="AI71">
        <v>36.162799999999997</v>
      </c>
      <c r="AJ71" s="2">
        <f t="shared" si="9"/>
        <v>9.5230171428571957</v>
      </c>
      <c r="AK71" s="2">
        <f t="shared" ref="AK71:AK134" si="17">IF(AF71&lt;$AK$3,0,$AK$1*((AF71-$AK$3)-$AK$2+($AK$2*(EXP(-1*(AF71-$AK$3)/$AK$2)))))</f>
        <v>9.166323973178331</v>
      </c>
      <c r="AL71" s="2">
        <f t="shared" si="10"/>
        <v>0.35669316967886466</v>
      </c>
      <c r="AM71" s="2"/>
    </row>
    <row r="72" spans="1:39" x14ac:dyDescent="0.3">
      <c r="A72">
        <f t="shared" si="14"/>
        <v>0</v>
      </c>
      <c r="B72" s="2">
        <f t="shared" ref="B72:B135" si="18">(F72-F71)*1000</f>
        <v>15.435199999956239</v>
      </c>
      <c r="C72" s="2" t="e">
        <f t="shared" si="11"/>
        <v>#VALUE!</v>
      </c>
      <c r="D72" s="2">
        <f t="shared" ref="D72:D135" si="19">F72-$F$7</f>
        <v>0.97998610000013286</v>
      </c>
      <c r="E72" s="2"/>
      <c r="F72">
        <v>2906.5835161</v>
      </c>
      <c r="G72" t="s">
        <v>37</v>
      </c>
      <c r="H72" t="s">
        <v>37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>
        <v>0</v>
      </c>
      <c r="O72">
        <v>0</v>
      </c>
      <c r="P72">
        <v>0</v>
      </c>
      <c r="Q72">
        <v>0</v>
      </c>
      <c r="R72">
        <v>4.4850044250488198E-2</v>
      </c>
      <c r="S72">
        <v>-5.0524341583251899E-2</v>
      </c>
      <c r="T72">
        <v>0</v>
      </c>
      <c r="U72" s="7">
        <v>166.791</v>
      </c>
      <c r="V72" s="7">
        <v>-3.4369999999999998</v>
      </c>
      <c r="W72" s="7">
        <v>-9.7000000000000003E-2</v>
      </c>
      <c r="X72" s="7">
        <v>0.61099999999999999</v>
      </c>
      <c r="Y72" t="b">
        <v>1</v>
      </c>
      <c r="Z72">
        <v>79</v>
      </c>
      <c r="AA72">
        <f t="shared" si="15"/>
        <v>4.4850044250488201</v>
      </c>
      <c r="AB72">
        <f t="shared" ref="AB72:AB135" si="20">AB71+(AA71*(D72-D71))</f>
        <v>36.718721969894929</v>
      </c>
      <c r="AC72" t="e">
        <f t="shared" ref="AC72:AC135" si="21">IF((L72-L71)/(D72-D71)&lt;100,IF((L72-L71)/(D72-D71)&gt;(-1*20),(L72-L71)/(D72-D71),AC71))</f>
        <v>#VALUE!</v>
      </c>
      <c r="AE72" s="2">
        <f t="shared" ref="AE72:AE89" si="22">AG72-AG71</f>
        <v>3.166559999999663E-2</v>
      </c>
      <c r="AF72" s="2">
        <f t="shared" si="16"/>
        <v>2.121407900000122</v>
      </c>
      <c r="AG72">
        <v>2912.1196838000001</v>
      </c>
      <c r="AH72">
        <v>196.27849714285699</v>
      </c>
      <c r="AI72">
        <v>37.333874285714202</v>
      </c>
      <c r="AJ72" s="2">
        <f t="shared" ref="AJ72:AJ135" si="23">AI72-$AI$4</f>
        <v>10.694091428571401</v>
      </c>
      <c r="AK72" s="2">
        <f t="shared" si="17"/>
        <v>9.8518980077597558</v>
      </c>
      <c r="AL72" s="2">
        <f t="shared" ref="AL72:AL89" si="24">ABS(AK72-AJ72)</f>
        <v>0.84219342081164505</v>
      </c>
      <c r="AM72" s="2"/>
    </row>
    <row r="73" spans="1:39" x14ac:dyDescent="0.3">
      <c r="A73">
        <f t="shared" si="14"/>
        <v>0</v>
      </c>
      <c r="B73" s="2">
        <f t="shared" si="18"/>
        <v>15.909000000192464</v>
      </c>
      <c r="C73" s="2" t="e">
        <f t="shared" ref="C73:C136" si="25">L73-L72</f>
        <v>#VALUE!</v>
      </c>
      <c r="D73" s="2">
        <f t="shared" si="19"/>
        <v>0.99589510000032533</v>
      </c>
      <c r="E73" s="2"/>
      <c r="F73">
        <v>2906.5994251000002</v>
      </c>
      <c r="G73" t="s">
        <v>37</v>
      </c>
      <c r="H73" t="s">
        <v>37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>
        <v>0</v>
      </c>
      <c r="O73">
        <v>0</v>
      </c>
      <c r="P73">
        <v>0</v>
      </c>
      <c r="Q73">
        <v>0</v>
      </c>
      <c r="R73">
        <v>4.4850044250488198E-2</v>
      </c>
      <c r="S73">
        <v>-5.0524341583251899E-2</v>
      </c>
      <c r="T73">
        <v>0</v>
      </c>
      <c r="U73" s="7">
        <v>166.791</v>
      </c>
      <c r="V73" s="7">
        <v>-3.4369999999999998</v>
      </c>
      <c r="W73" s="7">
        <v>-9.7000000000000003E-2</v>
      </c>
      <c r="X73" s="7">
        <v>0.61099999999999999</v>
      </c>
      <c r="Y73" t="b">
        <v>1</v>
      </c>
      <c r="Z73">
        <v>79</v>
      </c>
      <c r="AA73">
        <f t="shared" si="15"/>
        <v>4.4850044250488201</v>
      </c>
      <c r="AB73">
        <f t="shared" si="20"/>
        <v>36.790073905293895</v>
      </c>
      <c r="AC73" t="e">
        <f t="shared" si="21"/>
        <v>#VALUE!</v>
      </c>
      <c r="AE73" s="2">
        <f t="shared" si="22"/>
        <v>4.6709899999768822E-2</v>
      </c>
      <c r="AF73" s="2">
        <f t="shared" si="16"/>
        <v>2.1681177999998908</v>
      </c>
      <c r="AG73">
        <v>2912.1663936999998</v>
      </c>
      <c r="AH73">
        <v>196.63911428571399</v>
      </c>
      <c r="AI73">
        <v>38.468268571428503</v>
      </c>
      <c r="AJ73" s="2">
        <f t="shared" si="23"/>
        <v>11.828485714285701</v>
      </c>
      <c r="AK73" s="2">
        <f t="shared" si="17"/>
        <v>10.90130283388395</v>
      </c>
      <c r="AL73" s="2">
        <f t="shared" si="24"/>
        <v>0.92718288040175167</v>
      </c>
      <c r="AM73" s="2"/>
    </row>
    <row r="74" spans="1:39" x14ac:dyDescent="0.3">
      <c r="A74">
        <f t="shared" si="14"/>
        <v>0</v>
      </c>
      <c r="B74" s="2">
        <f t="shared" si="18"/>
        <v>15.338400000018737</v>
      </c>
      <c r="C74" s="2" t="e">
        <f t="shared" si="25"/>
        <v>#VALUE!</v>
      </c>
      <c r="D74" s="2">
        <f t="shared" si="19"/>
        <v>1.0112335000003441</v>
      </c>
      <c r="E74" s="2"/>
      <c r="F74">
        <v>2906.6147635000002</v>
      </c>
      <c r="G74" t="s">
        <v>37</v>
      </c>
      <c r="H74" t="s">
        <v>37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>
        <v>0</v>
      </c>
      <c r="O74">
        <v>0</v>
      </c>
      <c r="P74">
        <v>0</v>
      </c>
      <c r="Q74">
        <v>0</v>
      </c>
      <c r="R74">
        <v>4.4850044250488198E-2</v>
      </c>
      <c r="S74">
        <v>-5.0524341583251899E-2</v>
      </c>
      <c r="T74">
        <v>0</v>
      </c>
      <c r="U74" s="7">
        <v>166.791</v>
      </c>
      <c r="V74" s="7">
        <v>-3.4369999999999998</v>
      </c>
      <c r="W74" s="7">
        <v>-9.7000000000000003E-2</v>
      </c>
      <c r="X74" s="7">
        <v>0.61099999999999999</v>
      </c>
      <c r="Y74" t="b">
        <v>1</v>
      </c>
      <c r="Z74">
        <v>79</v>
      </c>
      <c r="AA74">
        <f t="shared" si="15"/>
        <v>4.4850044250488201</v>
      </c>
      <c r="AB74">
        <f t="shared" si="20"/>
        <v>36.858866697167144</v>
      </c>
      <c r="AC74" t="e">
        <f t="shared" si="21"/>
        <v>#VALUE!</v>
      </c>
      <c r="AE74" s="2">
        <f t="shared" si="22"/>
        <v>1.5807900000254449E-2</v>
      </c>
      <c r="AF74" s="2">
        <f t="shared" si="16"/>
        <v>2.1839257000001453</v>
      </c>
      <c r="AG74">
        <v>2912.1822016000001</v>
      </c>
      <c r="AH74">
        <v>196.99481142857101</v>
      </c>
      <c r="AI74">
        <v>39.597422857142803</v>
      </c>
      <c r="AJ74" s="2">
        <f t="shared" si="23"/>
        <v>12.957640000000001</v>
      </c>
      <c r="AK74" s="2">
        <f t="shared" si="17"/>
        <v>11.266566661334116</v>
      </c>
      <c r="AL74" s="2">
        <f t="shared" si="24"/>
        <v>1.6910733386658858</v>
      </c>
      <c r="AM74" s="2"/>
    </row>
    <row r="75" spans="1:39" x14ac:dyDescent="0.3">
      <c r="A75">
        <f t="shared" si="14"/>
        <v>0</v>
      </c>
      <c r="B75" s="2">
        <f t="shared" si="18"/>
        <v>15.43199999969147</v>
      </c>
      <c r="C75" s="2" t="e">
        <f t="shared" si="25"/>
        <v>#VALUE!</v>
      </c>
      <c r="D75" s="2">
        <f t="shared" si="19"/>
        <v>1.0266655000000355</v>
      </c>
      <c r="E75" s="2"/>
      <c r="F75">
        <v>2906.6301954999999</v>
      </c>
      <c r="G75" t="s">
        <v>37</v>
      </c>
      <c r="H75" t="s">
        <v>37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>
        <v>0</v>
      </c>
      <c r="O75">
        <v>0</v>
      </c>
      <c r="P75">
        <v>0</v>
      </c>
      <c r="Q75">
        <v>0</v>
      </c>
      <c r="R75">
        <v>4.4850044250488198E-2</v>
      </c>
      <c r="S75">
        <v>-5.0524341583251899E-2</v>
      </c>
      <c r="T75">
        <v>0</v>
      </c>
      <c r="U75" s="7">
        <v>166.791</v>
      </c>
      <c r="V75" s="7">
        <v>-3.4369999999999998</v>
      </c>
      <c r="W75" s="7">
        <v>-9.7000000000000003E-2</v>
      </c>
      <c r="X75" s="7">
        <v>0.61099999999999999</v>
      </c>
      <c r="Y75" t="b">
        <v>1</v>
      </c>
      <c r="Z75">
        <v>79</v>
      </c>
      <c r="AA75">
        <f t="shared" si="15"/>
        <v>4.4850044250488201</v>
      </c>
      <c r="AB75">
        <f t="shared" si="20"/>
        <v>36.928079285453116</v>
      </c>
      <c r="AC75" t="e">
        <f t="shared" si="21"/>
        <v>#VALUE!</v>
      </c>
      <c r="AE75" s="2">
        <f t="shared" si="22"/>
        <v>3.1160900000031688E-2</v>
      </c>
      <c r="AF75" s="2">
        <f t="shared" si="16"/>
        <v>2.215086600000177</v>
      </c>
      <c r="AG75">
        <v>2912.2133625000001</v>
      </c>
      <c r="AH75">
        <v>197.35542857142801</v>
      </c>
      <c r="AI75">
        <v>40.721337142857102</v>
      </c>
      <c r="AJ75" s="2">
        <f t="shared" si="23"/>
        <v>14.081554285714301</v>
      </c>
      <c r="AK75" s="2">
        <f t="shared" si="17"/>
        <v>12.00131559605583</v>
      </c>
      <c r="AL75" s="2">
        <f t="shared" si="24"/>
        <v>2.0802386896584704</v>
      </c>
      <c r="AM75" s="2"/>
    </row>
    <row r="76" spans="1:39" x14ac:dyDescent="0.3">
      <c r="A76">
        <f t="shared" si="14"/>
        <v>0</v>
      </c>
      <c r="B76" s="2">
        <f t="shared" si="18"/>
        <v>15.714699999989534</v>
      </c>
      <c r="C76" s="2" t="e">
        <f t="shared" si="25"/>
        <v>#VALUE!</v>
      </c>
      <c r="D76" s="2">
        <f t="shared" si="19"/>
        <v>1.0423802000000251</v>
      </c>
      <c r="E76" s="2"/>
      <c r="F76">
        <v>2906.6459101999999</v>
      </c>
      <c r="G76" t="s">
        <v>37</v>
      </c>
      <c r="H76" t="s">
        <v>37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>
        <v>0</v>
      </c>
      <c r="O76">
        <v>0</v>
      </c>
      <c r="P76">
        <v>0</v>
      </c>
      <c r="Q76">
        <v>0</v>
      </c>
      <c r="R76">
        <v>8.55445404052734E-2</v>
      </c>
      <c r="S76">
        <v>-6.7427055358886698E-2</v>
      </c>
      <c r="T76">
        <v>0</v>
      </c>
      <c r="U76" s="7">
        <v>166.97499999999999</v>
      </c>
      <c r="V76" s="7">
        <v>-2.645</v>
      </c>
      <c r="W76" s="7">
        <v>6.6000000000000003E-2</v>
      </c>
      <c r="X76" s="7">
        <v>0.60599999999999998</v>
      </c>
      <c r="Y76" t="b">
        <v>1</v>
      </c>
      <c r="Z76">
        <v>79</v>
      </c>
      <c r="AA76">
        <f t="shared" si="15"/>
        <v>8.5544540405273395</v>
      </c>
      <c r="AB76">
        <f t="shared" si="20"/>
        <v>36.998559784491384</v>
      </c>
      <c r="AC76" t="e">
        <f t="shared" si="21"/>
        <v>#VALUE!</v>
      </c>
      <c r="AE76" s="2">
        <f t="shared" si="22"/>
        <v>3.0829199999971024E-2</v>
      </c>
      <c r="AF76" s="2">
        <f t="shared" si="16"/>
        <v>2.245915800000148</v>
      </c>
      <c r="AG76">
        <v>2912.2441917000001</v>
      </c>
      <c r="AH76">
        <v>197.725748571428</v>
      </c>
      <c r="AI76">
        <v>41.7318971428571</v>
      </c>
      <c r="AJ76" s="2">
        <f t="shared" si="23"/>
        <v>15.092114285714299</v>
      </c>
      <c r="AK76" s="2">
        <f t="shared" si="17"/>
        <v>12.747213767245489</v>
      </c>
      <c r="AL76" s="2">
        <f t="shared" si="24"/>
        <v>2.3449005184688101</v>
      </c>
      <c r="AM76" s="2"/>
    </row>
    <row r="77" spans="1:39" x14ac:dyDescent="0.3">
      <c r="A77">
        <f t="shared" si="14"/>
        <v>0</v>
      </c>
      <c r="B77" s="2">
        <f t="shared" si="18"/>
        <v>15.352899999925285</v>
      </c>
      <c r="C77" s="2" t="e">
        <f t="shared" si="25"/>
        <v>#VALUE!</v>
      </c>
      <c r="D77" s="2">
        <f t="shared" si="19"/>
        <v>1.0577330999999504</v>
      </c>
      <c r="E77" s="2"/>
      <c r="F77">
        <v>2906.6612630999998</v>
      </c>
      <c r="G77" t="s">
        <v>37</v>
      </c>
      <c r="H77" t="s">
        <v>37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>
        <v>0</v>
      </c>
      <c r="O77">
        <v>0</v>
      </c>
      <c r="P77">
        <v>0</v>
      </c>
      <c r="Q77">
        <v>0</v>
      </c>
      <c r="R77">
        <v>8.55445404052734E-2</v>
      </c>
      <c r="S77">
        <v>-6.7427055358886698E-2</v>
      </c>
      <c r="T77">
        <v>0</v>
      </c>
      <c r="U77" s="7">
        <v>166.97499999999999</v>
      </c>
      <c r="V77" s="7">
        <v>-2.645</v>
      </c>
      <c r="W77" s="7">
        <v>6.6000000000000003E-2</v>
      </c>
      <c r="X77" s="7">
        <v>0.60599999999999998</v>
      </c>
      <c r="Y77" t="b">
        <v>1</v>
      </c>
      <c r="Z77">
        <v>79</v>
      </c>
      <c r="AA77">
        <f t="shared" si="15"/>
        <v>8.5544540405273395</v>
      </c>
      <c r="AB77">
        <f t="shared" si="20"/>
        <v>37.129895461929557</v>
      </c>
      <c r="AC77" t="e">
        <f t="shared" si="21"/>
        <v>#VALUE!</v>
      </c>
      <c r="AE77" s="2">
        <f t="shared" si="22"/>
        <v>3.0843099999856349E-2</v>
      </c>
      <c r="AF77" s="2">
        <f t="shared" si="16"/>
        <v>2.2767589000000044</v>
      </c>
      <c r="AG77">
        <v>2912.2750348</v>
      </c>
      <c r="AH77">
        <v>198.10098857142799</v>
      </c>
      <c r="AI77">
        <v>42.747697142857099</v>
      </c>
      <c r="AJ77" s="2">
        <f t="shared" si="23"/>
        <v>16.107914285714298</v>
      </c>
      <c r="AK77" s="2">
        <f t="shared" si="17"/>
        <v>13.512017931786298</v>
      </c>
      <c r="AL77" s="2">
        <f t="shared" si="24"/>
        <v>2.5958963539279996</v>
      </c>
      <c r="AM77" s="2"/>
    </row>
    <row r="78" spans="1:39" x14ac:dyDescent="0.3">
      <c r="A78">
        <f t="shared" si="14"/>
        <v>0</v>
      </c>
      <c r="B78" s="2">
        <f t="shared" si="18"/>
        <v>15.259600000263163</v>
      </c>
      <c r="C78" s="2" t="e">
        <f t="shared" si="25"/>
        <v>#VALUE!</v>
      </c>
      <c r="D78" s="2">
        <f t="shared" si="19"/>
        <v>1.0729927000002135</v>
      </c>
      <c r="E78" s="2"/>
      <c r="F78">
        <v>2906.6765227000001</v>
      </c>
      <c r="G78" t="s">
        <v>37</v>
      </c>
      <c r="H78" t="s">
        <v>37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>
        <v>0</v>
      </c>
      <c r="O78">
        <v>0</v>
      </c>
      <c r="P78">
        <v>0</v>
      </c>
      <c r="Q78">
        <v>0</v>
      </c>
      <c r="R78">
        <v>8.55445404052734E-2</v>
      </c>
      <c r="S78">
        <v>-6.7427055358886698E-2</v>
      </c>
      <c r="T78">
        <v>0</v>
      </c>
      <c r="U78" s="7">
        <v>166.97499999999999</v>
      </c>
      <c r="V78" s="7">
        <v>-2.645</v>
      </c>
      <c r="W78" s="7">
        <v>6.6000000000000003E-2</v>
      </c>
      <c r="X78" s="7">
        <v>0.60599999999999998</v>
      </c>
      <c r="Y78" t="b">
        <v>1</v>
      </c>
      <c r="Z78">
        <v>79</v>
      </c>
      <c r="AA78">
        <f t="shared" si="15"/>
        <v>8.5544540405273395</v>
      </c>
      <c r="AB78">
        <f t="shared" si="20"/>
        <v>37.26043300880864</v>
      </c>
      <c r="AC78" t="e">
        <f t="shared" si="21"/>
        <v>#VALUE!</v>
      </c>
      <c r="AE78" s="2">
        <f t="shared" si="22"/>
        <v>7.8645999999935157E-2</v>
      </c>
      <c r="AF78" s="2">
        <f t="shared" si="16"/>
        <v>2.3554048999999395</v>
      </c>
      <c r="AG78">
        <v>2912.3536807999999</v>
      </c>
      <c r="AH78">
        <v>198.500828571428</v>
      </c>
      <c r="AI78">
        <v>43.763497142857098</v>
      </c>
      <c r="AJ78" s="2">
        <f t="shared" si="23"/>
        <v>17.123714285714296</v>
      </c>
      <c r="AK78" s="2">
        <f t="shared" si="17"/>
        <v>15.544148194374598</v>
      </c>
      <c r="AL78" s="2">
        <f t="shared" si="24"/>
        <v>1.5795660913396983</v>
      </c>
      <c r="AM78" s="2"/>
    </row>
    <row r="79" spans="1:39" x14ac:dyDescent="0.3">
      <c r="A79">
        <f t="shared" si="14"/>
        <v>0</v>
      </c>
      <c r="B79" s="2">
        <f t="shared" si="18"/>
        <v>15.435599999818805</v>
      </c>
      <c r="C79" s="2" t="e">
        <f t="shared" si="25"/>
        <v>#VALUE!</v>
      </c>
      <c r="D79" s="2">
        <f t="shared" si="19"/>
        <v>1.0884283000000323</v>
      </c>
      <c r="E79" s="2"/>
      <c r="F79">
        <v>2906.6919582999999</v>
      </c>
      <c r="G79" t="s">
        <v>37</v>
      </c>
      <c r="H79" t="s">
        <v>37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>
        <v>0</v>
      </c>
      <c r="O79">
        <v>0</v>
      </c>
      <c r="P79">
        <v>0</v>
      </c>
      <c r="Q79">
        <v>0</v>
      </c>
      <c r="R79">
        <v>8.55445404052734E-2</v>
      </c>
      <c r="S79">
        <v>-6.7427055358886698E-2</v>
      </c>
      <c r="T79">
        <v>0</v>
      </c>
      <c r="U79" s="7">
        <v>166.97499999999999</v>
      </c>
      <c r="V79" s="7">
        <v>-2.645</v>
      </c>
      <c r="W79" s="7">
        <v>6.6000000000000003E-2</v>
      </c>
      <c r="X79" s="7">
        <v>0.60599999999999998</v>
      </c>
      <c r="Y79" t="b">
        <v>1</v>
      </c>
      <c r="Z79">
        <v>79</v>
      </c>
      <c r="AA79">
        <f t="shared" si="15"/>
        <v>8.5544540405273395</v>
      </c>
      <c r="AB79">
        <f t="shared" si="20"/>
        <v>37.392476139595054</v>
      </c>
      <c r="AC79" t="e">
        <f t="shared" si="21"/>
        <v>#VALUE!</v>
      </c>
      <c r="AE79" s="2">
        <f t="shared" si="22"/>
        <v>1.586330000009184E-2</v>
      </c>
      <c r="AF79" s="2">
        <f t="shared" si="16"/>
        <v>2.3712682000000314</v>
      </c>
      <c r="AG79">
        <v>2912.3695441</v>
      </c>
      <c r="AH79">
        <v>198.89754857142799</v>
      </c>
      <c r="AI79">
        <v>44.374697142857102</v>
      </c>
      <c r="AJ79" s="2">
        <f t="shared" si="23"/>
        <v>17.7349142857143</v>
      </c>
      <c r="AK79" s="2">
        <f t="shared" si="17"/>
        <v>15.967994312709223</v>
      </c>
      <c r="AL79" s="2">
        <f t="shared" si="24"/>
        <v>1.7669199730050771</v>
      </c>
      <c r="AM79" s="2"/>
    </row>
    <row r="80" spans="1:39" x14ac:dyDescent="0.3">
      <c r="A80">
        <f t="shared" si="14"/>
        <v>0</v>
      </c>
      <c r="B80" s="2">
        <f t="shared" si="18"/>
        <v>15.889199999946868</v>
      </c>
      <c r="C80" s="2" t="e">
        <f t="shared" si="25"/>
        <v>#VALUE!</v>
      </c>
      <c r="D80" s="2">
        <f t="shared" si="19"/>
        <v>1.1043174999999792</v>
      </c>
      <c r="E80" s="2"/>
      <c r="F80">
        <v>2906.7078474999998</v>
      </c>
      <c r="G80" t="s">
        <v>37</v>
      </c>
      <c r="H80" t="s">
        <v>37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>
        <v>0</v>
      </c>
      <c r="O80">
        <v>0</v>
      </c>
      <c r="P80">
        <v>0</v>
      </c>
      <c r="Q80">
        <v>0</v>
      </c>
      <c r="R80">
        <v>0.11950028991699201</v>
      </c>
      <c r="S80">
        <v>-6.74407119750976E-2</v>
      </c>
      <c r="T80">
        <v>0</v>
      </c>
      <c r="U80" s="7">
        <v>166.99700000000001</v>
      </c>
      <c r="V80" s="7">
        <v>-1.609</v>
      </c>
      <c r="W80" s="7">
        <v>0.19800000000000001</v>
      </c>
      <c r="X80" s="7">
        <v>0.60099999999999998</v>
      </c>
      <c r="Y80" t="b">
        <v>1</v>
      </c>
      <c r="Z80">
        <v>79</v>
      </c>
      <c r="AA80">
        <f t="shared" si="15"/>
        <v>11.950028991699201</v>
      </c>
      <c r="AB80">
        <f t="shared" si="20"/>
        <v>37.528399570735345</v>
      </c>
      <c r="AC80" t="e">
        <f t="shared" si="21"/>
        <v>#VALUE!</v>
      </c>
      <c r="AE80" s="2">
        <f t="shared" si="22"/>
        <v>1.4869900000121561E-2</v>
      </c>
      <c r="AF80" s="2">
        <f t="shared" si="16"/>
        <v>2.3861381000001529</v>
      </c>
      <c r="AG80">
        <v>2912.3844140000001</v>
      </c>
      <c r="AH80">
        <v>199.309028571428</v>
      </c>
      <c r="AI80">
        <v>44.985897142857098</v>
      </c>
      <c r="AJ80" s="2">
        <f t="shared" si="23"/>
        <v>18.346114285714297</v>
      </c>
      <c r="AK80" s="2">
        <f t="shared" si="17"/>
        <v>16.369469003701056</v>
      </c>
      <c r="AL80" s="2">
        <f t="shared" si="24"/>
        <v>1.9766452820132407</v>
      </c>
      <c r="AM80" s="2"/>
    </row>
    <row r="81" spans="1:39" x14ac:dyDescent="0.3">
      <c r="A81">
        <f t="shared" si="14"/>
        <v>0</v>
      </c>
      <c r="B81" s="2">
        <f t="shared" si="18"/>
        <v>14.902600000368693</v>
      </c>
      <c r="C81" s="2" t="e">
        <f t="shared" si="25"/>
        <v>#VALUE!</v>
      </c>
      <c r="D81" s="2">
        <f t="shared" si="19"/>
        <v>1.1192201000003479</v>
      </c>
      <c r="E81" s="2"/>
      <c r="F81">
        <v>2906.7227501000002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>
        <v>0</v>
      </c>
      <c r="O81">
        <v>0</v>
      </c>
      <c r="P81">
        <v>0</v>
      </c>
      <c r="Q81">
        <v>0</v>
      </c>
      <c r="R81">
        <v>0.11950028991699201</v>
      </c>
      <c r="S81">
        <v>-6.74407119750976E-2</v>
      </c>
      <c r="T81">
        <v>0</v>
      </c>
      <c r="U81" s="7">
        <v>166.99700000000001</v>
      </c>
      <c r="V81" s="7">
        <v>-1.609</v>
      </c>
      <c r="W81" s="7">
        <v>0.19800000000000001</v>
      </c>
      <c r="X81" s="7">
        <v>0.60099999999999998</v>
      </c>
      <c r="Y81" t="b">
        <v>1</v>
      </c>
      <c r="Z81">
        <v>79</v>
      </c>
      <c r="AA81">
        <f t="shared" si="15"/>
        <v>11.950028991699201</v>
      </c>
      <c r="AB81">
        <f t="shared" si="20"/>
        <v>37.706486072791449</v>
      </c>
      <c r="AC81" t="e">
        <f t="shared" si="21"/>
        <v>#VALUE!</v>
      </c>
      <c r="AE81" s="2">
        <f t="shared" si="22"/>
        <v>3.0856999999741674E-2</v>
      </c>
      <c r="AF81" s="2">
        <f t="shared" si="16"/>
        <v>2.4169950999998946</v>
      </c>
      <c r="AG81">
        <v>2912.4152709999998</v>
      </c>
      <c r="AH81">
        <v>199.72542857142801</v>
      </c>
      <c r="AI81">
        <v>45.607577142857103</v>
      </c>
      <c r="AJ81" s="2">
        <f t="shared" si="23"/>
        <v>18.967794285714302</v>
      </c>
      <c r="AK81" s="2">
        <f t="shared" si="17"/>
        <v>17.215318054415352</v>
      </c>
      <c r="AL81" s="2">
        <f t="shared" si="24"/>
        <v>1.7524762312989495</v>
      </c>
      <c r="AM81" s="2"/>
    </row>
    <row r="82" spans="1:39" x14ac:dyDescent="0.3">
      <c r="A82">
        <f t="shared" si="14"/>
        <v>0</v>
      </c>
      <c r="B82" s="2">
        <f t="shared" si="18"/>
        <v>15.141099999709695</v>
      </c>
      <c r="C82" s="2" t="e">
        <f t="shared" si="25"/>
        <v>#VALUE!</v>
      </c>
      <c r="D82" s="2">
        <f t="shared" si="19"/>
        <v>1.1343612000000576</v>
      </c>
      <c r="E82" s="2"/>
      <c r="F82">
        <v>2906.7378911999999</v>
      </c>
      <c r="G82" t="s">
        <v>37</v>
      </c>
      <c r="H82" t="s">
        <v>37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>
        <v>0</v>
      </c>
      <c r="O82">
        <v>0</v>
      </c>
      <c r="P82">
        <v>0</v>
      </c>
      <c r="Q82">
        <v>0</v>
      </c>
      <c r="R82">
        <v>0.11950028991699201</v>
      </c>
      <c r="S82">
        <v>-6.74407119750976E-2</v>
      </c>
      <c r="T82">
        <v>0</v>
      </c>
      <c r="U82" s="7">
        <v>166.99700000000001</v>
      </c>
      <c r="V82" s="7">
        <v>-1.609</v>
      </c>
      <c r="W82" s="7">
        <v>0.19800000000000001</v>
      </c>
      <c r="X82" s="7">
        <v>0.60099999999999998</v>
      </c>
      <c r="Y82" t="b">
        <v>1</v>
      </c>
      <c r="Z82">
        <v>79</v>
      </c>
      <c r="AA82">
        <f t="shared" si="15"/>
        <v>11.950028991699201</v>
      </c>
      <c r="AB82">
        <f t="shared" si="20"/>
        <v>37.887422656754197</v>
      </c>
      <c r="AC82" t="e">
        <f t="shared" si="21"/>
        <v>#VALUE!</v>
      </c>
      <c r="AE82" s="2">
        <f t="shared" si="22"/>
        <v>3.1378200000290235E-2</v>
      </c>
      <c r="AF82" s="2">
        <f t="shared" si="16"/>
        <v>2.4483733000001848</v>
      </c>
      <c r="AG82">
        <v>2912.4466492000001</v>
      </c>
      <c r="AH82">
        <v>200.13510857142799</v>
      </c>
      <c r="AI82">
        <v>45.8351371428571</v>
      </c>
      <c r="AJ82" s="2">
        <f t="shared" si="23"/>
        <v>19.195354285714298</v>
      </c>
      <c r="AK82" s="2">
        <f t="shared" si="17"/>
        <v>18.092839119871382</v>
      </c>
      <c r="AL82" s="2">
        <f t="shared" si="24"/>
        <v>1.1025151658429166</v>
      </c>
      <c r="AM82" s="2"/>
    </row>
    <row r="83" spans="1:39" x14ac:dyDescent="0.3">
      <c r="A83">
        <f t="shared" si="14"/>
        <v>0</v>
      </c>
      <c r="B83" s="2">
        <f t="shared" si="18"/>
        <v>15.585900000132824</v>
      </c>
      <c r="C83" s="2" t="e">
        <f t="shared" si="25"/>
        <v>#VALUE!</v>
      </c>
      <c r="D83" s="2">
        <f t="shared" si="19"/>
        <v>1.1499471000001904</v>
      </c>
      <c r="E83" s="2"/>
      <c r="F83">
        <v>2906.7534771000001</v>
      </c>
      <c r="G83" t="s">
        <v>37</v>
      </c>
      <c r="H83" t="s">
        <v>37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>
        <v>0</v>
      </c>
      <c r="O83">
        <v>0</v>
      </c>
      <c r="P83">
        <v>0</v>
      </c>
      <c r="Q83">
        <v>0</v>
      </c>
      <c r="R83">
        <v>0.11950028991699201</v>
      </c>
      <c r="S83">
        <v>-6.74407119750976E-2</v>
      </c>
      <c r="T83">
        <v>0</v>
      </c>
      <c r="U83" s="7">
        <v>166.99700000000001</v>
      </c>
      <c r="V83" s="7">
        <v>-1.609</v>
      </c>
      <c r="W83" s="7">
        <v>0.19800000000000001</v>
      </c>
      <c r="X83" s="7">
        <v>0.60099999999999998</v>
      </c>
      <c r="Y83" t="b">
        <v>1</v>
      </c>
      <c r="Z83">
        <v>79</v>
      </c>
      <c r="AA83">
        <f t="shared" si="15"/>
        <v>11.950028991699201</v>
      </c>
      <c r="AB83">
        <f t="shared" si="20"/>
        <v>38.073674613617506</v>
      </c>
      <c r="AC83" t="e">
        <f t="shared" si="21"/>
        <v>#VALUE!</v>
      </c>
      <c r="AE83" s="2">
        <f t="shared" si="22"/>
        <v>4.6244199999819102E-2</v>
      </c>
      <c r="AF83" s="2">
        <f t="shared" si="16"/>
        <v>2.4946175000000039</v>
      </c>
      <c r="AG83">
        <v>2912.4928934</v>
      </c>
      <c r="AH83">
        <v>200.554628571428</v>
      </c>
      <c r="AI83">
        <v>46.062697142857097</v>
      </c>
      <c r="AJ83" s="2">
        <f t="shared" si="23"/>
        <v>19.422914285714295</v>
      </c>
      <c r="AK83" s="2">
        <f t="shared" si="17"/>
        <v>19.417442220985436</v>
      </c>
      <c r="AL83" s="2">
        <f t="shared" si="24"/>
        <v>5.472064728859749E-3</v>
      </c>
      <c r="AM83" s="2"/>
    </row>
    <row r="84" spans="1:39" x14ac:dyDescent="0.3">
      <c r="A84">
        <f t="shared" si="14"/>
        <v>0</v>
      </c>
      <c r="B84" s="2">
        <f t="shared" si="18"/>
        <v>14.815099999850645</v>
      </c>
      <c r="C84" s="2" t="e">
        <f t="shared" si="25"/>
        <v>#VALUE!</v>
      </c>
      <c r="D84" s="2">
        <f t="shared" si="19"/>
        <v>1.164762200000041</v>
      </c>
      <c r="E84" s="2"/>
      <c r="F84">
        <v>2906.7682921999999</v>
      </c>
      <c r="G84" t="s">
        <v>37</v>
      </c>
      <c r="H84" t="s">
        <v>37</v>
      </c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>
        <v>0</v>
      </c>
      <c r="O84">
        <v>0</v>
      </c>
      <c r="P84">
        <v>0</v>
      </c>
      <c r="Q84">
        <v>0</v>
      </c>
      <c r="R84">
        <v>0.16499844360351501</v>
      </c>
      <c r="S84">
        <v>-0.111789802551269</v>
      </c>
      <c r="T84">
        <v>0</v>
      </c>
      <c r="U84" s="7">
        <v>167.04499999999999</v>
      </c>
      <c r="V84" s="7">
        <v>-0.61899999999999999</v>
      </c>
      <c r="W84" s="7">
        <v>0.48199999999999998</v>
      </c>
      <c r="X84" s="7">
        <v>0.60299999999999998</v>
      </c>
      <c r="Y84" t="b">
        <v>1</v>
      </c>
      <c r="Z84">
        <v>79</v>
      </c>
      <c r="AA84">
        <f t="shared" si="15"/>
        <v>16.499844360351503</v>
      </c>
      <c r="AB84">
        <f t="shared" si="20"/>
        <v>38.250715488130645</v>
      </c>
      <c r="AC84" t="e">
        <f t="shared" si="21"/>
        <v>#VALUE!</v>
      </c>
      <c r="AE84" s="2">
        <f t="shared" si="22"/>
        <v>1.5734200000224519E-2</v>
      </c>
      <c r="AF84" s="2">
        <f t="shared" si="16"/>
        <v>2.5103517000002284</v>
      </c>
      <c r="AG84">
        <v>2912.5086276000002</v>
      </c>
      <c r="AH84">
        <v>200.983988571428</v>
      </c>
      <c r="AI84">
        <v>46.290257142857101</v>
      </c>
      <c r="AJ84" s="2">
        <f t="shared" si="23"/>
        <v>19.650474285714299</v>
      </c>
      <c r="AK84" s="2">
        <f t="shared" si="17"/>
        <v>19.876499894833188</v>
      </c>
      <c r="AL84" s="2">
        <f t="shared" si="24"/>
        <v>0.22602560911888858</v>
      </c>
      <c r="AM84" s="2"/>
    </row>
    <row r="85" spans="1:39" x14ac:dyDescent="0.3">
      <c r="A85">
        <f t="shared" si="14"/>
        <v>0</v>
      </c>
      <c r="B85" s="2">
        <f t="shared" si="18"/>
        <v>16.063900000062858</v>
      </c>
      <c r="C85" s="2" t="e">
        <f t="shared" si="25"/>
        <v>#VALUE!</v>
      </c>
      <c r="D85" s="2">
        <f t="shared" si="19"/>
        <v>1.1808261000001039</v>
      </c>
      <c r="E85" s="2"/>
      <c r="F85">
        <v>2906.7843561</v>
      </c>
      <c r="G85" t="s">
        <v>37</v>
      </c>
      <c r="H85" t="s">
        <v>37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>
        <v>0</v>
      </c>
      <c r="O85">
        <v>0</v>
      </c>
      <c r="P85">
        <v>0</v>
      </c>
      <c r="Q85">
        <v>0</v>
      </c>
      <c r="R85">
        <v>0.16499844360351501</v>
      </c>
      <c r="S85">
        <v>-0.111789802551269</v>
      </c>
      <c r="T85">
        <v>0</v>
      </c>
      <c r="U85" s="7">
        <v>167.04499999999999</v>
      </c>
      <c r="V85" s="7">
        <v>-0.61899999999999999</v>
      </c>
      <c r="W85" s="7">
        <v>0.48199999999999998</v>
      </c>
      <c r="X85" s="7">
        <v>0.60299999999999998</v>
      </c>
      <c r="Y85" t="b">
        <v>1</v>
      </c>
      <c r="Z85">
        <v>79</v>
      </c>
      <c r="AA85">
        <f t="shared" si="15"/>
        <v>16.499844360351503</v>
      </c>
      <c r="AB85">
        <f t="shared" si="20"/>
        <v>38.515767337951935</v>
      </c>
      <c r="AC85" t="e">
        <f t="shared" si="21"/>
        <v>#VALUE!</v>
      </c>
      <c r="AE85" s="2">
        <f t="shared" si="22"/>
        <v>3.0880099999649246E-2</v>
      </c>
      <c r="AF85" s="2">
        <f t="shared" si="16"/>
        <v>2.5412317999998777</v>
      </c>
      <c r="AG85">
        <v>2912.5395076999998</v>
      </c>
      <c r="AH85">
        <v>201.423188571428</v>
      </c>
      <c r="AI85">
        <v>46.507337142857097</v>
      </c>
      <c r="AJ85" s="2">
        <f t="shared" si="23"/>
        <v>19.867554285714295</v>
      </c>
      <c r="AK85" s="2">
        <f t="shared" si="17"/>
        <v>20.789605435478467</v>
      </c>
      <c r="AL85" s="2">
        <f t="shared" si="24"/>
        <v>0.92205114976417235</v>
      </c>
      <c r="AM85" s="2"/>
    </row>
    <row r="86" spans="1:39" x14ac:dyDescent="0.3">
      <c r="A86">
        <f t="shared" si="14"/>
        <v>0</v>
      </c>
      <c r="B86" s="2">
        <f t="shared" si="18"/>
        <v>15.808399999968969</v>
      </c>
      <c r="C86" s="2" t="e">
        <f t="shared" si="25"/>
        <v>#VALUE!</v>
      </c>
      <c r="D86" s="2">
        <f t="shared" si="19"/>
        <v>1.1966345000000729</v>
      </c>
      <c r="E86" s="2"/>
      <c r="F86">
        <v>2906.8001644999999</v>
      </c>
      <c r="G86" t="s">
        <v>37</v>
      </c>
      <c r="H86" t="s">
        <v>37</v>
      </c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>
        <v>0</v>
      </c>
      <c r="O86">
        <v>0</v>
      </c>
      <c r="P86">
        <v>0</v>
      </c>
      <c r="Q86">
        <v>0</v>
      </c>
      <c r="R86">
        <v>0.16499844360351501</v>
      </c>
      <c r="S86">
        <v>-0.111789802551269</v>
      </c>
      <c r="T86">
        <v>0</v>
      </c>
      <c r="U86" s="7">
        <v>167.04499999999999</v>
      </c>
      <c r="V86" s="7">
        <v>-0.61899999999999999</v>
      </c>
      <c r="W86" s="7">
        <v>0.48199999999999998</v>
      </c>
      <c r="X86" s="7">
        <v>0.60299999999999998</v>
      </c>
      <c r="Y86" t="b">
        <v>1</v>
      </c>
      <c r="Z86">
        <v>79</v>
      </c>
      <c r="AA86">
        <f t="shared" si="15"/>
        <v>16.499844360351503</v>
      </c>
      <c r="AB86">
        <f t="shared" si="20"/>
        <v>38.776603477537606</v>
      </c>
      <c r="AC86" t="e">
        <f t="shared" si="21"/>
        <v>#VALUE!</v>
      </c>
      <c r="AE86" s="2">
        <f t="shared" si="22"/>
        <v>4.6680300000389252E-2</v>
      </c>
      <c r="AF86" s="2">
        <f t="shared" si="16"/>
        <v>2.5879121000002669</v>
      </c>
      <c r="AG86">
        <v>2912.5861880000002</v>
      </c>
      <c r="AH86">
        <v>201.867171428571</v>
      </c>
      <c r="AI86">
        <v>46.605822857142797</v>
      </c>
      <c r="AJ86" s="2">
        <f t="shared" si="23"/>
        <v>19.966039999999996</v>
      </c>
      <c r="AK86" s="2">
        <f t="shared" si="17"/>
        <v>22.199976941977138</v>
      </c>
      <c r="AL86" s="2">
        <f t="shared" si="24"/>
        <v>2.2339369419771415</v>
      </c>
      <c r="AM86" s="2"/>
    </row>
    <row r="87" spans="1:39" x14ac:dyDescent="0.3">
      <c r="A87">
        <f t="shared" si="14"/>
        <v>0</v>
      </c>
      <c r="B87" s="2">
        <f t="shared" si="18"/>
        <v>15.378200000213837</v>
      </c>
      <c r="C87" s="2" t="e">
        <f t="shared" si="25"/>
        <v>#VALUE!</v>
      </c>
      <c r="D87" s="2">
        <f t="shared" si="19"/>
        <v>1.2120127000002867</v>
      </c>
      <c r="E87" s="2"/>
      <c r="F87">
        <v>2906.8155427000002</v>
      </c>
      <c r="G87" t="s">
        <v>37</v>
      </c>
      <c r="H87" t="s">
        <v>37</v>
      </c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>
        <v>0</v>
      </c>
      <c r="O87">
        <v>0</v>
      </c>
      <c r="P87">
        <v>0</v>
      </c>
      <c r="Q87">
        <v>0</v>
      </c>
      <c r="R87">
        <v>0.16499844360351501</v>
      </c>
      <c r="S87">
        <v>-0.111789802551269</v>
      </c>
      <c r="T87">
        <v>0</v>
      </c>
      <c r="U87" s="7">
        <v>167.04499999999999</v>
      </c>
      <c r="V87" s="7">
        <v>-0.61899999999999999</v>
      </c>
      <c r="W87" s="7">
        <v>0.48199999999999998</v>
      </c>
      <c r="X87" s="7">
        <v>0.60299999999999998</v>
      </c>
      <c r="Y87" t="b">
        <v>1</v>
      </c>
      <c r="Z87">
        <v>79</v>
      </c>
      <c r="AA87">
        <f t="shared" si="15"/>
        <v>16.499844360351503</v>
      </c>
      <c r="AB87">
        <f t="shared" si="20"/>
        <v>39.030341384083492</v>
      </c>
      <c r="AC87" t="e">
        <f t="shared" si="21"/>
        <v>#VALUE!</v>
      </c>
      <c r="AE87" s="2">
        <f t="shared" si="22"/>
        <v>3.1220099999700324E-2</v>
      </c>
      <c r="AF87" s="2">
        <f t="shared" si="16"/>
        <v>2.6191321999999673</v>
      </c>
      <c r="AG87">
        <v>2912.6174080999999</v>
      </c>
      <c r="AH87">
        <v>202.31753142857099</v>
      </c>
      <c r="AI87">
        <v>46.812422857142799</v>
      </c>
      <c r="AJ87" s="2">
        <f t="shared" si="23"/>
        <v>20.172639999999998</v>
      </c>
      <c r="AK87" s="2">
        <f t="shared" si="17"/>
        <v>23.163047454089995</v>
      </c>
      <c r="AL87" s="2">
        <f t="shared" si="24"/>
        <v>2.990407454089997</v>
      </c>
      <c r="AM87" s="2"/>
    </row>
    <row r="88" spans="1:39" x14ac:dyDescent="0.3">
      <c r="A88">
        <f t="shared" si="14"/>
        <v>0</v>
      </c>
      <c r="B88" s="2">
        <f t="shared" si="18"/>
        <v>15.237099999922066</v>
      </c>
      <c r="C88" s="2" t="e">
        <f t="shared" si="25"/>
        <v>#VALUE!</v>
      </c>
      <c r="D88" s="2">
        <f t="shared" si="19"/>
        <v>1.2272498000002088</v>
      </c>
      <c r="E88" s="2"/>
      <c r="F88">
        <v>2906.8307798000001</v>
      </c>
      <c r="G88" t="s">
        <v>37</v>
      </c>
      <c r="H88" t="s">
        <v>37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>
        <v>0</v>
      </c>
      <c r="O88">
        <v>0</v>
      </c>
      <c r="P88">
        <v>0</v>
      </c>
      <c r="Q88">
        <v>0</v>
      </c>
      <c r="R88">
        <v>0.16499844360351501</v>
      </c>
      <c r="S88">
        <v>-0.111789802551269</v>
      </c>
      <c r="T88">
        <v>0</v>
      </c>
      <c r="U88" s="7">
        <v>167.04499999999999</v>
      </c>
      <c r="V88" s="7">
        <v>-0.61899999999999999</v>
      </c>
      <c r="W88" s="7">
        <v>0.48199999999999998</v>
      </c>
      <c r="X88" s="7">
        <v>0.60299999999999998</v>
      </c>
      <c r="Y88" t="b">
        <v>1</v>
      </c>
      <c r="Z88">
        <v>79</v>
      </c>
      <c r="AA88">
        <f t="shared" si="15"/>
        <v>16.499844360351503</v>
      </c>
      <c r="AB88">
        <f t="shared" si="20"/>
        <v>39.281751162585316</v>
      </c>
      <c r="AC88" t="e">
        <f t="shared" si="21"/>
        <v>#VALUE!</v>
      </c>
      <c r="AE88" s="2">
        <f t="shared" si="22"/>
        <v>3.1788000000233296E-2</v>
      </c>
      <c r="AF88" s="2">
        <f t="shared" si="16"/>
        <v>2.6509202000002006</v>
      </c>
      <c r="AG88">
        <v>2912.6491961000002</v>
      </c>
      <c r="AH88">
        <v>202.777731428571</v>
      </c>
      <c r="AI88">
        <v>47.003302857142799</v>
      </c>
      <c r="AJ88" s="2">
        <f t="shared" si="23"/>
        <v>20.363519999999998</v>
      </c>
      <c r="AK88" s="2">
        <f t="shared" si="17"/>
        <v>24.159628082053345</v>
      </c>
      <c r="AL88" s="2">
        <f t="shared" si="24"/>
        <v>3.7961080820533475</v>
      </c>
      <c r="AM88" s="2"/>
    </row>
    <row r="89" spans="1:39" x14ac:dyDescent="0.3">
      <c r="A89">
        <f t="shared" si="14"/>
        <v>0</v>
      </c>
      <c r="B89" s="2">
        <f t="shared" si="18"/>
        <v>15.520999999807827</v>
      </c>
      <c r="C89" s="2" t="e">
        <f t="shared" si="25"/>
        <v>#VALUE!</v>
      </c>
      <c r="D89" s="2">
        <f t="shared" si="19"/>
        <v>1.2427708000000166</v>
      </c>
      <c r="E89" s="2"/>
      <c r="F89">
        <v>2906.8463007999999</v>
      </c>
      <c r="G89" t="s">
        <v>37</v>
      </c>
      <c r="H89" t="s">
        <v>37</v>
      </c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>
        <v>0</v>
      </c>
      <c r="O89">
        <v>0</v>
      </c>
      <c r="P89">
        <v>0</v>
      </c>
      <c r="Q89">
        <v>0</v>
      </c>
      <c r="R89">
        <v>0.117164527893066</v>
      </c>
      <c r="S89">
        <v>-0.13787107849121</v>
      </c>
      <c r="T89">
        <v>0</v>
      </c>
      <c r="U89" s="7">
        <v>167.298</v>
      </c>
      <c r="V89" s="7">
        <v>0.55800000000000005</v>
      </c>
      <c r="W89" s="7">
        <v>1.075</v>
      </c>
      <c r="X89" s="7">
        <v>0.60799999999999998</v>
      </c>
      <c r="Y89" t="b">
        <v>1</v>
      </c>
      <c r="Z89">
        <v>79</v>
      </c>
      <c r="AA89">
        <f t="shared" si="15"/>
        <v>11.716452789306601</v>
      </c>
      <c r="AB89">
        <f t="shared" si="20"/>
        <v>39.53784524689916</v>
      </c>
      <c r="AC89" t="e">
        <f t="shared" si="21"/>
        <v>#VALUE!</v>
      </c>
      <c r="AE89" s="2">
        <f t="shared" si="22"/>
        <v>3.0830400000013469E-2</v>
      </c>
      <c r="AF89" s="2">
        <f t="shared" si="16"/>
        <v>2.681750600000214</v>
      </c>
      <c r="AG89">
        <v>2912.6800265000002</v>
      </c>
      <c r="AH89">
        <v>203.24141142857101</v>
      </c>
      <c r="AI89">
        <v>47.350782857142804</v>
      </c>
      <c r="AJ89" s="2">
        <f t="shared" si="23"/>
        <v>20.711000000000002</v>
      </c>
      <c r="AK89" s="2">
        <f t="shared" si="17"/>
        <v>25.141343685472098</v>
      </c>
      <c r="AL89" s="2">
        <f t="shared" si="24"/>
        <v>4.4303436854720957</v>
      </c>
      <c r="AM89" s="2"/>
    </row>
    <row r="90" spans="1:39" x14ac:dyDescent="0.3">
      <c r="A90">
        <f t="shared" si="14"/>
        <v>0</v>
      </c>
      <c r="B90" s="2">
        <f t="shared" si="18"/>
        <v>15.707999999904132</v>
      </c>
      <c r="C90" s="2" t="e">
        <f t="shared" si="25"/>
        <v>#VALUE!</v>
      </c>
      <c r="D90" s="2">
        <f t="shared" si="19"/>
        <v>1.2584787999999207</v>
      </c>
      <c r="E90" s="2"/>
      <c r="F90">
        <v>2906.8620087999998</v>
      </c>
      <c r="G90" t="s">
        <v>37</v>
      </c>
      <c r="H90" t="s">
        <v>37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>
        <v>0</v>
      </c>
      <c r="O90">
        <v>0</v>
      </c>
      <c r="P90">
        <v>0</v>
      </c>
      <c r="Q90">
        <v>0</v>
      </c>
      <c r="R90">
        <v>0.117164527893066</v>
      </c>
      <c r="S90">
        <v>-0.13787107849121</v>
      </c>
      <c r="T90">
        <v>0</v>
      </c>
      <c r="U90" s="7">
        <v>167.298</v>
      </c>
      <c r="V90" s="7">
        <v>0.55800000000000005</v>
      </c>
      <c r="W90" s="7">
        <v>1.075</v>
      </c>
      <c r="X90" s="7">
        <v>0.60799999999999998</v>
      </c>
      <c r="Y90" t="b">
        <v>1</v>
      </c>
      <c r="Z90">
        <v>79</v>
      </c>
      <c r="AA90">
        <f t="shared" si="15"/>
        <v>11.716452789306601</v>
      </c>
      <c r="AB90">
        <f t="shared" si="20"/>
        <v>39.721887287312462</v>
      </c>
      <c r="AC90" t="e">
        <f t="shared" si="21"/>
        <v>#VALUE!</v>
      </c>
      <c r="AE90" s="2">
        <f t="shared" ref="AE90:AE153" si="26">AG90-AG89</f>
        <v>1.5358699999978853E-2</v>
      </c>
      <c r="AF90" s="2">
        <f t="shared" ref="AF90:AF153" si="27">AG90-$AG$7</f>
        <v>2.6971093000001929</v>
      </c>
      <c r="AG90">
        <v>2912.6953852000001</v>
      </c>
      <c r="AH90">
        <v>203.71457142857099</v>
      </c>
      <c r="AI90">
        <v>47.930542857142797</v>
      </c>
      <c r="AJ90" s="2">
        <f t="shared" si="23"/>
        <v>21.290759999999995</v>
      </c>
      <c r="AK90" s="2">
        <f t="shared" si="17"/>
        <v>25.635894381931084</v>
      </c>
      <c r="AL90" s="2">
        <f t="shared" ref="AL90:AL153" si="28">ABS(AK90-AJ90)</f>
        <v>4.3451343819310893</v>
      </c>
      <c r="AM90" s="2"/>
    </row>
    <row r="91" spans="1:39" x14ac:dyDescent="0.3">
      <c r="A91">
        <f t="shared" si="14"/>
        <v>0</v>
      </c>
      <c r="B91" s="2">
        <f t="shared" si="18"/>
        <v>16.078500000276108</v>
      </c>
      <c r="C91" s="2" t="e">
        <f t="shared" si="25"/>
        <v>#VALUE!</v>
      </c>
      <c r="D91" s="2">
        <f t="shared" si="19"/>
        <v>1.2745573000001968</v>
      </c>
      <c r="E91" s="2"/>
      <c r="F91">
        <v>2906.8780873000001</v>
      </c>
      <c r="G91" t="s">
        <v>37</v>
      </c>
      <c r="H91" t="s">
        <v>37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>
        <v>0</v>
      </c>
      <c r="O91">
        <v>0</v>
      </c>
      <c r="P91">
        <v>0</v>
      </c>
      <c r="Q91">
        <v>0</v>
      </c>
      <c r="R91">
        <v>0.117164527893066</v>
      </c>
      <c r="S91">
        <v>-0.13787107849121</v>
      </c>
      <c r="T91">
        <v>0</v>
      </c>
      <c r="U91" s="7">
        <v>167.298</v>
      </c>
      <c r="V91" s="7">
        <v>0.55800000000000005</v>
      </c>
      <c r="W91" s="7">
        <v>1.075</v>
      </c>
      <c r="X91" s="7">
        <v>0.60799999999999998</v>
      </c>
      <c r="Y91" t="b">
        <v>1</v>
      </c>
      <c r="Z91">
        <v>79</v>
      </c>
      <c r="AA91">
        <f t="shared" si="15"/>
        <v>11.716452789306601</v>
      </c>
      <c r="AB91">
        <f t="shared" si="20"/>
        <v>39.910270273488564</v>
      </c>
      <c r="AC91" t="e">
        <f t="shared" si="21"/>
        <v>#VALUE!</v>
      </c>
      <c r="AE91" s="2">
        <f t="shared" si="26"/>
        <v>4.5819199999641569E-2</v>
      </c>
      <c r="AF91" s="2">
        <f t="shared" si="27"/>
        <v>2.7429284999998345</v>
      </c>
      <c r="AG91">
        <v>2912.7412043999998</v>
      </c>
      <c r="AH91">
        <v>204.209211428571</v>
      </c>
      <c r="AI91">
        <v>48.888702857142803</v>
      </c>
      <c r="AJ91" s="2">
        <f t="shared" si="23"/>
        <v>22.248920000000002</v>
      </c>
      <c r="AK91" s="2">
        <f t="shared" si="17"/>
        <v>27.132619993744086</v>
      </c>
      <c r="AL91" s="2">
        <f t="shared" si="28"/>
        <v>4.8836999937440844</v>
      </c>
      <c r="AM91" s="2"/>
    </row>
    <row r="92" spans="1:39" x14ac:dyDescent="0.3">
      <c r="A92">
        <f t="shared" si="14"/>
        <v>0</v>
      </c>
      <c r="B92" s="2">
        <f t="shared" si="18"/>
        <v>15.366099999937433</v>
      </c>
      <c r="C92" s="2" t="e">
        <f t="shared" si="25"/>
        <v>#VALUE!</v>
      </c>
      <c r="D92" s="2">
        <f t="shared" si="19"/>
        <v>1.2899234000001343</v>
      </c>
      <c r="E92" s="2"/>
      <c r="F92">
        <v>2906.8934534</v>
      </c>
      <c r="G92" t="s">
        <v>37</v>
      </c>
      <c r="H92" t="s">
        <v>37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>
        <v>0</v>
      </c>
      <c r="O92">
        <v>0</v>
      </c>
      <c r="P92">
        <v>0</v>
      </c>
      <c r="Q92">
        <v>0</v>
      </c>
      <c r="R92">
        <v>0.117164527893066</v>
      </c>
      <c r="S92">
        <v>-0.13787107849121</v>
      </c>
      <c r="T92">
        <v>0</v>
      </c>
      <c r="U92" s="7">
        <v>167.298</v>
      </c>
      <c r="V92" s="7">
        <v>0.55800000000000005</v>
      </c>
      <c r="W92" s="7">
        <v>1.075</v>
      </c>
      <c r="X92" s="7">
        <v>0.60799999999999998</v>
      </c>
      <c r="Y92" t="b">
        <v>1</v>
      </c>
      <c r="Z92">
        <v>79</v>
      </c>
      <c r="AA92">
        <f t="shared" si="15"/>
        <v>11.716452789306601</v>
      </c>
      <c r="AB92">
        <f t="shared" si="20"/>
        <v>40.090306458693597</v>
      </c>
      <c r="AC92" t="e">
        <f t="shared" si="21"/>
        <v>#VALUE!</v>
      </c>
      <c r="AE92" s="2">
        <f t="shared" si="26"/>
        <v>3.1271100000139995E-2</v>
      </c>
      <c r="AF92" s="2">
        <f t="shared" si="27"/>
        <v>2.7741995999999745</v>
      </c>
      <c r="AG92">
        <v>2912.7724754999999</v>
      </c>
      <c r="AH92">
        <v>204.694011428571</v>
      </c>
      <c r="AI92">
        <v>49.862582857142797</v>
      </c>
      <c r="AJ92" s="2">
        <f t="shared" si="23"/>
        <v>23.222799999999996</v>
      </c>
      <c r="AK92" s="2">
        <f t="shared" si="17"/>
        <v>28.172174279751278</v>
      </c>
      <c r="AL92" s="2">
        <f t="shared" si="28"/>
        <v>4.9493742797512823</v>
      </c>
      <c r="AM92" s="2"/>
    </row>
    <row r="93" spans="1:39" x14ac:dyDescent="0.3">
      <c r="A93">
        <f t="shared" si="14"/>
        <v>0</v>
      </c>
      <c r="B93" s="2">
        <f t="shared" si="18"/>
        <v>15.189400000053865</v>
      </c>
      <c r="C93" s="2" t="e">
        <f t="shared" si="25"/>
        <v>#VALUE!</v>
      </c>
      <c r="D93" s="2">
        <f t="shared" si="19"/>
        <v>1.3051128000001881</v>
      </c>
      <c r="E93" s="2"/>
      <c r="F93">
        <v>2906.9086428000001</v>
      </c>
      <c r="G93" t="s">
        <v>37</v>
      </c>
      <c r="H93" t="s">
        <v>37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>
        <v>0</v>
      </c>
      <c r="O93">
        <v>0</v>
      </c>
      <c r="P93">
        <v>0</v>
      </c>
      <c r="Q93">
        <v>0</v>
      </c>
      <c r="R93">
        <v>8.6898170471191402E-2</v>
      </c>
      <c r="S93">
        <v>-0.11247159576416001</v>
      </c>
      <c r="T93">
        <v>0</v>
      </c>
      <c r="U93" s="7">
        <v>167.62200000000001</v>
      </c>
      <c r="V93" s="7">
        <v>0.93300000000000005</v>
      </c>
      <c r="W93" s="7">
        <v>1.6639999999999999</v>
      </c>
      <c r="X93" s="7">
        <v>0.61099999999999999</v>
      </c>
      <c r="Y93" t="b">
        <v>1</v>
      </c>
      <c r="Z93">
        <v>79</v>
      </c>
      <c r="AA93">
        <f t="shared" si="15"/>
        <v>8.6898170471191403</v>
      </c>
      <c r="AB93">
        <f t="shared" si="20"/>
        <v>40.268272346692122</v>
      </c>
      <c r="AC93" t="e">
        <f t="shared" si="21"/>
        <v>#VALUE!</v>
      </c>
      <c r="AE93" s="2">
        <f t="shared" si="26"/>
        <v>3.0493600000227161E-2</v>
      </c>
      <c r="AF93" s="2">
        <f t="shared" si="27"/>
        <v>2.8046932000002016</v>
      </c>
      <c r="AG93">
        <v>2912.8029691000002</v>
      </c>
      <c r="AH93">
        <v>205.17881142857101</v>
      </c>
      <c r="AI93">
        <v>50.836462857142799</v>
      </c>
      <c r="AJ93" s="2">
        <f t="shared" si="23"/>
        <v>24.196679999999997</v>
      </c>
      <c r="AK93" s="2">
        <f t="shared" si="17"/>
        <v>29.199718332289063</v>
      </c>
      <c r="AL93" s="2">
        <f t="shared" si="28"/>
        <v>5.0030383322890657</v>
      </c>
      <c r="AM93" s="2"/>
    </row>
    <row r="94" spans="1:39" x14ac:dyDescent="0.3">
      <c r="A94">
        <f t="shared" si="14"/>
        <v>0</v>
      </c>
      <c r="B94" s="2">
        <f t="shared" si="18"/>
        <v>16.179599999759375</v>
      </c>
      <c r="C94" s="2" t="e">
        <f t="shared" si="25"/>
        <v>#VALUE!</v>
      </c>
      <c r="D94" s="2">
        <f t="shared" si="19"/>
        <v>1.3212923999999475</v>
      </c>
      <c r="E94" s="2"/>
      <c r="F94">
        <v>2906.9248223999998</v>
      </c>
      <c r="G94" t="s">
        <v>37</v>
      </c>
      <c r="H94" t="s">
        <v>37</v>
      </c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>
        <v>0</v>
      </c>
      <c r="O94">
        <v>0</v>
      </c>
      <c r="P94">
        <v>0</v>
      </c>
      <c r="Q94">
        <v>0</v>
      </c>
      <c r="R94">
        <v>8.6898170471191402E-2</v>
      </c>
      <c r="S94">
        <v>-0.11247159576416001</v>
      </c>
      <c r="T94">
        <v>0</v>
      </c>
      <c r="U94" s="7">
        <v>167.62200000000001</v>
      </c>
      <c r="V94" s="7">
        <v>0.93300000000000005</v>
      </c>
      <c r="W94" s="7">
        <v>1.6639999999999999</v>
      </c>
      <c r="X94" s="7">
        <v>0.61099999999999999</v>
      </c>
      <c r="Y94" t="b">
        <v>1</v>
      </c>
      <c r="Z94">
        <v>79</v>
      </c>
      <c r="AA94">
        <f t="shared" si="15"/>
        <v>8.6898170471191403</v>
      </c>
      <c r="AB94">
        <f t="shared" si="20"/>
        <v>40.408870110585596</v>
      </c>
      <c r="AC94" t="e">
        <f t="shared" si="21"/>
        <v>#VALUE!</v>
      </c>
      <c r="AE94" s="2">
        <f t="shared" si="26"/>
        <v>3.0937300000005052E-2</v>
      </c>
      <c r="AF94" s="2">
        <f t="shared" si="27"/>
        <v>2.8356305000002067</v>
      </c>
      <c r="AG94">
        <v>2912.8339064000002</v>
      </c>
      <c r="AH94">
        <v>205.64705142857099</v>
      </c>
      <c r="AI94">
        <v>51.410982857142798</v>
      </c>
      <c r="AJ94" s="2">
        <f t="shared" si="23"/>
        <v>24.771199999999997</v>
      </c>
      <c r="AK94" s="2">
        <f t="shared" si="17"/>
        <v>30.255945252096719</v>
      </c>
      <c r="AL94" s="2">
        <f t="shared" si="28"/>
        <v>5.4847452520967224</v>
      </c>
      <c r="AM94" s="2"/>
    </row>
    <row r="95" spans="1:39" x14ac:dyDescent="0.3">
      <c r="A95">
        <f t="shared" si="14"/>
        <v>0</v>
      </c>
      <c r="B95" s="2">
        <f t="shared" si="18"/>
        <v>15.401900000142632</v>
      </c>
      <c r="C95" s="2" t="e">
        <f t="shared" si="25"/>
        <v>#VALUE!</v>
      </c>
      <c r="D95" s="2">
        <f t="shared" si="19"/>
        <v>1.3366943000000902</v>
      </c>
      <c r="E95" s="2"/>
      <c r="F95">
        <v>2906.9402243</v>
      </c>
      <c r="G95" t="s">
        <v>37</v>
      </c>
      <c r="H95" t="s">
        <v>37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>
        <v>0</v>
      </c>
      <c r="O95">
        <v>0</v>
      </c>
      <c r="P95">
        <v>0</v>
      </c>
      <c r="Q95">
        <v>0</v>
      </c>
      <c r="R95">
        <v>8.6898170471191402E-2</v>
      </c>
      <c r="S95">
        <v>-0.11247159576416001</v>
      </c>
      <c r="T95">
        <v>0</v>
      </c>
      <c r="U95" s="7">
        <v>167.62200000000001</v>
      </c>
      <c r="V95" s="7">
        <v>0.93300000000000005</v>
      </c>
      <c r="W95" s="7">
        <v>1.6639999999999999</v>
      </c>
      <c r="X95" s="7">
        <v>0.61099999999999999</v>
      </c>
      <c r="Y95" t="b">
        <v>1</v>
      </c>
      <c r="Z95">
        <v>79</v>
      </c>
      <c r="AA95">
        <f t="shared" si="15"/>
        <v>8.6898170471191403</v>
      </c>
      <c r="AB95">
        <f t="shared" si="20"/>
        <v>40.542709803764858</v>
      </c>
      <c r="AC95" t="e">
        <f t="shared" si="21"/>
        <v>#VALUE!</v>
      </c>
      <c r="AE95" s="2">
        <f t="shared" si="26"/>
        <v>3.0641599999853497E-2</v>
      </c>
      <c r="AF95" s="2">
        <f t="shared" si="27"/>
        <v>2.8662721000000602</v>
      </c>
      <c r="AG95">
        <v>2912.864548</v>
      </c>
      <c r="AH95">
        <v>206.115651428571</v>
      </c>
      <c r="AI95">
        <v>51.742742857142801</v>
      </c>
      <c r="AJ95" s="2">
        <f t="shared" si="23"/>
        <v>25.102959999999999</v>
      </c>
      <c r="AK95" s="2">
        <f t="shared" si="17"/>
        <v>31.315486270894283</v>
      </c>
      <c r="AL95" s="2">
        <f t="shared" si="28"/>
        <v>6.2125262708942834</v>
      </c>
      <c r="AM95" s="2"/>
    </row>
    <row r="96" spans="1:39" x14ac:dyDescent="0.3">
      <c r="A96">
        <f t="shared" si="14"/>
        <v>0</v>
      </c>
      <c r="B96" s="2">
        <f t="shared" si="18"/>
        <v>15.956400000050053</v>
      </c>
      <c r="C96" s="2" t="e">
        <f t="shared" si="25"/>
        <v>#VALUE!</v>
      </c>
      <c r="D96" s="2">
        <f t="shared" si="19"/>
        <v>1.3526507000001402</v>
      </c>
      <c r="E96" s="2"/>
      <c r="F96">
        <v>2906.9561807</v>
      </c>
      <c r="G96" t="s">
        <v>37</v>
      </c>
      <c r="H96" t="s">
        <v>37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>
        <v>0</v>
      </c>
      <c r="O96">
        <v>0</v>
      </c>
      <c r="P96">
        <v>0</v>
      </c>
      <c r="Q96">
        <v>0</v>
      </c>
      <c r="R96">
        <v>8.6898170471191402E-2</v>
      </c>
      <c r="S96">
        <v>-0.11247159576416001</v>
      </c>
      <c r="T96">
        <v>0</v>
      </c>
      <c r="U96" s="7">
        <v>167.62200000000001</v>
      </c>
      <c r="V96" s="7">
        <v>0.93300000000000005</v>
      </c>
      <c r="W96" s="7">
        <v>1.6639999999999999</v>
      </c>
      <c r="X96" s="7">
        <v>0.61099999999999999</v>
      </c>
      <c r="Y96" t="b">
        <v>1</v>
      </c>
      <c r="Z96">
        <v>79</v>
      </c>
      <c r="AA96">
        <f t="shared" si="15"/>
        <v>8.6898170471191403</v>
      </c>
      <c r="AB96">
        <f t="shared" si="20"/>
        <v>40.681368000495944</v>
      </c>
      <c r="AC96" t="e">
        <f t="shared" si="21"/>
        <v>#VALUE!</v>
      </c>
      <c r="AE96" s="2">
        <f t="shared" si="26"/>
        <v>3.0382800000097632E-2</v>
      </c>
      <c r="AF96" s="2">
        <f t="shared" si="27"/>
        <v>2.8966549000001578</v>
      </c>
      <c r="AG96">
        <v>2912.8949308000001</v>
      </c>
      <c r="AH96">
        <v>206.56601142857099</v>
      </c>
      <c r="AI96">
        <v>51.9231428571428</v>
      </c>
      <c r="AJ96" s="2">
        <f t="shared" si="23"/>
        <v>25.283359999999998</v>
      </c>
      <c r="AK96" s="2">
        <f t="shared" si="17"/>
        <v>32.379039224578165</v>
      </c>
      <c r="AL96" s="2">
        <f t="shared" si="28"/>
        <v>7.0956792245781664</v>
      </c>
      <c r="AM96" s="2"/>
    </row>
    <row r="97" spans="1:39" x14ac:dyDescent="0.3">
      <c r="A97">
        <f t="shared" si="14"/>
        <v>0</v>
      </c>
      <c r="B97" s="2">
        <f t="shared" si="18"/>
        <v>15.152500000112923</v>
      </c>
      <c r="C97" s="2" t="e">
        <f t="shared" si="25"/>
        <v>#VALUE!</v>
      </c>
      <c r="D97" s="2">
        <f t="shared" si="19"/>
        <v>1.3678032000002531</v>
      </c>
      <c r="E97" s="2"/>
      <c r="F97">
        <v>2906.9713332000001</v>
      </c>
      <c r="G97" t="s">
        <v>37</v>
      </c>
      <c r="H97" t="s">
        <v>37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>
        <v>0</v>
      </c>
      <c r="O97">
        <v>0</v>
      </c>
      <c r="P97">
        <v>0</v>
      </c>
      <c r="Q97">
        <v>0</v>
      </c>
      <c r="R97">
        <v>9.7643714904785101E-2</v>
      </c>
      <c r="S97">
        <v>-0.10151279449462799</v>
      </c>
      <c r="T97">
        <v>0</v>
      </c>
      <c r="U97" s="7">
        <v>167.62799999999999</v>
      </c>
      <c r="V97" s="7">
        <v>0.93600000000000005</v>
      </c>
      <c r="W97" s="7">
        <v>1.9079999999999999</v>
      </c>
      <c r="X97" s="7">
        <v>0.61799999999999999</v>
      </c>
      <c r="Y97" t="b">
        <v>1</v>
      </c>
      <c r="Z97">
        <v>79</v>
      </c>
      <c r="AA97">
        <f t="shared" si="15"/>
        <v>9.7643714904785099</v>
      </c>
      <c r="AB97">
        <f t="shared" si="20"/>
        <v>40.813040453303401</v>
      </c>
      <c r="AC97" t="e">
        <f t="shared" si="21"/>
        <v>#VALUE!</v>
      </c>
      <c r="AE97" s="2">
        <f t="shared" si="26"/>
        <v>3.0798499999946216E-2</v>
      </c>
      <c r="AF97" s="2">
        <f t="shared" si="27"/>
        <v>2.927453400000104</v>
      </c>
      <c r="AG97">
        <v>2912.9257293000001</v>
      </c>
      <c r="AH97">
        <v>207.01983428571401</v>
      </c>
      <c r="AI97">
        <v>51.9535085714285</v>
      </c>
      <c r="AJ97" s="2">
        <f t="shared" si="23"/>
        <v>25.313725714285699</v>
      </c>
      <c r="AK97" s="2">
        <f t="shared" si="17"/>
        <v>33.47010045060734</v>
      </c>
      <c r="AL97" s="2">
        <f t="shared" si="28"/>
        <v>8.1563747363216414</v>
      </c>
      <c r="AM97" s="2"/>
    </row>
    <row r="98" spans="1:39" x14ac:dyDescent="0.3">
      <c r="A98">
        <f t="shared" si="14"/>
        <v>0</v>
      </c>
      <c r="B98" s="2">
        <f t="shared" si="18"/>
        <v>15.633499999694322</v>
      </c>
      <c r="C98" s="2" t="e">
        <f t="shared" si="25"/>
        <v>#VALUE!</v>
      </c>
      <c r="D98" s="2">
        <f t="shared" si="19"/>
        <v>1.3834366999999475</v>
      </c>
      <c r="E98" s="2"/>
      <c r="F98">
        <v>2906.9869666999998</v>
      </c>
      <c r="G98" t="s">
        <v>37</v>
      </c>
      <c r="H98" t="s">
        <v>37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>
        <v>0</v>
      </c>
      <c r="O98">
        <v>0</v>
      </c>
      <c r="P98">
        <v>0</v>
      </c>
      <c r="Q98">
        <v>0</v>
      </c>
      <c r="R98">
        <v>9.7643714904785101E-2</v>
      </c>
      <c r="S98">
        <v>-0.10151279449462799</v>
      </c>
      <c r="T98">
        <v>0</v>
      </c>
      <c r="U98" s="7">
        <v>167.62799999999999</v>
      </c>
      <c r="V98" s="7">
        <v>0.93600000000000005</v>
      </c>
      <c r="W98" s="7">
        <v>1.9079999999999999</v>
      </c>
      <c r="X98" s="7">
        <v>0.61799999999999999</v>
      </c>
      <c r="Y98" t="b">
        <v>1</v>
      </c>
      <c r="Z98">
        <v>79</v>
      </c>
      <c r="AA98">
        <f t="shared" si="15"/>
        <v>9.7643714904785099</v>
      </c>
      <c r="AB98">
        <f t="shared" si="20"/>
        <v>40.965691754996811</v>
      </c>
      <c r="AC98" t="e">
        <f t="shared" si="21"/>
        <v>#VALUE!</v>
      </c>
      <c r="AE98" s="2">
        <f t="shared" si="26"/>
        <v>4.6301699999730772E-2</v>
      </c>
      <c r="AF98" s="2">
        <f t="shared" si="27"/>
        <v>2.9737550999998348</v>
      </c>
      <c r="AG98">
        <v>2912.9720309999998</v>
      </c>
      <c r="AH98">
        <v>207.46381714285701</v>
      </c>
      <c r="AI98">
        <v>51.989114285714201</v>
      </c>
      <c r="AJ98" s="2">
        <f t="shared" si="23"/>
        <v>25.3493314285714</v>
      </c>
      <c r="AK98" s="2">
        <f t="shared" si="17"/>
        <v>35.134453020359381</v>
      </c>
      <c r="AL98" s="2">
        <f t="shared" si="28"/>
        <v>9.7851215917879806</v>
      </c>
      <c r="AM98" s="2"/>
    </row>
    <row r="99" spans="1:39" x14ac:dyDescent="0.3">
      <c r="A99">
        <f t="shared" si="14"/>
        <v>0</v>
      </c>
      <c r="B99" s="2">
        <f t="shared" si="18"/>
        <v>15.656100000342121</v>
      </c>
      <c r="C99" s="2" t="e">
        <f t="shared" si="25"/>
        <v>#VALUE!</v>
      </c>
      <c r="D99" s="2">
        <f t="shared" si="19"/>
        <v>1.3990928000002896</v>
      </c>
      <c r="E99" s="2"/>
      <c r="F99">
        <v>2907.0026228000002</v>
      </c>
      <c r="G99" t="s">
        <v>37</v>
      </c>
      <c r="H99" t="s">
        <v>37</v>
      </c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>
        <v>0</v>
      </c>
      <c r="O99">
        <v>0</v>
      </c>
      <c r="P99">
        <v>0</v>
      </c>
      <c r="Q99">
        <v>0</v>
      </c>
      <c r="R99">
        <v>9.7643714904785101E-2</v>
      </c>
      <c r="S99">
        <v>-0.10151279449462799</v>
      </c>
      <c r="T99">
        <v>0</v>
      </c>
      <c r="U99" s="7">
        <v>167.62799999999999</v>
      </c>
      <c r="V99" s="7">
        <v>0.93600000000000005</v>
      </c>
      <c r="W99" s="7">
        <v>1.9079999999999999</v>
      </c>
      <c r="X99" s="7">
        <v>0.61799999999999999</v>
      </c>
      <c r="Y99" t="b">
        <v>1</v>
      </c>
      <c r="Z99">
        <v>79</v>
      </c>
      <c r="AA99">
        <f t="shared" si="15"/>
        <v>9.7643714904785099</v>
      </c>
      <c r="AB99">
        <f t="shared" si="20"/>
        <v>41.11856373149223</v>
      </c>
      <c r="AC99" t="e">
        <f t="shared" si="21"/>
        <v>#VALUE!</v>
      </c>
      <c r="AE99" s="2">
        <f t="shared" si="26"/>
        <v>3.0951000000186468E-2</v>
      </c>
      <c r="AF99" s="2">
        <f t="shared" si="27"/>
        <v>3.0047061000000213</v>
      </c>
      <c r="AG99">
        <v>2913.002982</v>
      </c>
      <c r="AH99">
        <v>207.91416000000001</v>
      </c>
      <c r="AI99">
        <v>52.635399999999997</v>
      </c>
      <c r="AJ99" s="2">
        <f t="shared" si="23"/>
        <v>25.995617142857196</v>
      </c>
      <c r="AK99" s="2">
        <f t="shared" si="17"/>
        <v>36.262829579384011</v>
      </c>
      <c r="AL99" s="2">
        <f t="shared" si="28"/>
        <v>10.267212436526815</v>
      </c>
      <c r="AM99" s="2"/>
    </row>
    <row r="100" spans="1:39" x14ac:dyDescent="0.3">
      <c r="A100">
        <f t="shared" si="14"/>
        <v>0</v>
      </c>
      <c r="B100" s="2">
        <f t="shared" si="18"/>
        <v>15.634200000022247</v>
      </c>
      <c r="C100" s="2" t="e">
        <f t="shared" si="25"/>
        <v>#VALUE!</v>
      </c>
      <c r="D100" s="2">
        <f t="shared" si="19"/>
        <v>1.4147270000003118</v>
      </c>
      <c r="E100" s="2"/>
      <c r="F100">
        <v>2907.0182570000002</v>
      </c>
      <c r="G100" t="s">
        <v>37</v>
      </c>
      <c r="H100" t="s">
        <v>37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>
        <v>0</v>
      </c>
      <c r="O100">
        <v>0</v>
      </c>
      <c r="P100">
        <v>0</v>
      </c>
      <c r="Q100">
        <v>0</v>
      </c>
      <c r="R100">
        <v>9.7643714904785101E-2</v>
      </c>
      <c r="S100">
        <v>-0.10151279449462799</v>
      </c>
      <c r="T100">
        <v>0</v>
      </c>
      <c r="U100" s="7">
        <v>167.62799999999999</v>
      </c>
      <c r="V100" s="7">
        <v>0.93600000000000005</v>
      </c>
      <c r="W100" s="7">
        <v>1.9079999999999999</v>
      </c>
      <c r="X100" s="7">
        <v>0.61799999999999999</v>
      </c>
      <c r="Y100" t="b">
        <v>1</v>
      </c>
      <c r="Z100">
        <v>79</v>
      </c>
      <c r="AA100">
        <f t="shared" si="15"/>
        <v>9.7643714904785099</v>
      </c>
      <c r="AB100">
        <f t="shared" si="20"/>
        <v>41.271221868248887</v>
      </c>
      <c r="AC100" t="e">
        <f t="shared" si="21"/>
        <v>#VALUE!</v>
      </c>
      <c r="AE100" s="2">
        <f t="shared" si="26"/>
        <v>3.0175899999903777E-2</v>
      </c>
      <c r="AF100" s="2">
        <f t="shared" si="27"/>
        <v>3.034881999999925</v>
      </c>
      <c r="AG100">
        <v>2913.0331578999999</v>
      </c>
      <c r="AH100">
        <v>208.35814285714201</v>
      </c>
      <c r="AI100">
        <v>53.422565714285703</v>
      </c>
      <c r="AJ100" s="2">
        <f t="shared" si="23"/>
        <v>26.782782857142902</v>
      </c>
      <c r="AK100" s="2">
        <f t="shared" si="17"/>
        <v>37.374917514432767</v>
      </c>
      <c r="AL100" s="2">
        <f t="shared" si="28"/>
        <v>10.592134657289865</v>
      </c>
      <c r="AM100" s="2"/>
    </row>
    <row r="101" spans="1:39" x14ac:dyDescent="0.3">
      <c r="A101">
        <f t="shared" si="14"/>
        <v>0</v>
      </c>
      <c r="B101" s="2">
        <f t="shared" si="18"/>
        <v>15.628099999958067</v>
      </c>
      <c r="C101" s="2" t="e">
        <f t="shared" si="25"/>
        <v>#VALUE!</v>
      </c>
      <c r="D101" s="2">
        <f t="shared" si="19"/>
        <v>1.4303551000002699</v>
      </c>
      <c r="E101" s="2"/>
      <c r="F101">
        <v>2907.0338851000001</v>
      </c>
      <c r="G101" t="s">
        <v>37</v>
      </c>
      <c r="H101" t="s">
        <v>37</v>
      </c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>
        <v>0</v>
      </c>
      <c r="O101">
        <v>0</v>
      </c>
      <c r="P101">
        <v>0</v>
      </c>
      <c r="Q101">
        <v>0</v>
      </c>
      <c r="R101">
        <v>6.52148666381836E-2</v>
      </c>
      <c r="S101">
        <v>-6.7956970214843704E-2</v>
      </c>
      <c r="T101">
        <v>0</v>
      </c>
      <c r="U101" s="7">
        <v>167.72499999999999</v>
      </c>
      <c r="V101" s="7">
        <v>1.2150000000000001</v>
      </c>
      <c r="W101" s="7">
        <v>2.1</v>
      </c>
      <c r="X101" s="7">
        <v>0.61899999999999999</v>
      </c>
      <c r="Y101" t="b">
        <v>1</v>
      </c>
      <c r="Z101">
        <v>79</v>
      </c>
      <c r="AA101">
        <f t="shared" si="15"/>
        <v>6.5214866638183597</v>
      </c>
      <c r="AB101">
        <f t="shared" si="20"/>
        <v>41.423820442338823</v>
      </c>
      <c r="AC101" t="e">
        <f t="shared" si="21"/>
        <v>#VALUE!</v>
      </c>
      <c r="AE101" s="2">
        <f t="shared" si="26"/>
        <v>3.0825499999991735E-2</v>
      </c>
      <c r="AF101" s="2">
        <f t="shared" si="27"/>
        <v>3.0657074999999168</v>
      </c>
      <c r="AG101">
        <v>2913.0639833999999</v>
      </c>
      <c r="AH101">
        <v>208.80718285714201</v>
      </c>
      <c r="AI101">
        <v>54.286405714285699</v>
      </c>
      <c r="AJ101" s="2">
        <f t="shared" si="23"/>
        <v>27.646622857142898</v>
      </c>
      <c r="AK101" s="2">
        <f t="shared" si="17"/>
        <v>38.52294741059896</v>
      </c>
      <c r="AL101" s="2">
        <f t="shared" si="28"/>
        <v>10.876324553456062</v>
      </c>
      <c r="AM101" s="2"/>
    </row>
    <row r="102" spans="1:39" x14ac:dyDescent="0.3">
      <c r="A102">
        <f t="shared" si="14"/>
        <v>0</v>
      </c>
      <c r="B102" s="2">
        <f t="shared" si="18"/>
        <v>15.292699999918113</v>
      </c>
      <c r="C102" s="2" t="e">
        <f t="shared" si="25"/>
        <v>#VALUE!</v>
      </c>
      <c r="D102" s="2">
        <f t="shared" si="19"/>
        <v>1.445647800000188</v>
      </c>
      <c r="E102" s="2"/>
      <c r="F102">
        <v>2907.0491778000001</v>
      </c>
      <c r="G102" t="s">
        <v>37</v>
      </c>
      <c r="H102" t="s">
        <v>37</v>
      </c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>
        <v>0</v>
      </c>
      <c r="O102">
        <v>0</v>
      </c>
      <c r="P102">
        <v>0</v>
      </c>
      <c r="Q102">
        <v>0</v>
      </c>
      <c r="R102">
        <v>6.52148666381836E-2</v>
      </c>
      <c r="S102">
        <v>-6.7956970214843704E-2</v>
      </c>
      <c r="T102">
        <v>0</v>
      </c>
      <c r="U102" s="7">
        <v>167.72499999999999</v>
      </c>
      <c r="V102" s="7">
        <v>1.2150000000000001</v>
      </c>
      <c r="W102" s="7">
        <v>2.1</v>
      </c>
      <c r="X102" s="7">
        <v>0.61899999999999999</v>
      </c>
      <c r="Y102" t="b">
        <v>1</v>
      </c>
      <c r="Z102">
        <v>79</v>
      </c>
      <c r="AA102">
        <f t="shared" si="15"/>
        <v>6.5214866638183597</v>
      </c>
      <c r="AB102">
        <f t="shared" si="20"/>
        <v>41.523551581442064</v>
      </c>
      <c r="AC102" t="e">
        <f t="shared" si="21"/>
        <v>#VALUE!</v>
      </c>
      <c r="AE102" s="2">
        <f t="shared" si="26"/>
        <v>3.0688199999985954E-2</v>
      </c>
      <c r="AF102" s="2">
        <f t="shared" si="27"/>
        <v>3.0963956999999027</v>
      </c>
      <c r="AG102">
        <v>2913.0946715999999</v>
      </c>
      <c r="AH102">
        <v>209.25622285714201</v>
      </c>
      <c r="AI102">
        <v>55.103085714285697</v>
      </c>
      <c r="AJ102" s="2">
        <f t="shared" si="23"/>
        <v>28.463302857142896</v>
      </c>
      <c r="AK102" s="2">
        <f t="shared" si="17"/>
        <v>39.677716000640274</v>
      </c>
      <c r="AL102" s="2">
        <f t="shared" si="28"/>
        <v>11.214413143497378</v>
      </c>
      <c r="AM102" s="2"/>
    </row>
    <row r="103" spans="1:39" x14ac:dyDescent="0.3">
      <c r="A103">
        <f t="shared" si="14"/>
        <v>0</v>
      </c>
      <c r="B103" s="2">
        <f t="shared" si="18"/>
        <v>14.780800000153249</v>
      </c>
      <c r="C103" s="2" t="e">
        <f t="shared" si="25"/>
        <v>#VALUE!</v>
      </c>
      <c r="D103" s="2">
        <f t="shared" si="19"/>
        <v>1.4604286000003412</v>
      </c>
      <c r="E103" s="2"/>
      <c r="F103">
        <v>2907.0639586000002</v>
      </c>
      <c r="G103" t="s">
        <v>37</v>
      </c>
      <c r="H103" t="s">
        <v>37</v>
      </c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>
        <v>0</v>
      </c>
      <c r="O103">
        <v>0</v>
      </c>
      <c r="P103">
        <v>0</v>
      </c>
      <c r="Q103">
        <v>0</v>
      </c>
      <c r="R103">
        <v>6.52148666381836E-2</v>
      </c>
      <c r="S103">
        <v>-6.7956970214843704E-2</v>
      </c>
      <c r="T103">
        <v>0</v>
      </c>
      <c r="U103" s="7">
        <v>167.72499999999999</v>
      </c>
      <c r="V103" s="7">
        <v>1.2150000000000001</v>
      </c>
      <c r="W103" s="7">
        <v>2.1</v>
      </c>
      <c r="X103" s="7">
        <v>0.61899999999999999</v>
      </c>
      <c r="Y103" t="b">
        <v>1</v>
      </c>
      <c r="Z103">
        <v>79</v>
      </c>
      <c r="AA103">
        <f t="shared" si="15"/>
        <v>6.5214866638183597</v>
      </c>
      <c r="AB103">
        <f t="shared" si="20"/>
        <v>41.61994437152363</v>
      </c>
      <c r="AC103" t="e">
        <f t="shared" si="21"/>
        <v>#VALUE!</v>
      </c>
      <c r="AE103" s="2">
        <f t="shared" si="26"/>
        <v>3.035230000023148E-2</v>
      </c>
      <c r="AF103" s="2">
        <f t="shared" si="27"/>
        <v>3.1267480000001342</v>
      </c>
      <c r="AG103">
        <v>2913.1250239000001</v>
      </c>
      <c r="AH103">
        <v>209.69542285714201</v>
      </c>
      <c r="AI103">
        <v>55.888325714285699</v>
      </c>
      <c r="AJ103" s="2">
        <f t="shared" si="23"/>
        <v>29.248542857142898</v>
      </c>
      <c r="AK103" s="2">
        <f t="shared" si="17"/>
        <v>40.831286980860611</v>
      </c>
      <c r="AL103" s="2">
        <f t="shared" si="28"/>
        <v>11.582744123717713</v>
      </c>
      <c r="AM103" s="2"/>
    </row>
    <row r="104" spans="1:39" x14ac:dyDescent="0.3">
      <c r="A104">
        <f t="shared" si="14"/>
        <v>0</v>
      </c>
      <c r="B104" s="2">
        <f t="shared" si="18"/>
        <v>15.583399999741232</v>
      </c>
      <c r="C104" s="2" t="e">
        <f t="shared" si="25"/>
        <v>#VALUE!</v>
      </c>
      <c r="D104" s="2">
        <f t="shared" si="19"/>
        <v>1.4760120000000825</v>
      </c>
      <c r="E104" s="2"/>
      <c r="F104">
        <v>2907.0795419999999</v>
      </c>
      <c r="G104" t="s">
        <v>37</v>
      </c>
      <c r="H104" t="s">
        <v>37</v>
      </c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>
        <v>0</v>
      </c>
      <c r="O104">
        <v>0</v>
      </c>
      <c r="P104">
        <v>0</v>
      </c>
      <c r="Q104">
        <v>0</v>
      </c>
      <c r="R104">
        <v>6.52148666381836E-2</v>
      </c>
      <c r="S104">
        <v>-6.7956970214843704E-2</v>
      </c>
      <c r="T104">
        <v>0</v>
      </c>
      <c r="U104" s="7">
        <v>167.72499999999999</v>
      </c>
      <c r="V104" s="7">
        <v>1.2150000000000001</v>
      </c>
      <c r="W104" s="7">
        <v>2.1</v>
      </c>
      <c r="X104" s="7">
        <v>0.61899999999999999</v>
      </c>
      <c r="Y104" t="b">
        <v>1</v>
      </c>
      <c r="Z104">
        <v>79</v>
      </c>
      <c r="AA104">
        <f t="shared" si="15"/>
        <v>6.5214866638183597</v>
      </c>
      <c r="AB104">
        <f t="shared" si="20"/>
        <v>41.721571306798893</v>
      </c>
      <c r="AC104" t="e">
        <f t="shared" si="21"/>
        <v>#VALUE!</v>
      </c>
      <c r="AE104" s="2">
        <f t="shared" si="26"/>
        <v>3.1561199999941891E-2</v>
      </c>
      <c r="AF104" s="2">
        <f t="shared" si="27"/>
        <v>3.1583092000000761</v>
      </c>
      <c r="AG104">
        <v>2913.1565851</v>
      </c>
      <c r="AH104">
        <v>210.12970285714201</v>
      </c>
      <c r="AI104">
        <v>56.621165714285702</v>
      </c>
      <c r="AJ104" s="2">
        <f t="shared" si="23"/>
        <v>29.981382857142901</v>
      </c>
      <c r="AK104" s="2">
        <f t="shared" si="17"/>
        <v>42.042672434483407</v>
      </c>
      <c r="AL104" s="2">
        <f t="shared" si="28"/>
        <v>12.061289577340506</v>
      </c>
      <c r="AM104" s="2"/>
    </row>
    <row r="105" spans="1:39" x14ac:dyDescent="0.3">
      <c r="A105">
        <f t="shared" si="14"/>
        <v>0</v>
      </c>
      <c r="B105" s="2">
        <f t="shared" si="18"/>
        <v>15.688500000123895</v>
      </c>
      <c r="C105" s="2" t="e">
        <f t="shared" si="25"/>
        <v>#VALUE!</v>
      </c>
      <c r="D105" s="2">
        <f t="shared" si="19"/>
        <v>1.4917005000002064</v>
      </c>
      <c r="E105" s="2"/>
      <c r="F105">
        <v>2907.0952305000001</v>
      </c>
      <c r="G105" t="s">
        <v>37</v>
      </c>
      <c r="H105" t="s">
        <v>37</v>
      </c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>
        <v>0</v>
      </c>
      <c r="O105">
        <v>0</v>
      </c>
      <c r="P105">
        <v>0</v>
      </c>
      <c r="Q105">
        <v>0</v>
      </c>
      <c r="R105">
        <v>6.52148666381836E-2</v>
      </c>
      <c r="S105">
        <v>-6.7956970214843704E-2</v>
      </c>
      <c r="T105">
        <v>0</v>
      </c>
      <c r="U105" s="7">
        <v>167.72499999999999</v>
      </c>
      <c r="V105" s="7">
        <v>1.2150000000000001</v>
      </c>
      <c r="W105" s="7">
        <v>2.1</v>
      </c>
      <c r="X105" s="7">
        <v>0.61899999999999999</v>
      </c>
      <c r="Y105" t="b">
        <v>1</v>
      </c>
      <c r="Z105">
        <v>79</v>
      </c>
      <c r="AA105">
        <f t="shared" si="15"/>
        <v>6.5214866638183597</v>
      </c>
      <c r="AB105">
        <f t="shared" si="20"/>
        <v>41.823883650325016</v>
      </c>
      <c r="AC105" t="e">
        <f t="shared" si="21"/>
        <v>#VALUE!</v>
      </c>
      <c r="AE105" s="2">
        <f t="shared" si="26"/>
        <v>3.1701500000053784E-2</v>
      </c>
      <c r="AF105" s="2">
        <f t="shared" si="27"/>
        <v>3.1900107000001299</v>
      </c>
      <c r="AG105">
        <v>2913.1882866000001</v>
      </c>
      <c r="AH105">
        <v>210.54922285714201</v>
      </c>
      <c r="AI105">
        <v>57.3068457142857</v>
      </c>
      <c r="AJ105" s="2">
        <f t="shared" si="23"/>
        <v>30.667062857142898</v>
      </c>
      <c r="AK105" s="2">
        <f t="shared" si="17"/>
        <v>43.271421449676787</v>
      </c>
      <c r="AL105" s="2">
        <f t="shared" si="28"/>
        <v>12.604358592533888</v>
      </c>
      <c r="AM105" s="2"/>
    </row>
    <row r="106" spans="1:39" x14ac:dyDescent="0.3">
      <c r="A106">
        <f t="shared" si="14"/>
        <v>0</v>
      </c>
      <c r="B106" s="2">
        <f t="shared" si="18"/>
        <v>14.82350000014776</v>
      </c>
      <c r="C106" s="2" t="e">
        <f t="shared" si="25"/>
        <v>#VALUE!</v>
      </c>
      <c r="D106" s="2">
        <f t="shared" si="19"/>
        <v>1.5065240000003541</v>
      </c>
      <c r="E106" s="2"/>
      <c r="F106">
        <v>2907.1100540000002</v>
      </c>
      <c r="G106" t="s">
        <v>37</v>
      </c>
      <c r="H106" t="s">
        <v>37</v>
      </c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>
        <v>0</v>
      </c>
      <c r="O106">
        <v>0</v>
      </c>
      <c r="P106">
        <v>0</v>
      </c>
      <c r="Q106">
        <v>0</v>
      </c>
      <c r="R106">
        <v>6.2556434631347593E-2</v>
      </c>
      <c r="S106">
        <v>-5.0070556640625E-2</v>
      </c>
      <c r="T106">
        <v>0</v>
      </c>
      <c r="U106" s="7">
        <v>167.57499999999999</v>
      </c>
      <c r="V106" s="7">
        <v>1.2410000000000001</v>
      </c>
      <c r="W106" s="7">
        <v>1.9179999999999999</v>
      </c>
      <c r="X106" s="7">
        <v>0.61899999999999999</v>
      </c>
      <c r="Y106" t="b">
        <v>1</v>
      </c>
      <c r="Z106">
        <v>79</v>
      </c>
      <c r="AA106">
        <f t="shared" si="15"/>
        <v>6.2556434631347591</v>
      </c>
      <c r="AB106">
        <f t="shared" si="20"/>
        <v>41.920554907887087</v>
      </c>
      <c r="AC106" t="e">
        <f t="shared" si="21"/>
        <v>#VALUE!</v>
      </c>
      <c r="AE106" s="2">
        <f t="shared" si="26"/>
        <v>4.5553299999937735E-2</v>
      </c>
      <c r="AF106" s="2">
        <f t="shared" si="27"/>
        <v>3.2355640000000676</v>
      </c>
      <c r="AG106">
        <v>2913.2338399</v>
      </c>
      <c r="AH106">
        <v>210.96874285714199</v>
      </c>
      <c r="AI106">
        <v>57.940125714285699</v>
      </c>
      <c r="AJ106" s="2">
        <f t="shared" si="23"/>
        <v>31.300342857142898</v>
      </c>
      <c r="AK106" s="2">
        <f t="shared" si="17"/>
        <v>45.057678917418066</v>
      </c>
      <c r="AL106" s="2">
        <f t="shared" si="28"/>
        <v>13.757336060275168</v>
      </c>
      <c r="AM106" s="2"/>
    </row>
    <row r="107" spans="1:39" x14ac:dyDescent="0.3">
      <c r="A107">
        <f t="shared" si="14"/>
        <v>0</v>
      </c>
      <c r="B107" s="2">
        <f t="shared" si="18"/>
        <v>16.023899999709101</v>
      </c>
      <c r="C107" s="2" t="e">
        <f t="shared" si="25"/>
        <v>#VALUE!</v>
      </c>
      <c r="D107" s="2">
        <f t="shared" si="19"/>
        <v>1.5225479000000632</v>
      </c>
      <c r="E107" s="2"/>
      <c r="F107">
        <v>2907.1260778999999</v>
      </c>
      <c r="G107" t="s">
        <v>37</v>
      </c>
      <c r="H107" t="s">
        <v>37</v>
      </c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>
        <v>0</v>
      </c>
      <c r="O107">
        <v>0</v>
      </c>
      <c r="P107">
        <v>0</v>
      </c>
      <c r="Q107">
        <v>0</v>
      </c>
      <c r="R107">
        <v>6.2556434631347593E-2</v>
      </c>
      <c r="S107">
        <v>-5.0070556640625E-2</v>
      </c>
      <c r="T107">
        <v>0</v>
      </c>
      <c r="U107" s="7">
        <v>167.57499999999999</v>
      </c>
      <c r="V107" s="7">
        <v>1.2410000000000001</v>
      </c>
      <c r="W107" s="7">
        <v>1.9179999999999999</v>
      </c>
      <c r="X107" s="7">
        <v>0.61899999999999999</v>
      </c>
      <c r="Y107" t="b">
        <v>1</v>
      </c>
      <c r="Z107">
        <v>79</v>
      </c>
      <c r="AA107">
        <f t="shared" si="15"/>
        <v>6.2556434631347591</v>
      </c>
      <c r="AB107">
        <f t="shared" si="20"/>
        <v>42.02079471317419</v>
      </c>
      <c r="AC107" t="e">
        <f t="shared" si="21"/>
        <v>#VALUE!</v>
      </c>
      <c r="AE107" s="2">
        <f t="shared" si="26"/>
        <v>3.1141800000114017E-2</v>
      </c>
      <c r="AF107" s="2">
        <f t="shared" si="27"/>
        <v>3.2667058000001816</v>
      </c>
      <c r="AG107">
        <v>2913.2649817000001</v>
      </c>
      <c r="AH107">
        <v>211.38682285714199</v>
      </c>
      <c r="AI107">
        <v>58.688085714285698</v>
      </c>
      <c r="AJ107" s="2">
        <f t="shared" si="23"/>
        <v>32.0483028571429</v>
      </c>
      <c r="AK107" s="2">
        <f t="shared" si="17"/>
        <v>46.29254607077592</v>
      </c>
      <c r="AL107" s="2">
        <f t="shared" si="28"/>
        <v>14.24424321363302</v>
      </c>
      <c r="AM107" s="2"/>
    </row>
    <row r="108" spans="1:39" x14ac:dyDescent="0.3">
      <c r="A108">
        <f t="shared" si="14"/>
        <v>0</v>
      </c>
      <c r="B108" s="2">
        <f t="shared" si="18"/>
        <v>15.431000000262429</v>
      </c>
      <c r="C108" s="2" t="e">
        <f t="shared" si="25"/>
        <v>#VALUE!</v>
      </c>
      <c r="D108" s="2">
        <f t="shared" si="19"/>
        <v>1.5379789000003257</v>
      </c>
      <c r="E108" s="2"/>
      <c r="F108">
        <v>2907.1415089000002</v>
      </c>
      <c r="G108" t="s">
        <v>37</v>
      </c>
      <c r="H108" t="s">
        <v>37</v>
      </c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>
        <v>0</v>
      </c>
      <c r="O108">
        <v>0</v>
      </c>
      <c r="P108">
        <v>0</v>
      </c>
      <c r="Q108">
        <v>0</v>
      </c>
      <c r="R108">
        <v>6.2556434631347593E-2</v>
      </c>
      <c r="S108">
        <v>-5.0070556640625E-2</v>
      </c>
      <c r="T108">
        <v>0</v>
      </c>
      <c r="U108" s="7">
        <v>167.57499999999999</v>
      </c>
      <c r="V108" s="7">
        <v>1.2410000000000001</v>
      </c>
      <c r="W108" s="7">
        <v>1.9179999999999999</v>
      </c>
      <c r="X108" s="7">
        <v>0.61899999999999999</v>
      </c>
      <c r="Y108" t="b">
        <v>1</v>
      </c>
      <c r="Z108">
        <v>79</v>
      </c>
      <c r="AA108">
        <f t="shared" si="15"/>
        <v>6.2556434631347591</v>
      </c>
      <c r="AB108">
        <f t="shared" si="20"/>
        <v>42.117325547455465</v>
      </c>
      <c r="AC108" t="e">
        <f t="shared" si="21"/>
        <v>#VALUE!</v>
      </c>
      <c r="AE108" s="2">
        <f t="shared" si="26"/>
        <v>3.122510000002876E-2</v>
      </c>
      <c r="AF108" s="2">
        <f t="shared" si="27"/>
        <v>3.2979309000002104</v>
      </c>
      <c r="AG108">
        <v>2913.2962068000002</v>
      </c>
      <c r="AH108">
        <v>211.816182857142</v>
      </c>
      <c r="AI108">
        <v>60.015285714285703</v>
      </c>
      <c r="AJ108" s="2">
        <f t="shared" si="23"/>
        <v>33.375502857142905</v>
      </c>
      <c r="AK108" s="2">
        <f t="shared" si="17"/>
        <v>47.541688416580591</v>
      </c>
      <c r="AL108" s="2">
        <f t="shared" si="28"/>
        <v>14.166185559437686</v>
      </c>
      <c r="AM108" s="2"/>
    </row>
    <row r="109" spans="1:39" x14ac:dyDescent="0.3">
      <c r="A109">
        <f t="shared" si="14"/>
        <v>0</v>
      </c>
      <c r="B109" s="2">
        <f t="shared" si="18"/>
        <v>15.298099999654369</v>
      </c>
      <c r="C109" s="2" t="e">
        <f t="shared" si="25"/>
        <v>#VALUE!</v>
      </c>
      <c r="D109" s="2">
        <f t="shared" si="19"/>
        <v>1.55327699999998</v>
      </c>
      <c r="E109" s="2"/>
      <c r="F109">
        <v>2907.1568069999998</v>
      </c>
      <c r="G109" t="s">
        <v>37</v>
      </c>
      <c r="H109" t="s">
        <v>37</v>
      </c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>
        <v>0</v>
      </c>
      <c r="O109">
        <v>0</v>
      </c>
      <c r="P109">
        <v>0</v>
      </c>
      <c r="Q109">
        <v>0</v>
      </c>
      <c r="R109">
        <v>6.2556434631347593E-2</v>
      </c>
      <c r="S109">
        <v>-5.0070556640625E-2</v>
      </c>
      <c r="T109">
        <v>0</v>
      </c>
      <c r="U109" s="7">
        <v>167.57499999999999</v>
      </c>
      <c r="V109" s="7">
        <v>1.2410000000000001</v>
      </c>
      <c r="W109" s="7">
        <v>1.9179999999999999</v>
      </c>
      <c r="X109" s="7">
        <v>0.61899999999999999</v>
      </c>
      <c r="Y109" t="b">
        <v>1</v>
      </c>
      <c r="Z109">
        <v>79</v>
      </c>
      <c r="AA109">
        <f t="shared" si="15"/>
        <v>6.2556434631347591</v>
      </c>
      <c r="AB109">
        <f t="shared" si="20"/>
        <v>42.213025006716684</v>
      </c>
      <c r="AC109" t="e">
        <f t="shared" si="21"/>
        <v>#VALUE!</v>
      </c>
      <c r="AE109" s="2">
        <f t="shared" si="26"/>
        <v>1.6460599999845726E-2</v>
      </c>
      <c r="AF109" s="2">
        <f t="shared" si="27"/>
        <v>3.3143915000000561</v>
      </c>
      <c r="AG109">
        <v>2913.3126674</v>
      </c>
      <c r="AH109">
        <v>212.240622857142</v>
      </c>
      <c r="AI109">
        <v>61.300565714285703</v>
      </c>
      <c r="AJ109" s="2">
        <f t="shared" si="23"/>
        <v>34.660782857142905</v>
      </c>
      <c r="AK109" s="2">
        <f t="shared" si="17"/>
        <v>48.20454564803331</v>
      </c>
      <c r="AL109" s="2">
        <f t="shared" si="28"/>
        <v>13.543762790890405</v>
      </c>
      <c r="AM109" s="2"/>
    </row>
    <row r="110" spans="1:39" x14ac:dyDescent="0.3">
      <c r="A110">
        <f t="shared" si="14"/>
        <v>0</v>
      </c>
      <c r="B110" s="2">
        <f t="shared" si="18"/>
        <v>15.740900000309921</v>
      </c>
      <c r="C110" s="2" t="e">
        <f t="shared" si="25"/>
        <v>#VALUE!</v>
      </c>
      <c r="D110" s="2">
        <f t="shared" si="19"/>
        <v>1.56901790000029</v>
      </c>
      <c r="E110" s="2"/>
      <c r="F110">
        <v>2907.1725479000002</v>
      </c>
      <c r="G110" t="s">
        <v>37</v>
      </c>
      <c r="H110" t="s">
        <v>37</v>
      </c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>
        <v>0</v>
      </c>
      <c r="O110">
        <v>0</v>
      </c>
      <c r="P110">
        <v>0</v>
      </c>
      <c r="Q110">
        <v>0</v>
      </c>
      <c r="R110">
        <v>1.7620042800903301E-2</v>
      </c>
      <c r="S110">
        <v>-5.9312927246093702E-2</v>
      </c>
      <c r="T110">
        <v>0</v>
      </c>
      <c r="U110" s="7">
        <v>167.38800000000001</v>
      </c>
      <c r="V110" s="7">
        <v>1.429</v>
      </c>
      <c r="W110" s="7">
        <v>1.887</v>
      </c>
      <c r="X110" s="7">
        <v>0.627</v>
      </c>
      <c r="Y110" t="b">
        <v>1</v>
      </c>
      <c r="Z110">
        <v>79</v>
      </c>
      <c r="AA110">
        <f t="shared" si="15"/>
        <v>1.7620042800903302</v>
      </c>
      <c r="AB110">
        <f t="shared" si="20"/>
        <v>42.311494464907483</v>
      </c>
      <c r="AC110" t="e">
        <f t="shared" si="21"/>
        <v>#VALUE!</v>
      </c>
      <c r="AE110" s="2">
        <f t="shared" si="26"/>
        <v>4.508159999977579E-2</v>
      </c>
      <c r="AF110" s="2">
        <f t="shared" si="27"/>
        <v>3.3594730999998319</v>
      </c>
      <c r="AG110">
        <v>2913.3577489999998</v>
      </c>
      <c r="AH110">
        <v>212.665062857142</v>
      </c>
      <c r="AI110">
        <v>62.543925714285699</v>
      </c>
      <c r="AJ110" s="2">
        <f t="shared" si="23"/>
        <v>35.904142857142901</v>
      </c>
      <c r="AK110" s="2">
        <f t="shared" si="17"/>
        <v>50.03510871210014</v>
      </c>
      <c r="AL110" s="2">
        <f t="shared" si="28"/>
        <v>14.130965854957239</v>
      </c>
      <c r="AM110" s="2"/>
    </row>
    <row r="111" spans="1:39" x14ac:dyDescent="0.3">
      <c r="A111">
        <f t="shared" si="14"/>
        <v>0</v>
      </c>
      <c r="B111" s="2">
        <f t="shared" si="18"/>
        <v>15.420899999753601</v>
      </c>
      <c r="C111" s="2" t="e">
        <f t="shared" si="25"/>
        <v>#VALUE!</v>
      </c>
      <c r="D111" s="2">
        <f t="shared" si="19"/>
        <v>1.5844388000000436</v>
      </c>
      <c r="E111" s="2"/>
      <c r="F111">
        <v>2907.1879687999999</v>
      </c>
      <c r="G111" t="s">
        <v>37</v>
      </c>
      <c r="H111" t="s">
        <v>37</v>
      </c>
      <c r="I111" t="s">
        <v>37</v>
      </c>
      <c r="J111" t="s">
        <v>37</v>
      </c>
      <c r="K111" t="s">
        <v>37</v>
      </c>
      <c r="L111" t="s">
        <v>37</v>
      </c>
      <c r="M111" t="s">
        <v>37</v>
      </c>
      <c r="N111">
        <v>0</v>
      </c>
      <c r="O111">
        <v>0</v>
      </c>
      <c r="P111">
        <v>0</v>
      </c>
      <c r="Q111">
        <v>0</v>
      </c>
      <c r="R111">
        <v>1.7620042800903301E-2</v>
      </c>
      <c r="S111">
        <v>-5.9312927246093702E-2</v>
      </c>
      <c r="T111">
        <v>0</v>
      </c>
      <c r="U111" s="7">
        <v>167.38800000000001</v>
      </c>
      <c r="V111" s="7">
        <v>1.429</v>
      </c>
      <c r="W111" s="7">
        <v>1.887</v>
      </c>
      <c r="X111" s="7">
        <v>0.627</v>
      </c>
      <c r="Y111" t="b">
        <v>1</v>
      </c>
      <c r="Z111">
        <v>79</v>
      </c>
      <c r="AA111">
        <f t="shared" si="15"/>
        <v>1.7620042800903302</v>
      </c>
      <c r="AB111">
        <f t="shared" si="20"/>
        <v>42.338666156709891</v>
      </c>
      <c r="AC111" t="e">
        <f t="shared" si="21"/>
        <v>#VALUE!</v>
      </c>
      <c r="AE111" s="2">
        <f t="shared" si="26"/>
        <v>4.6885300000212737E-2</v>
      </c>
      <c r="AF111" s="2">
        <f t="shared" si="27"/>
        <v>3.4063584000000446</v>
      </c>
      <c r="AG111">
        <v>2913.4046343</v>
      </c>
      <c r="AH111">
        <v>213.08472</v>
      </c>
      <c r="AI111">
        <v>63.863959999999999</v>
      </c>
      <c r="AJ111" s="2">
        <f t="shared" si="23"/>
        <v>37.224177142857201</v>
      </c>
      <c r="AK111" s="2">
        <f t="shared" si="17"/>
        <v>51.96201579560973</v>
      </c>
      <c r="AL111" s="2">
        <f t="shared" si="28"/>
        <v>14.737838652752529</v>
      </c>
      <c r="AM111" s="2"/>
    </row>
    <row r="112" spans="1:39" x14ac:dyDescent="0.3">
      <c r="A112">
        <f t="shared" si="14"/>
        <v>0</v>
      </c>
      <c r="B112" s="2">
        <f t="shared" si="18"/>
        <v>15.570600000046397</v>
      </c>
      <c r="C112" s="2" t="e">
        <f t="shared" si="25"/>
        <v>#VALUE!</v>
      </c>
      <c r="D112" s="2">
        <f t="shared" si="19"/>
        <v>1.60000940000009</v>
      </c>
      <c r="E112" s="2"/>
      <c r="F112">
        <v>2907.2035394</v>
      </c>
      <c r="G112" t="s">
        <v>37</v>
      </c>
      <c r="H112" t="s">
        <v>37</v>
      </c>
      <c r="I112" t="s">
        <v>37</v>
      </c>
      <c r="J112" t="s">
        <v>37</v>
      </c>
      <c r="K112" t="s">
        <v>37</v>
      </c>
      <c r="L112" t="s">
        <v>37</v>
      </c>
      <c r="M112" t="s">
        <v>37</v>
      </c>
      <c r="N112">
        <v>0</v>
      </c>
      <c r="O112">
        <v>0</v>
      </c>
      <c r="P112">
        <v>0</v>
      </c>
      <c r="Q112">
        <v>0</v>
      </c>
      <c r="R112">
        <v>1.7620042800903301E-2</v>
      </c>
      <c r="S112">
        <v>-5.9312927246093702E-2</v>
      </c>
      <c r="T112">
        <v>0</v>
      </c>
      <c r="U112" s="7">
        <v>167.38800000000001</v>
      </c>
      <c r="V112" s="7">
        <v>1.429</v>
      </c>
      <c r="W112" s="7">
        <v>1.887</v>
      </c>
      <c r="X112" s="7">
        <v>0.627</v>
      </c>
      <c r="Y112" t="b">
        <v>1</v>
      </c>
      <c r="Z112">
        <v>79</v>
      </c>
      <c r="AA112">
        <f t="shared" si="15"/>
        <v>1.7620042800903302</v>
      </c>
      <c r="AB112">
        <f t="shared" si="20"/>
        <v>42.36610162055355</v>
      </c>
      <c r="AC112" t="e">
        <f t="shared" si="21"/>
        <v>#VALUE!</v>
      </c>
      <c r="AE112" s="2">
        <f t="shared" si="26"/>
        <v>1.5937699999994948E-2</v>
      </c>
      <c r="AF112" s="2">
        <f t="shared" si="27"/>
        <v>3.4222961000000396</v>
      </c>
      <c r="AG112">
        <v>2913.420572</v>
      </c>
      <c r="AH112">
        <v>213.49799999999999</v>
      </c>
      <c r="AI112">
        <v>65.028720000000007</v>
      </c>
      <c r="AJ112" s="2">
        <f t="shared" si="23"/>
        <v>38.388937142857202</v>
      </c>
      <c r="AK112" s="2">
        <f t="shared" si="17"/>
        <v>52.622290328649562</v>
      </c>
      <c r="AL112" s="2">
        <f t="shared" si="28"/>
        <v>14.23335318579236</v>
      </c>
      <c r="AM112" s="2"/>
    </row>
    <row r="113" spans="1:39" x14ac:dyDescent="0.3">
      <c r="A113">
        <f t="shared" si="14"/>
        <v>0</v>
      </c>
      <c r="B113" s="2">
        <f t="shared" si="18"/>
        <v>15.185600000222621</v>
      </c>
      <c r="C113" s="2" t="e">
        <f t="shared" si="25"/>
        <v>#VALUE!</v>
      </c>
      <c r="D113" s="2">
        <f t="shared" si="19"/>
        <v>1.6151950000003126</v>
      </c>
      <c r="E113" s="2"/>
      <c r="F113">
        <v>2907.2187250000002</v>
      </c>
      <c r="G113" t="s">
        <v>37</v>
      </c>
      <c r="H113" t="s">
        <v>37</v>
      </c>
      <c r="I113" t="s">
        <v>37</v>
      </c>
      <c r="J113" t="s">
        <v>37</v>
      </c>
      <c r="K113" t="s">
        <v>37</v>
      </c>
      <c r="L113" t="s">
        <v>37</v>
      </c>
      <c r="M113" t="s">
        <v>37</v>
      </c>
      <c r="N113">
        <v>0</v>
      </c>
      <c r="O113">
        <v>0</v>
      </c>
      <c r="P113">
        <v>0</v>
      </c>
      <c r="Q113">
        <v>0</v>
      </c>
      <c r="R113">
        <v>1.7620042800903301E-2</v>
      </c>
      <c r="S113">
        <v>-5.9312927246093702E-2</v>
      </c>
      <c r="T113">
        <v>0</v>
      </c>
      <c r="U113" s="7">
        <v>167.38800000000001</v>
      </c>
      <c r="V113" s="7">
        <v>1.429</v>
      </c>
      <c r="W113" s="7">
        <v>1.887</v>
      </c>
      <c r="X113" s="7">
        <v>0.627</v>
      </c>
      <c r="Y113" t="b">
        <v>1</v>
      </c>
      <c r="Z113">
        <v>79</v>
      </c>
      <c r="AA113">
        <f t="shared" si="15"/>
        <v>1.7620042800903302</v>
      </c>
      <c r="AB113">
        <f t="shared" si="20"/>
        <v>42.392858712749685</v>
      </c>
      <c r="AC113" t="e">
        <f t="shared" si="21"/>
        <v>#VALUE!</v>
      </c>
      <c r="AE113" s="2">
        <f t="shared" si="26"/>
        <v>3.0014800000117248E-2</v>
      </c>
      <c r="AF113" s="2">
        <f t="shared" si="27"/>
        <v>3.4523109000001568</v>
      </c>
      <c r="AG113">
        <v>2913.4505868000001</v>
      </c>
      <c r="AH113">
        <v>213.90288000000001</v>
      </c>
      <c r="AI113">
        <v>66.793679999999995</v>
      </c>
      <c r="AJ113" s="2">
        <f t="shared" si="23"/>
        <v>40.15389714285719</v>
      </c>
      <c r="AK113" s="2">
        <f t="shared" si="17"/>
        <v>53.872886026900218</v>
      </c>
      <c r="AL113" s="2">
        <f t="shared" si="28"/>
        <v>13.718988884043029</v>
      </c>
      <c r="AM113" s="2"/>
    </row>
    <row r="114" spans="1:39" x14ac:dyDescent="0.3">
      <c r="A114">
        <f t="shared" si="14"/>
        <v>0</v>
      </c>
      <c r="B114" s="2">
        <f t="shared" si="18"/>
        <v>14.475999999831402</v>
      </c>
      <c r="C114" s="2" t="e">
        <f t="shared" si="25"/>
        <v>#VALUE!</v>
      </c>
      <c r="D114" s="2">
        <f t="shared" si="19"/>
        <v>1.629671000000144</v>
      </c>
      <c r="E114" s="2"/>
      <c r="F114">
        <v>2907.233201</v>
      </c>
      <c r="G114" t="s">
        <v>37</v>
      </c>
      <c r="H114" t="s">
        <v>37</v>
      </c>
      <c r="I114" t="s">
        <v>37</v>
      </c>
      <c r="J114" t="s">
        <v>37</v>
      </c>
      <c r="K114" t="s">
        <v>37</v>
      </c>
      <c r="L114" t="s">
        <v>37</v>
      </c>
      <c r="M114" t="s">
        <v>37</v>
      </c>
      <c r="N114">
        <v>0</v>
      </c>
      <c r="O114">
        <v>0</v>
      </c>
      <c r="P114">
        <v>0</v>
      </c>
      <c r="Q114">
        <v>0</v>
      </c>
      <c r="R114">
        <v>-3.0460126399993802E-3</v>
      </c>
      <c r="S114">
        <v>-2.54289588928222E-2</v>
      </c>
      <c r="T114">
        <v>0</v>
      </c>
      <c r="U114" s="7">
        <v>167.36799999999999</v>
      </c>
      <c r="V114" s="7">
        <v>1.3959999999999999</v>
      </c>
      <c r="W114" s="7">
        <v>2.109</v>
      </c>
      <c r="X114" s="7">
        <v>0.61699999999999999</v>
      </c>
      <c r="Y114" t="b">
        <v>1</v>
      </c>
      <c r="Z114">
        <v>79</v>
      </c>
      <c r="AA114">
        <f t="shared" si="15"/>
        <v>-0.30460126399993803</v>
      </c>
      <c r="AB114">
        <f t="shared" si="20"/>
        <v>42.418365486707977</v>
      </c>
      <c r="AC114" t="e">
        <f t="shared" si="21"/>
        <v>#VALUE!</v>
      </c>
      <c r="AE114" s="2">
        <f t="shared" si="26"/>
        <v>3.1278200000087963E-2</v>
      </c>
      <c r="AF114" s="2">
        <f t="shared" si="27"/>
        <v>3.4835891000002448</v>
      </c>
      <c r="AG114">
        <v>2913.4818650000002</v>
      </c>
      <c r="AH114">
        <v>214.29792</v>
      </c>
      <c r="AI114">
        <v>68.537679999999995</v>
      </c>
      <c r="AJ114" s="2">
        <f t="shared" si="23"/>
        <v>41.89789714285719</v>
      </c>
      <c r="AK114" s="2">
        <f t="shared" si="17"/>
        <v>55.185894579909693</v>
      </c>
      <c r="AL114" s="2">
        <f t="shared" si="28"/>
        <v>13.287997437052503</v>
      </c>
      <c r="AM114" s="2"/>
    </row>
    <row r="115" spans="1:39" x14ac:dyDescent="0.3">
      <c r="A115">
        <f t="shared" si="14"/>
        <v>0</v>
      </c>
      <c r="B115" s="2">
        <f t="shared" si="18"/>
        <v>16.164099999969039</v>
      </c>
      <c r="C115" s="2" t="e">
        <f t="shared" si="25"/>
        <v>#VALUE!</v>
      </c>
      <c r="D115" s="2">
        <f t="shared" si="19"/>
        <v>1.645835100000113</v>
      </c>
      <c r="E115" s="2"/>
      <c r="F115">
        <v>2907.2493651</v>
      </c>
      <c r="G115" t="s">
        <v>37</v>
      </c>
      <c r="H115" t="s">
        <v>37</v>
      </c>
      <c r="I115" t="s">
        <v>37</v>
      </c>
      <c r="J115" t="s">
        <v>37</v>
      </c>
      <c r="K115" t="s">
        <v>37</v>
      </c>
      <c r="L115" t="s">
        <v>37</v>
      </c>
      <c r="M115" t="s">
        <v>37</v>
      </c>
      <c r="N115">
        <v>0</v>
      </c>
      <c r="O115">
        <v>0</v>
      </c>
      <c r="P115">
        <v>0</v>
      </c>
      <c r="Q115">
        <v>0</v>
      </c>
      <c r="R115">
        <v>-3.0460126399993802E-3</v>
      </c>
      <c r="S115">
        <v>-2.54289588928222E-2</v>
      </c>
      <c r="T115">
        <v>0</v>
      </c>
      <c r="U115" s="7">
        <v>167.36799999999999</v>
      </c>
      <c r="V115" s="7">
        <v>1.3959999999999999</v>
      </c>
      <c r="W115" s="7">
        <v>2.109</v>
      </c>
      <c r="X115" s="7">
        <v>0.61699999999999999</v>
      </c>
      <c r="Y115" t="b">
        <v>1</v>
      </c>
      <c r="Z115">
        <v>79</v>
      </c>
      <c r="AA115">
        <f t="shared" si="15"/>
        <v>-0.30460126399993803</v>
      </c>
      <c r="AB115">
        <f t="shared" si="20"/>
        <v>42.413441881416567</v>
      </c>
      <c r="AC115" t="e">
        <f t="shared" si="21"/>
        <v>#VALUE!</v>
      </c>
      <c r="AE115" s="2">
        <f t="shared" si="26"/>
        <v>3.1079799999588431E-2</v>
      </c>
      <c r="AF115" s="2">
        <f t="shared" si="27"/>
        <v>3.5146688999998332</v>
      </c>
      <c r="AG115">
        <v>2913.5129447999998</v>
      </c>
      <c r="AH115">
        <v>214.69477714285699</v>
      </c>
      <c r="AI115">
        <v>70.131314285714197</v>
      </c>
      <c r="AJ115" s="2">
        <f t="shared" si="23"/>
        <v>43.491531428571392</v>
      </c>
      <c r="AK115" s="2">
        <f t="shared" si="17"/>
        <v>56.50029098898473</v>
      </c>
      <c r="AL115" s="2">
        <f t="shared" si="28"/>
        <v>13.008759560413338</v>
      </c>
      <c r="AM115" s="2"/>
    </row>
    <row r="116" spans="1:39" x14ac:dyDescent="0.3">
      <c r="A116">
        <f t="shared" si="14"/>
        <v>0</v>
      </c>
      <c r="B116" s="2">
        <f t="shared" si="18"/>
        <v>15.756300000248302</v>
      </c>
      <c r="C116" s="2" t="e">
        <f t="shared" si="25"/>
        <v>#VALUE!</v>
      </c>
      <c r="D116" s="2">
        <f t="shared" si="19"/>
        <v>1.6615914000003613</v>
      </c>
      <c r="E116" s="2"/>
      <c r="F116">
        <v>2907.2651214000002</v>
      </c>
      <c r="G116" t="s">
        <v>37</v>
      </c>
      <c r="H116" t="s">
        <v>37</v>
      </c>
      <c r="I116" t="s">
        <v>37</v>
      </c>
      <c r="J116" t="s">
        <v>37</v>
      </c>
      <c r="K116" t="s">
        <v>37</v>
      </c>
      <c r="L116" t="s">
        <v>37</v>
      </c>
      <c r="M116" t="s">
        <v>37</v>
      </c>
      <c r="N116">
        <v>0</v>
      </c>
      <c r="O116">
        <v>0</v>
      </c>
      <c r="P116">
        <v>0</v>
      </c>
      <c r="Q116">
        <v>0</v>
      </c>
      <c r="R116">
        <v>-3.0460126399993802E-3</v>
      </c>
      <c r="S116">
        <v>-2.54289588928222E-2</v>
      </c>
      <c r="T116">
        <v>0</v>
      </c>
      <c r="U116" s="7">
        <v>167.36799999999999</v>
      </c>
      <c r="V116" s="7">
        <v>1.3959999999999999</v>
      </c>
      <c r="W116" s="7">
        <v>2.109</v>
      </c>
      <c r="X116" s="7">
        <v>0.61699999999999999</v>
      </c>
      <c r="Y116" t="b">
        <v>1</v>
      </c>
      <c r="Z116">
        <v>79</v>
      </c>
      <c r="AA116">
        <f t="shared" si="15"/>
        <v>-0.30460126399993803</v>
      </c>
      <c r="AB116">
        <f t="shared" si="20"/>
        <v>42.408642492520528</v>
      </c>
      <c r="AC116" t="e">
        <f t="shared" si="21"/>
        <v>#VALUE!</v>
      </c>
      <c r="AE116" s="2">
        <f t="shared" si="26"/>
        <v>4.6674600000187638E-2</v>
      </c>
      <c r="AF116" s="2">
        <f t="shared" si="27"/>
        <v>3.5613435000000209</v>
      </c>
      <c r="AG116">
        <v>2913.5596194</v>
      </c>
      <c r="AH116">
        <v>215.07985714285701</v>
      </c>
      <c r="AI116">
        <v>71.206994285714202</v>
      </c>
      <c r="AJ116" s="2">
        <f t="shared" si="23"/>
        <v>44.567211428571397</v>
      </c>
      <c r="AK116" s="2">
        <f t="shared" si="17"/>
        <v>58.492049467617605</v>
      </c>
      <c r="AL116" s="2">
        <f t="shared" si="28"/>
        <v>13.924838039046207</v>
      </c>
      <c r="AM116" s="2"/>
    </row>
    <row r="117" spans="1:39" x14ac:dyDescent="0.3">
      <c r="A117">
        <f t="shared" si="14"/>
        <v>0</v>
      </c>
      <c r="B117" s="2">
        <f t="shared" si="18"/>
        <v>15.28199999984281</v>
      </c>
      <c r="C117" s="2" t="e">
        <f t="shared" si="25"/>
        <v>#VALUE!</v>
      </c>
      <c r="D117" s="2">
        <f t="shared" si="19"/>
        <v>1.6768734000002041</v>
      </c>
      <c r="E117" s="2"/>
      <c r="F117">
        <v>2907.2804034000001</v>
      </c>
      <c r="G117" t="s">
        <v>37</v>
      </c>
      <c r="H117" t="s">
        <v>37</v>
      </c>
      <c r="I117" t="s">
        <v>37</v>
      </c>
      <c r="J117" t="s">
        <v>37</v>
      </c>
      <c r="K117" t="s">
        <v>37</v>
      </c>
      <c r="L117" t="s">
        <v>37</v>
      </c>
      <c r="M117" t="s">
        <v>37</v>
      </c>
      <c r="N117">
        <v>0</v>
      </c>
      <c r="O117">
        <v>0</v>
      </c>
      <c r="P117">
        <v>0</v>
      </c>
      <c r="Q117">
        <v>0</v>
      </c>
      <c r="R117">
        <v>-3.0460126399993802E-3</v>
      </c>
      <c r="S117">
        <v>-2.54289588928222E-2</v>
      </c>
      <c r="T117">
        <v>0</v>
      </c>
      <c r="U117" s="7">
        <v>167.36799999999999</v>
      </c>
      <c r="V117" s="7">
        <v>1.3959999999999999</v>
      </c>
      <c r="W117" s="7">
        <v>2.109</v>
      </c>
      <c r="X117" s="7">
        <v>0.61699999999999999</v>
      </c>
      <c r="Y117" t="b">
        <v>1</v>
      </c>
      <c r="Z117">
        <v>79</v>
      </c>
      <c r="AA117">
        <f t="shared" si="15"/>
        <v>-0.30460126399993803</v>
      </c>
      <c r="AB117">
        <f t="shared" si="20"/>
        <v>42.403987576004127</v>
      </c>
      <c r="AC117" t="e">
        <f t="shared" si="21"/>
        <v>#VALUE!</v>
      </c>
      <c r="AE117" s="2">
        <f t="shared" si="26"/>
        <v>1.520280000022467E-2</v>
      </c>
      <c r="AF117" s="2">
        <f t="shared" si="27"/>
        <v>3.5765463000002455</v>
      </c>
      <c r="AG117">
        <v>2913.5748222000002</v>
      </c>
      <c r="AH117">
        <v>215.47477714285699</v>
      </c>
      <c r="AI117">
        <v>72.240754285714203</v>
      </c>
      <c r="AJ117" s="2">
        <f t="shared" si="23"/>
        <v>45.600971428571398</v>
      </c>
      <c r="AK117" s="2">
        <f t="shared" si="17"/>
        <v>59.145351125342252</v>
      </c>
      <c r="AL117" s="2">
        <f t="shared" si="28"/>
        <v>13.544379696770854</v>
      </c>
      <c r="AM117" s="2"/>
    </row>
    <row r="118" spans="1:39" x14ac:dyDescent="0.3">
      <c r="A118">
        <f t="shared" si="14"/>
        <v>0</v>
      </c>
      <c r="B118" s="2">
        <f t="shared" si="18"/>
        <v>15.875300000061543</v>
      </c>
      <c r="C118" s="2" t="e">
        <f t="shared" si="25"/>
        <v>#VALUE!</v>
      </c>
      <c r="D118" s="2">
        <f t="shared" si="19"/>
        <v>1.6927487000002657</v>
      </c>
      <c r="E118" s="2"/>
      <c r="F118">
        <v>2907.2962787000001</v>
      </c>
      <c r="G118" t="s">
        <v>37</v>
      </c>
      <c r="H118" t="s">
        <v>37</v>
      </c>
      <c r="I118" t="s">
        <v>37</v>
      </c>
      <c r="J118" t="s">
        <v>37</v>
      </c>
      <c r="K118" t="s">
        <v>37</v>
      </c>
      <c r="L118" t="s">
        <v>37</v>
      </c>
      <c r="M118" t="s">
        <v>37</v>
      </c>
      <c r="N118">
        <v>0</v>
      </c>
      <c r="O118">
        <v>0</v>
      </c>
      <c r="P118">
        <v>0</v>
      </c>
      <c r="Q118">
        <v>0</v>
      </c>
      <c r="R118">
        <v>-7.7138729095458901E-3</v>
      </c>
      <c r="S118">
        <v>9.2698211669921798E-3</v>
      </c>
      <c r="T118">
        <v>0</v>
      </c>
      <c r="U118" s="7">
        <v>167.35499999999999</v>
      </c>
      <c r="V118" s="7">
        <v>0.99199999999999999</v>
      </c>
      <c r="W118" s="7">
        <v>1.7929999999999999</v>
      </c>
      <c r="X118" s="7">
        <v>0.61699999999999999</v>
      </c>
      <c r="Y118" t="b">
        <v>1</v>
      </c>
      <c r="Z118">
        <v>79</v>
      </c>
      <c r="AA118">
        <f t="shared" si="15"/>
        <v>-0.77138729095458902</v>
      </c>
      <c r="AB118">
        <f t="shared" si="20"/>
        <v>42.399151939557733</v>
      </c>
      <c r="AC118" t="e">
        <f t="shared" si="21"/>
        <v>#VALUE!</v>
      </c>
      <c r="AE118" s="2">
        <f t="shared" si="26"/>
        <v>6.2050999999883061E-2</v>
      </c>
      <c r="AF118" s="2">
        <f t="shared" si="27"/>
        <v>3.6385973000001286</v>
      </c>
      <c r="AG118">
        <v>2913.6368732000001</v>
      </c>
      <c r="AH118">
        <v>215.884457142857</v>
      </c>
      <c r="AI118">
        <v>73.258794285714202</v>
      </c>
      <c r="AJ118" s="2">
        <f t="shared" si="23"/>
        <v>46.619011428571397</v>
      </c>
      <c r="AK118" s="2">
        <f t="shared" si="17"/>
        <v>61.834502496809051</v>
      </c>
      <c r="AL118" s="2">
        <f t="shared" si="28"/>
        <v>15.215491068237654</v>
      </c>
      <c r="AM118" s="2"/>
    </row>
    <row r="119" spans="1:39" x14ac:dyDescent="0.3">
      <c r="A119">
        <f t="shared" si="14"/>
        <v>0</v>
      </c>
      <c r="B119" s="2">
        <f t="shared" si="18"/>
        <v>15.667699999994511</v>
      </c>
      <c r="C119" s="2" t="e">
        <f t="shared" si="25"/>
        <v>#VALUE!</v>
      </c>
      <c r="D119" s="2">
        <f t="shared" si="19"/>
        <v>1.7084164000002602</v>
      </c>
      <c r="E119" s="2"/>
      <c r="F119">
        <v>2907.3119464000001</v>
      </c>
      <c r="G119" t="s">
        <v>37</v>
      </c>
      <c r="H119" t="s">
        <v>37</v>
      </c>
      <c r="I119" t="s">
        <v>37</v>
      </c>
      <c r="J119" t="s">
        <v>37</v>
      </c>
      <c r="K119" t="s">
        <v>37</v>
      </c>
      <c r="L119" t="s">
        <v>37</v>
      </c>
      <c r="M119" t="s">
        <v>37</v>
      </c>
      <c r="N119">
        <v>0</v>
      </c>
      <c r="O119">
        <v>0</v>
      </c>
      <c r="P119">
        <v>0</v>
      </c>
      <c r="Q119">
        <v>0</v>
      </c>
      <c r="R119">
        <v>-7.7138729095458901E-3</v>
      </c>
      <c r="S119">
        <v>9.2698211669921798E-3</v>
      </c>
      <c r="T119">
        <v>0</v>
      </c>
      <c r="U119" s="7">
        <v>167.35499999999999</v>
      </c>
      <c r="V119" s="7">
        <v>0.99199999999999999</v>
      </c>
      <c r="W119" s="7">
        <v>1.7929999999999999</v>
      </c>
      <c r="X119" s="7">
        <v>0.61699999999999999</v>
      </c>
      <c r="Y119" t="b">
        <v>1</v>
      </c>
      <c r="Z119">
        <v>79</v>
      </c>
      <c r="AA119">
        <f t="shared" si="15"/>
        <v>-0.77138729095458902</v>
      </c>
      <c r="AB119">
        <f t="shared" si="20"/>
        <v>42.387066074899245</v>
      </c>
      <c r="AC119" t="e">
        <f t="shared" si="21"/>
        <v>#VALUE!</v>
      </c>
      <c r="AE119" s="2">
        <f t="shared" si="26"/>
        <v>1.6072399999757181E-2</v>
      </c>
      <c r="AF119" s="2">
        <f t="shared" si="27"/>
        <v>3.6546696999998858</v>
      </c>
      <c r="AG119">
        <v>2913.6529455999998</v>
      </c>
      <c r="AH119">
        <v>216.30397714285701</v>
      </c>
      <c r="AI119">
        <v>74.2611142857142</v>
      </c>
      <c r="AJ119" s="2">
        <f t="shared" si="23"/>
        <v>47.621331428571395</v>
      </c>
      <c r="AK119" s="2">
        <f t="shared" si="17"/>
        <v>62.536883095320555</v>
      </c>
      <c r="AL119" s="2">
        <f t="shared" si="28"/>
        <v>14.91555166674916</v>
      </c>
      <c r="AM119" s="2"/>
    </row>
    <row r="120" spans="1:39" x14ac:dyDescent="0.3">
      <c r="A120">
        <f t="shared" si="14"/>
        <v>0</v>
      </c>
      <c r="B120" s="2">
        <f t="shared" si="18"/>
        <v>15.86219999990135</v>
      </c>
      <c r="C120" s="2" t="e">
        <f t="shared" si="25"/>
        <v>#VALUE!</v>
      </c>
      <c r="D120" s="2">
        <f t="shared" si="19"/>
        <v>1.7242786000001615</v>
      </c>
      <c r="E120" s="2"/>
      <c r="F120">
        <v>2907.3278086</v>
      </c>
      <c r="G120" t="s">
        <v>37</v>
      </c>
      <c r="H120" t="s">
        <v>37</v>
      </c>
      <c r="I120" t="s">
        <v>37</v>
      </c>
      <c r="J120" t="s">
        <v>37</v>
      </c>
      <c r="K120" t="s">
        <v>37</v>
      </c>
      <c r="L120" t="s">
        <v>37</v>
      </c>
      <c r="M120" t="s">
        <v>37</v>
      </c>
      <c r="N120">
        <v>0</v>
      </c>
      <c r="O120">
        <v>0</v>
      </c>
      <c r="P120">
        <v>0</v>
      </c>
      <c r="Q120">
        <v>0</v>
      </c>
      <c r="R120">
        <v>-7.7138729095458901E-3</v>
      </c>
      <c r="S120">
        <v>9.2698211669921798E-3</v>
      </c>
      <c r="T120">
        <v>0</v>
      </c>
      <c r="U120" s="7">
        <v>167.35499999999999</v>
      </c>
      <c r="V120" s="7">
        <v>0.99199999999999999</v>
      </c>
      <c r="W120" s="7">
        <v>1.7929999999999999</v>
      </c>
      <c r="X120" s="7">
        <v>0.61699999999999999</v>
      </c>
      <c r="Y120" t="b">
        <v>1</v>
      </c>
      <c r="Z120">
        <v>79</v>
      </c>
      <c r="AA120">
        <f t="shared" si="15"/>
        <v>-0.77138729095458902</v>
      </c>
      <c r="AB120">
        <f t="shared" si="20"/>
        <v>42.37483017541274</v>
      </c>
      <c r="AC120" t="e">
        <f t="shared" si="21"/>
        <v>#VALUE!</v>
      </c>
      <c r="AE120" s="2">
        <f t="shared" si="26"/>
        <v>3.0650800000330491E-2</v>
      </c>
      <c r="AF120" s="2">
        <f t="shared" si="27"/>
        <v>3.6853205000002163</v>
      </c>
      <c r="AG120">
        <v>2913.6835964000002</v>
      </c>
      <c r="AH120">
        <v>216.73812000000001</v>
      </c>
      <c r="AI120">
        <v>75.366308571428505</v>
      </c>
      <c r="AJ120" s="2">
        <f t="shared" si="23"/>
        <v>48.7265257142857</v>
      </c>
      <c r="AK120" s="2">
        <f t="shared" si="17"/>
        <v>63.882885390918211</v>
      </c>
      <c r="AL120" s="2">
        <f t="shared" si="28"/>
        <v>15.156359676632512</v>
      </c>
      <c r="AM120" s="2"/>
    </row>
    <row r="121" spans="1:39" x14ac:dyDescent="0.3">
      <c r="A121">
        <f t="shared" si="14"/>
        <v>0</v>
      </c>
      <c r="B121" s="2">
        <f t="shared" si="18"/>
        <v>15.13810000005833</v>
      </c>
      <c r="C121" s="2" t="e">
        <f t="shared" si="25"/>
        <v>#VALUE!</v>
      </c>
      <c r="D121" s="2">
        <f t="shared" si="19"/>
        <v>1.7394167000002199</v>
      </c>
      <c r="E121" s="2"/>
      <c r="F121">
        <v>2907.3429467000001</v>
      </c>
      <c r="G121" t="s">
        <v>37</v>
      </c>
      <c r="H121" t="s">
        <v>37</v>
      </c>
      <c r="I121" t="s">
        <v>37</v>
      </c>
      <c r="J121" t="s">
        <v>37</v>
      </c>
      <c r="K121" t="s">
        <v>37</v>
      </c>
      <c r="L121" t="s">
        <v>37</v>
      </c>
      <c r="M121" t="s">
        <v>37</v>
      </c>
      <c r="N121">
        <v>0</v>
      </c>
      <c r="O121">
        <v>0</v>
      </c>
      <c r="P121">
        <v>0</v>
      </c>
      <c r="Q121">
        <v>0</v>
      </c>
      <c r="R121">
        <v>-7.7138729095458901E-3</v>
      </c>
      <c r="S121">
        <v>9.2698211669921798E-3</v>
      </c>
      <c r="T121">
        <v>0</v>
      </c>
      <c r="U121" s="7">
        <v>167.35499999999999</v>
      </c>
      <c r="V121" s="7">
        <v>0.99199999999999999</v>
      </c>
      <c r="W121" s="7">
        <v>1.7929999999999999</v>
      </c>
      <c r="X121" s="7">
        <v>0.61699999999999999</v>
      </c>
      <c r="Y121" t="b">
        <v>1</v>
      </c>
      <c r="Z121">
        <v>79</v>
      </c>
      <c r="AA121">
        <f t="shared" si="15"/>
        <v>-0.77138729095458902</v>
      </c>
      <c r="AB121">
        <f t="shared" si="20"/>
        <v>42.363152837463495</v>
      </c>
      <c r="AC121" t="e">
        <f t="shared" si="21"/>
        <v>#VALUE!</v>
      </c>
      <c r="AE121" s="2">
        <f t="shared" si="26"/>
        <v>3.0159599999933562E-2</v>
      </c>
      <c r="AF121" s="2">
        <f t="shared" si="27"/>
        <v>3.7154801000001498</v>
      </c>
      <c r="AG121">
        <v>2913.7137560000001</v>
      </c>
      <c r="AH121">
        <v>217.19623999999999</v>
      </c>
      <c r="AI121">
        <v>76.613908571428496</v>
      </c>
      <c r="AJ121" s="2">
        <f t="shared" si="23"/>
        <v>49.974125714285691</v>
      </c>
      <c r="AK121" s="2">
        <f t="shared" si="17"/>
        <v>65.215565731062625</v>
      </c>
      <c r="AL121" s="2">
        <f t="shared" si="28"/>
        <v>15.241440016776934</v>
      </c>
      <c r="AM121" s="2"/>
    </row>
    <row r="122" spans="1:39" x14ac:dyDescent="0.3">
      <c r="A122">
        <f t="shared" si="14"/>
        <v>0</v>
      </c>
      <c r="B122" s="2">
        <f t="shared" si="18"/>
        <v>15.755299999909766</v>
      </c>
      <c r="C122" s="2" t="e">
        <f t="shared" si="25"/>
        <v>#VALUE!</v>
      </c>
      <c r="D122" s="2">
        <f t="shared" si="19"/>
        <v>1.7551720000001296</v>
      </c>
      <c r="E122" s="2"/>
      <c r="F122">
        <v>2907.358702</v>
      </c>
      <c r="G122" t="s">
        <v>37</v>
      </c>
      <c r="H122" t="s">
        <v>37</v>
      </c>
      <c r="I122" t="s">
        <v>37</v>
      </c>
      <c r="J122" t="s">
        <v>37</v>
      </c>
      <c r="K122" t="s">
        <v>37</v>
      </c>
      <c r="L122" t="s">
        <v>37</v>
      </c>
      <c r="M122" t="s">
        <v>37</v>
      </c>
      <c r="N122">
        <v>0</v>
      </c>
      <c r="O122">
        <v>0</v>
      </c>
      <c r="P122">
        <v>0</v>
      </c>
      <c r="Q122">
        <v>0</v>
      </c>
      <c r="R122">
        <v>-8.0522766113281206E-3</v>
      </c>
      <c r="S122">
        <v>2.0051845550537101E-2</v>
      </c>
      <c r="T122">
        <v>0</v>
      </c>
      <c r="U122" s="7">
        <v>167.28299999999999</v>
      </c>
      <c r="V122" s="7">
        <v>0.57999999999999996</v>
      </c>
      <c r="W122" s="7">
        <v>0.95399999999999996</v>
      </c>
      <c r="X122" s="7">
        <v>0.61799999999999999</v>
      </c>
      <c r="Y122" t="b">
        <v>1</v>
      </c>
      <c r="Z122">
        <v>79</v>
      </c>
      <c r="AA122">
        <f t="shared" si="15"/>
        <v>-0.80522766113281208</v>
      </c>
      <c r="AB122">
        <f t="shared" si="20"/>
        <v>42.350999399278386</v>
      </c>
      <c r="AC122" t="e">
        <f t="shared" si="21"/>
        <v>#VALUE!</v>
      </c>
      <c r="AE122" s="2">
        <f t="shared" si="26"/>
        <v>3.0825299999833078E-2</v>
      </c>
      <c r="AF122" s="2">
        <f t="shared" si="27"/>
        <v>3.7463053999999829</v>
      </c>
      <c r="AG122">
        <v>2913.7445812999999</v>
      </c>
      <c r="AH122">
        <v>217.66495999999901</v>
      </c>
      <c r="AI122">
        <v>78.362548571428505</v>
      </c>
      <c r="AJ122" s="2">
        <f t="shared" si="23"/>
        <v>51.7227657142857</v>
      </c>
      <c r="AK122" s="2">
        <f t="shared" si="17"/>
        <v>66.585978741240623</v>
      </c>
      <c r="AL122" s="2">
        <f t="shared" si="28"/>
        <v>14.863213026954924</v>
      </c>
      <c r="AM122" s="2"/>
    </row>
    <row r="123" spans="1:39" x14ac:dyDescent="0.3">
      <c r="A123">
        <f t="shared" si="14"/>
        <v>0</v>
      </c>
      <c r="B123" s="2">
        <f t="shared" si="18"/>
        <v>15.590699999847857</v>
      </c>
      <c r="C123" s="2" t="e">
        <f t="shared" si="25"/>
        <v>#VALUE!</v>
      </c>
      <c r="D123" s="2">
        <f t="shared" si="19"/>
        <v>1.7707626999999775</v>
      </c>
      <c r="E123" s="2"/>
      <c r="F123">
        <v>2907.3742926999998</v>
      </c>
      <c r="G123" t="s">
        <v>37</v>
      </c>
      <c r="H123" t="s">
        <v>37</v>
      </c>
      <c r="I123" t="s">
        <v>37</v>
      </c>
      <c r="J123" t="s">
        <v>37</v>
      </c>
      <c r="K123" t="s">
        <v>37</v>
      </c>
      <c r="L123" t="s">
        <v>37</v>
      </c>
      <c r="M123" t="s">
        <v>37</v>
      </c>
      <c r="N123">
        <v>0</v>
      </c>
      <c r="O123">
        <v>0</v>
      </c>
      <c r="P123">
        <v>0</v>
      </c>
      <c r="Q123">
        <v>0</v>
      </c>
      <c r="R123">
        <v>-8.0522766113281206E-3</v>
      </c>
      <c r="S123">
        <v>2.0051845550537101E-2</v>
      </c>
      <c r="T123">
        <v>0</v>
      </c>
      <c r="U123" s="7">
        <v>167.28299999999999</v>
      </c>
      <c r="V123" s="7">
        <v>0.57999999999999996</v>
      </c>
      <c r="W123" s="7">
        <v>0.95399999999999996</v>
      </c>
      <c r="X123" s="7">
        <v>0.61799999999999999</v>
      </c>
      <c r="Y123" t="b">
        <v>1</v>
      </c>
      <c r="Z123">
        <v>79</v>
      </c>
      <c r="AA123">
        <f t="shared" si="15"/>
        <v>-0.80522766113281208</v>
      </c>
      <c r="AB123">
        <f t="shared" si="20"/>
        <v>42.338445336382087</v>
      </c>
      <c r="AC123" t="e">
        <f t="shared" si="21"/>
        <v>#VALUE!</v>
      </c>
      <c r="AE123" s="2">
        <f t="shared" si="26"/>
        <v>3.0275000000074215E-2</v>
      </c>
      <c r="AF123" s="2">
        <f t="shared" si="27"/>
        <v>3.7765804000000571</v>
      </c>
      <c r="AG123">
        <v>2913.7748563</v>
      </c>
      <c r="AH123">
        <v>218.14352</v>
      </c>
      <c r="AI123">
        <v>80.090228571428497</v>
      </c>
      <c r="AJ123" s="2">
        <f t="shared" si="23"/>
        <v>53.450445714285692</v>
      </c>
      <c r="AK123" s="2">
        <f t="shared" si="17"/>
        <v>67.939977839148085</v>
      </c>
      <c r="AL123" s="2">
        <f t="shared" si="28"/>
        <v>14.489532124862393</v>
      </c>
      <c r="AM123" s="2"/>
    </row>
    <row r="124" spans="1:39" x14ac:dyDescent="0.3">
      <c r="A124">
        <f t="shared" si="14"/>
        <v>0</v>
      </c>
      <c r="B124" s="2">
        <f t="shared" si="18"/>
        <v>14.851000000362546</v>
      </c>
      <c r="C124" s="2" t="e">
        <f t="shared" si="25"/>
        <v>#VALUE!</v>
      </c>
      <c r="D124" s="2">
        <f t="shared" si="19"/>
        <v>1.78561370000034</v>
      </c>
      <c r="E124" s="2"/>
      <c r="F124">
        <v>2907.3891437000002</v>
      </c>
      <c r="G124" t="s">
        <v>37</v>
      </c>
      <c r="H124" t="s">
        <v>37</v>
      </c>
      <c r="I124" t="s">
        <v>37</v>
      </c>
      <c r="J124" t="s">
        <v>37</v>
      </c>
      <c r="K124" t="s">
        <v>37</v>
      </c>
      <c r="L124" t="s">
        <v>37</v>
      </c>
      <c r="M124" t="s">
        <v>37</v>
      </c>
      <c r="N124">
        <v>0</v>
      </c>
      <c r="O124">
        <v>0</v>
      </c>
      <c r="P124">
        <v>0</v>
      </c>
      <c r="Q124">
        <v>0</v>
      </c>
      <c r="R124">
        <v>-8.0522766113281206E-3</v>
      </c>
      <c r="S124">
        <v>2.0051845550537101E-2</v>
      </c>
      <c r="T124">
        <v>0</v>
      </c>
      <c r="U124" s="7">
        <v>167.28299999999999</v>
      </c>
      <c r="V124" s="7">
        <v>0.57999999999999996</v>
      </c>
      <c r="W124" s="7">
        <v>0.95399999999999996</v>
      </c>
      <c r="X124" s="7">
        <v>0.61799999999999999</v>
      </c>
      <c r="Y124" t="b">
        <v>1</v>
      </c>
      <c r="Z124">
        <v>79</v>
      </c>
      <c r="AA124">
        <f t="shared" si="15"/>
        <v>-0.80522766113281208</v>
      </c>
      <c r="AB124">
        <f t="shared" si="20"/>
        <v>42.326486900386314</v>
      </c>
      <c r="AC124" t="e">
        <f t="shared" si="21"/>
        <v>#VALUE!</v>
      </c>
      <c r="AE124" s="2">
        <f t="shared" si="26"/>
        <v>4.6968999999990046E-2</v>
      </c>
      <c r="AF124" s="2">
        <f t="shared" si="27"/>
        <v>3.8235494000000472</v>
      </c>
      <c r="AG124">
        <v>2913.8218253</v>
      </c>
      <c r="AH124">
        <v>218.62556000000001</v>
      </c>
      <c r="AI124">
        <v>81.160068571428496</v>
      </c>
      <c r="AJ124" s="2">
        <f t="shared" si="23"/>
        <v>54.520285714285691</v>
      </c>
      <c r="AK124" s="2">
        <f t="shared" si="17"/>
        <v>70.056075825251469</v>
      </c>
      <c r="AL124" s="2">
        <f t="shared" si="28"/>
        <v>15.535790110965777</v>
      </c>
      <c r="AM124" s="2"/>
    </row>
    <row r="125" spans="1:39" x14ac:dyDescent="0.3">
      <c r="A125">
        <f t="shared" si="14"/>
        <v>0</v>
      </c>
      <c r="B125" s="2">
        <f t="shared" si="18"/>
        <v>15.46409999991738</v>
      </c>
      <c r="C125" s="2" t="e">
        <f t="shared" si="25"/>
        <v>#VALUE!</v>
      </c>
      <c r="D125" s="2">
        <f t="shared" si="19"/>
        <v>1.8010778000002574</v>
      </c>
      <c r="E125" s="2"/>
      <c r="F125">
        <v>2907.4046078000001</v>
      </c>
      <c r="G125" t="s">
        <v>37</v>
      </c>
      <c r="H125" t="s">
        <v>37</v>
      </c>
      <c r="I125" t="s">
        <v>37</v>
      </c>
      <c r="J125" t="s">
        <v>37</v>
      </c>
      <c r="K125" t="s">
        <v>37</v>
      </c>
      <c r="L125" t="s">
        <v>37</v>
      </c>
      <c r="M125" t="s">
        <v>37</v>
      </c>
      <c r="N125">
        <v>0</v>
      </c>
      <c r="O125">
        <v>0</v>
      </c>
      <c r="P125">
        <v>0</v>
      </c>
      <c r="Q125">
        <v>0</v>
      </c>
      <c r="R125">
        <v>-8.0522766113281206E-3</v>
      </c>
      <c r="S125">
        <v>2.0051845550537101E-2</v>
      </c>
      <c r="T125">
        <v>0</v>
      </c>
      <c r="U125" s="7">
        <v>167.28299999999999</v>
      </c>
      <c r="V125" s="7">
        <v>0.57999999999999996</v>
      </c>
      <c r="W125" s="7">
        <v>0.95399999999999996</v>
      </c>
      <c r="X125" s="7">
        <v>0.61799999999999999</v>
      </c>
      <c r="Y125" t="b">
        <v>1</v>
      </c>
      <c r="Z125">
        <v>79</v>
      </c>
      <c r="AA125">
        <f t="shared" si="15"/>
        <v>-0.80522766113281208</v>
      </c>
      <c r="AB125">
        <f t="shared" si="20"/>
        <v>42.314034779311854</v>
      </c>
      <c r="AC125" t="e">
        <f t="shared" si="21"/>
        <v>#VALUE!</v>
      </c>
      <c r="AE125" s="2">
        <f t="shared" si="26"/>
        <v>3.2409800000095856E-2</v>
      </c>
      <c r="AF125" s="2">
        <f t="shared" si="27"/>
        <v>3.855959200000143</v>
      </c>
      <c r="AG125">
        <v>2913.8542351000001</v>
      </c>
      <c r="AH125">
        <v>219.121039999999</v>
      </c>
      <c r="AI125">
        <v>82.344588571428503</v>
      </c>
      <c r="AJ125" s="2">
        <f t="shared" si="23"/>
        <v>55.704805714285698</v>
      </c>
      <c r="AK125" s="2">
        <f t="shared" si="17"/>
        <v>71.527005124267149</v>
      </c>
      <c r="AL125" s="2">
        <f t="shared" si="28"/>
        <v>15.822199409981451</v>
      </c>
      <c r="AM125" s="2"/>
    </row>
    <row r="126" spans="1:39" x14ac:dyDescent="0.3">
      <c r="A126">
        <f t="shared" si="14"/>
        <v>0</v>
      </c>
      <c r="B126" s="2">
        <f t="shared" si="18"/>
        <v>16.380699999899662</v>
      </c>
      <c r="C126" s="2" t="e">
        <f t="shared" si="25"/>
        <v>#VALUE!</v>
      </c>
      <c r="D126" s="2">
        <f t="shared" si="19"/>
        <v>1.8174585000001571</v>
      </c>
      <c r="E126" s="2"/>
      <c r="F126">
        <v>2907.4209885</v>
      </c>
      <c r="G126" t="s">
        <v>37</v>
      </c>
      <c r="H126" t="s">
        <v>37</v>
      </c>
      <c r="I126" t="s">
        <v>37</v>
      </c>
      <c r="J126" t="s">
        <v>37</v>
      </c>
      <c r="K126" t="s">
        <v>37</v>
      </c>
      <c r="L126" t="s">
        <v>37</v>
      </c>
      <c r="M126" t="s">
        <v>37</v>
      </c>
      <c r="N126">
        <v>0</v>
      </c>
      <c r="O126">
        <v>0</v>
      </c>
      <c r="P126">
        <v>0</v>
      </c>
      <c r="Q126">
        <v>0</v>
      </c>
      <c r="R126">
        <v>-8.0522766113281206E-3</v>
      </c>
      <c r="S126">
        <v>2.0051845550537101E-2</v>
      </c>
      <c r="T126">
        <v>0</v>
      </c>
      <c r="U126" s="7">
        <v>167.28299999999999</v>
      </c>
      <c r="V126" s="7">
        <v>0.57999999999999996</v>
      </c>
      <c r="W126" s="7">
        <v>0.95399999999999996</v>
      </c>
      <c r="X126" s="7">
        <v>0.61799999999999999</v>
      </c>
      <c r="Y126" t="b">
        <v>1</v>
      </c>
      <c r="Z126">
        <v>79</v>
      </c>
      <c r="AA126">
        <f t="shared" si="15"/>
        <v>-0.80522766113281208</v>
      </c>
      <c r="AB126">
        <f t="shared" si="20"/>
        <v>42.300844586563215</v>
      </c>
      <c r="AC126" t="e">
        <f t="shared" si="21"/>
        <v>#VALUE!</v>
      </c>
      <c r="AE126" s="2">
        <f t="shared" si="26"/>
        <v>3.1456799999887153E-2</v>
      </c>
      <c r="AF126" s="2">
        <f t="shared" si="27"/>
        <v>3.8874160000000302</v>
      </c>
      <c r="AG126">
        <v>2913.8856919</v>
      </c>
      <c r="AH126">
        <v>219.62495999999999</v>
      </c>
      <c r="AI126">
        <v>83.722188571428603</v>
      </c>
      <c r="AJ126" s="2">
        <f t="shared" si="23"/>
        <v>57.082405714285798</v>
      </c>
      <c r="AK126" s="2">
        <f t="shared" si="17"/>
        <v>72.962925480169957</v>
      </c>
      <c r="AL126" s="2">
        <f t="shared" si="28"/>
        <v>15.880519765884159</v>
      </c>
      <c r="AM126" s="2"/>
    </row>
    <row r="127" spans="1:39" x14ac:dyDescent="0.3">
      <c r="A127">
        <f t="shared" si="14"/>
        <v>0</v>
      </c>
      <c r="B127" s="2">
        <f t="shared" si="18"/>
        <v>15.482299999803217</v>
      </c>
      <c r="C127" s="2" t="e">
        <f t="shared" si="25"/>
        <v>#VALUE!</v>
      </c>
      <c r="D127" s="2">
        <f t="shared" si="19"/>
        <v>1.8329407999999603</v>
      </c>
      <c r="E127" s="2"/>
      <c r="F127">
        <v>2907.4364707999998</v>
      </c>
      <c r="G127" t="s">
        <v>37</v>
      </c>
      <c r="H127" t="s">
        <v>37</v>
      </c>
      <c r="I127" t="s">
        <v>37</v>
      </c>
      <c r="J127" t="s">
        <v>37</v>
      </c>
      <c r="K127" t="s">
        <v>37</v>
      </c>
      <c r="L127" t="s">
        <v>37</v>
      </c>
      <c r="M127" t="s">
        <v>37</v>
      </c>
      <c r="N127">
        <v>0</v>
      </c>
      <c r="O127">
        <v>0</v>
      </c>
      <c r="P127">
        <v>0</v>
      </c>
      <c r="Q127">
        <v>0</v>
      </c>
      <c r="R127">
        <v>-2.1097126007080001E-2</v>
      </c>
      <c r="S127">
        <v>2.8586086273193301E-2</v>
      </c>
      <c r="T127">
        <v>0</v>
      </c>
      <c r="U127" s="7">
        <v>167.31399999999999</v>
      </c>
      <c r="V127" s="7">
        <v>0.216</v>
      </c>
      <c r="W127" s="7">
        <v>0.33100000000000002</v>
      </c>
      <c r="X127" s="7">
        <v>0.61799999999999999</v>
      </c>
      <c r="Y127" t="b">
        <v>1</v>
      </c>
      <c r="Z127">
        <v>79</v>
      </c>
      <c r="AA127">
        <f t="shared" si="15"/>
        <v>-2.1097126007080003</v>
      </c>
      <c r="AB127">
        <f t="shared" si="20"/>
        <v>42.288377810345416</v>
      </c>
      <c r="AC127" t="e">
        <f t="shared" si="21"/>
        <v>#VALUE!</v>
      </c>
      <c r="AE127" s="2">
        <f t="shared" si="26"/>
        <v>3.1433900000138237E-2</v>
      </c>
      <c r="AF127" s="2">
        <f t="shared" si="27"/>
        <v>3.9188499000001684</v>
      </c>
      <c r="AG127">
        <v>2913.9171258000001</v>
      </c>
      <c r="AH127">
        <v>220.16734285714199</v>
      </c>
      <c r="AI127">
        <v>85.257914285714193</v>
      </c>
      <c r="AJ127" s="2">
        <f t="shared" si="23"/>
        <v>58.618131428571388</v>
      </c>
      <c r="AK127" s="2">
        <f t="shared" si="17"/>
        <v>74.405774336334233</v>
      </c>
      <c r="AL127" s="2">
        <f t="shared" si="28"/>
        <v>15.787642907762844</v>
      </c>
      <c r="AM127" s="2"/>
    </row>
    <row r="128" spans="1:39" x14ac:dyDescent="0.3">
      <c r="A128">
        <f t="shared" si="14"/>
        <v>0</v>
      </c>
      <c r="B128" s="2">
        <f t="shared" si="18"/>
        <v>15.313800000058109</v>
      </c>
      <c r="C128" s="2" t="e">
        <f t="shared" si="25"/>
        <v>#VALUE!</v>
      </c>
      <c r="D128" s="2">
        <f t="shared" si="19"/>
        <v>1.8482546000000184</v>
      </c>
      <c r="E128" s="2"/>
      <c r="F128">
        <v>2907.4517845999999</v>
      </c>
      <c r="G128" t="s">
        <v>37</v>
      </c>
      <c r="H128" t="s">
        <v>37</v>
      </c>
      <c r="I128" t="s">
        <v>37</v>
      </c>
      <c r="J128" t="s">
        <v>37</v>
      </c>
      <c r="K128" t="s">
        <v>37</v>
      </c>
      <c r="L128" t="s">
        <v>37</v>
      </c>
      <c r="M128" t="s">
        <v>37</v>
      </c>
      <c r="N128">
        <v>0</v>
      </c>
      <c r="O128">
        <v>0</v>
      </c>
      <c r="P128">
        <v>0</v>
      </c>
      <c r="Q128">
        <v>0</v>
      </c>
      <c r="R128">
        <v>-2.1097126007080001E-2</v>
      </c>
      <c r="S128">
        <v>2.8586086273193301E-2</v>
      </c>
      <c r="T128">
        <v>0</v>
      </c>
      <c r="U128" s="7">
        <v>167.31399999999999</v>
      </c>
      <c r="V128" s="7">
        <v>0.216</v>
      </c>
      <c r="W128" s="7">
        <v>0.33100000000000002</v>
      </c>
      <c r="X128" s="7">
        <v>0.61799999999999999</v>
      </c>
      <c r="Y128" t="b">
        <v>1</v>
      </c>
      <c r="Z128">
        <v>79</v>
      </c>
      <c r="AA128">
        <f t="shared" si="15"/>
        <v>-2.1097126007080003</v>
      </c>
      <c r="AB128">
        <f t="shared" si="20"/>
        <v>42.25607009352057</v>
      </c>
      <c r="AC128" t="e">
        <f t="shared" si="21"/>
        <v>#VALUE!</v>
      </c>
      <c r="AE128" s="2">
        <f t="shared" si="26"/>
        <v>4.684289999977409E-2</v>
      </c>
      <c r="AF128" s="2">
        <f t="shared" si="27"/>
        <v>3.9656927999999425</v>
      </c>
      <c r="AG128">
        <v>2913.9639686999999</v>
      </c>
      <c r="AH128">
        <v>220.71956571428501</v>
      </c>
      <c r="AI128">
        <v>86.777919999999995</v>
      </c>
      <c r="AJ128" s="2">
        <f t="shared" si="23"/>
        <v>60.13813714285719</v>
      </c>
      <c r="AK128" s="2">
        <f t="shared" si="17"/>
        <v>76.570413820236325</v>
      </c>
      <c r="AL128" s="2">
        <f t="shared" si="28"/>
        <v>16.432276677379136</v>
      </c>
      <c r="AM128" s="2"/>
    </row>
    <row r="129" spans="1:39" x14ac:dyDescent="0.3">
      <c r="A129">
        <f t="shared" si="14"/>
        <v>0</v>
      </c>
      <c r="B129" s="2">
        <f t="shared" si="18"/>
        <v>15.803900000264548</v>
      </c>
      <c r="C129" s="2" t="e">
        <f t="shared" si="25"/>
        <v>#VALUE!</v>
      </c>
      <c r="D129" s="2">
        <f t="shared" si="19"/>
        <v>1.8640585000002829</v>
      </c>
      <c r="E129" s="2"/>
      <c r="F129">
        <v>2907.4675885000001</v>
      </c>
      <c r="G129" t="s">
        <v>37</v>
      </c>
      <c r="H129" t="s">
        <v>37</v>
      </c>
      <c r="I129" t="s">
        <v>37</v>
      </c>
      <c r="J129" t="s">
        <v>37</v>
      </c>
      <c r="K129" t="s">
        <v>37</v>
      </c>
      <c r="L129" t="s">
        <v>37</v>
      </c>
      <c r="M129" t="s">
        <v>37</v>
      </c>
      <c r="N129">
        <v>0</v>
      </c>
      <c r="O129">
        <v>0</v>
      </c>
      <c r="P129">
        <v>0</v>
      </c>
      <c r="Q129">
        <v>0</v>
      </c>
      <c r="R129">
        <v>-2.1097126007080001E-2</v>
      </c>
      <c r="S129">
        <v>2.8586086273193301E-2</v>
      </c>
      <c r="T129">
        <v>0</v>
      </c>
      <c r="U129" s="7">
        <v>167.31399999999999</v>
      </c>
      <c r="V129" s="7">
        <v>0.216</v>
      </c>
      <c r="W129" s="7">
        <v>0.33100000000000002</v>
      </c>
      <c r="X129" s="7">
        <v>0.61799999999999999</v>
      </c>
      <c r="Y129" t="b">
        <v>1</v>
      </c>
      <c r="Z129">
        <v>79</v>
      </c>
      <c r="AA129">
        <f t="shared" si="15"/>
        <v>-2.1097126007080003</v>
      </c>
      <c r="AB129">
        <f t="shared" si="20"/>
        <v>42.222728406549685</v>
      </c>
      <c r="AC129" t="e">
        <f t="shared" si="21"/>
        <v>#VALUE!</v>
      </c>
      <c r="AE129" s="2">
        <f t="shared" si="26"/>
        <v>3.1211800000164658E-2</v>
      </c>
      <c r="AF129" s="2">
        <f t="shared" si="27"/>
        <v>3.9969046000001072</v>
      </c>
      <c r="AG129">
        <v>2913.9951805000001</v>
      </c>
      <c r="AH129">
        <v>221.281628571428</v>
      </c>
      <c r="AI129">
        <v>88.287445714285695</v>
      </c>
      <c r="AJ129" s="2">
        <f t="shared" si="23"/>
        <v>61.64766285714289</v>
      </c>
      <c r="AK129" s="2">
        <f t="shared" si="17"/>
        <v>78.022177968275088</v>
      </c>
      <c r="AL129" s="2">
        <f t="shared" si="28"/>
        <v>16.374515111132197</v>
      </c>
      <c r="AM129" s="2"/>
    </row>
    <row r="130" spans="1:39" x14ac:dyDescent="0.3">
      <c r="A130">
        <f t="shared" si="14"/>
        <v>0</v>
      </c>
      <c r="B130" s="2">
        <f t="shared" si="18"/>
        <v>15.958599999976286</v>
      </c>
      <c r="C130" s="2" t="e">
        <f t="shared" si="25"/>
        <v>#VALUE!</v>
      </c>
      <c r="D130" s="2">
        <f t="shared" si="19"/>
        <v>1.8800171000002592</v>
      </c>
      <c r="E130" s="2"/>
      <c r="F130">
        <v>2907.4835471000001</v>
      </c>
      <c r="G130" t="s">
        <v>37</v>
      </c>
      <c r="H130" t="s">
        <v>37</v>
      </c>
      <c r="I130" t="s">
        <v>37</v>
      </c>
      <c r="J130" t="s">
        <v>37</v>
      </c>
      <c r="K130" t="s">
        <v>37</v>
      </c>
      <c r="L130" t="s">
        <v>37</v>
      </c>
      <c r="M130" t="s">
        <v>37</v>
      </c>
      <c r="N130">
        <v>0</v>
      </c>
      <c r="O130">
        <v>0</v>
      </c>
      <c r="P130">
        <v>0</v>
      </c>
      <c r="Q130">
        <v>0</v>
      </c>
      <c r="R130">
        <v>-2.1097126007080001E-2</v>
      </c>
      <c r="S130">
        <v>2.8586086273193301E-2</v>
      </c>
      <c r="T130">
        <v>0</v>
      </c>
      <c r="U130" s="7">
        <v>167.31399999999999</v>
      </c>
      <c r="V130" s="7">
        <v>0.216</v>
      </c>
      <c r="W130" s="7">
        <v>0.33100000000000002</v>
      </c>
      <c r="X130" s="7">
        <v>0.61799999999999999</v>
      </c>
      <c r="Y130" t="b">
        <v>1</v>
      </c>
      <c r="Z130">
        <v>79</v>
      </c>
      <c r="AA130">
        <f t="shared" si="15"/>
        <v>-2.1097126007080003</v>
      </c>
      <c r="AB130">
        <f t="shared" si="20"/>
        <v>42.189060347040076</v>
      </c>
      <c r="AC130" t="e">
        <f t="shared" si="21"/>
        <v>#VALUE!</v>
      </c>
      <c r="AE130" s="2">
        <f t="shared" si="26"/>
        <v>1.6124899999795161E-2</v>
      </c>
      <c r="AF130" s="2">
        <f t="shared" si="27"/>
        <v>4.0130294999999023</v>
      </c>
      <c r="AG130">
        <v>2914.0113053999999</v>
      </c>
      <c r="AH130">
        <v>221.85353142857099</v>
      </c>
      <c r="AI130">
        <v>89.786491428571395</v>
      </c>
      <c r="AJ130" s="2">
        <f t="shared" si="23"/>
        <v>63.14670857142859</v>
      </c>
      <c r="AK130" s="2">
        <f t="shared" si="17"/>
        <v>78.775110780468594</v>
      </c>
      <c r="AL130" s="2">
        <f t="shared" si="28"/>
        <v>15.628402209040004</v>
      </c>
      <c r="AM130" s="2"/>
    </row>
    <row r="131" spans="1:39" x14ac:dyDescent="0.3">
      <c r="A131">
        <f t="shared" si="14"/>
        <v>0</v>
      </c>
      <c r="B131" s="2">
        <f t="shared" si="18"/>
        <v>15.160299999934068</v>
      </c>
      <c r="C131" s="2" t="e">
        <f t="shared" si="25"/>
        <v>#VALUE!</v>
      </c>
      <c r="D131" s="2">
        <f t="shared" si="19"/>
        <v>1.8951774000001933</v>
      </c>
      <c r="E131" s="2"/>
      <c r="F131">
        <v>2907.4987074000001</v>
      </c>
      <c r="G131" t="s">
        <v>37</v>
      </c>
      <c r="H131" t="s">
        <v>37</v>
      </c>
      <c r="I131" t="s">
        <v>37</v>
      </c>
      <c r="J131" t="s">
        <v>37</v>
      </c>
      <c r="K131" t="s">
        <v>37</v>
      </c>
      <c r="L131" t="s">
        <v>37</v>
      </c>
      <c r="M131" t="s">
        <v>37</v>
      </c>
      <c r="N131">
        <v>0</v>
      </c>
      <c r="O131">
        <v>0</v>
      </c>
      <c r="P131">
        <v>0</v>
      </c>
      <c r="Q131">
        <v>0</v>
      </c>
      <c r="R131">
        <v>-2.3288520812988201E-2</v>
      </c>
      <c r="S131">
        <v>5.5274757385253899E-2</v>
      </c>
      <c r="T131">
        <v>0</v>
      </c>
      <c r="U131" s="7">
        <v>167.38900000000001</v>
      </c>
      <c r="V131" s="7">
        <v>-0.27500000000000002</v>
      </c>
      <c r="W131" s="7">
        <v>8.8999999999999996E-2</v>
      </c>
      <c r="X131" s="7">
        <v>0.61799999999999999</v>
      </c>
      <c r="Y131" t="b">
        <v>1</v>
      </c>
      <c r="Z131">
        <v>79</v>
      </c>
      <c r="AA131">
        <f t="shared" si="15"/>
        <v>-2.32885208129882</v>
      </c>
      <c r="AB131">
        <f t="shared" si="20"/>
        <v>42.1570764710997</v>
      </c>
      <c r="AC131" t="e">
        <f t="shared" si="21"/>
        <v>#VALUE!</v>
      </c>
      <c r="AE131" s="2">
        <f t="shared" si="26"/>
        <v>3.2036000000061904E-2</v>
      </c>
      <c r="AF131" s="2">
        <f t="shared" si="27"/>
        <v>4.0450654999999642</v>
      </c>
      <c r="AG131">
        <v>2914.0433413999999</v>
      </c>
      <c r="AH131">
        <v>222.43673142857099</v>
      </c>
      <c r="AI131">
        <v>91.398891428571403</v>
      </c>
      <c r="AJ131" s="2">
        <f t="shared" si="23"/>
        <v>64.759108571428598</v>
      </c>
      <c r="AK131" s="2">
        <f t="shared" si="17"/>
        <v>80.276792803911306</v>
      </c>
      <c r="AL131" s="2">
        <f t="shared" si="28"/>
        <v>15.517684232482708</v>
      </c>
      <c r="AM131" s="2"/>
    </row>
    <row r="132" spans="1:39" x14ac:dyDescent="0.3">
      <c r="A132">
        <f t="shared" si="14"/>
        <v>0</v>
      </c>
      <c r="B132" s="2">
        <f t="shared" si="18"/>
        <v>15.638200000012148</v>
      </c>
      <c r="C132" s="2" t="e">
        <f t="shared" si="25"/>
        <v>#VALUE!</v>
      </c>
      <c r="D132" s="2">
        <f t="shared" si="19"/>
        <v>1.9108156000002054</v>
      </c>
      <c r="E132" s="2"/>
      <c r="F132">
        <v>2907.5143456000001</v>
      </c>
      <c r="G132" t="s">
        <v>37</v>
      </c>
      <c r="H132" t="s">
        <v>37</v>
      </c>
      <c r="I132" t="s">
        <v>37</v>
      </c>
      <c r="J132" t="s">
        <v>37</v>
      </c>
      <c r="K132" t="s">
        <v>37</v>
      </c>
      <c r="L132" t="s">
        <v>37</v>
      </c>
      <c r="M132" t="s">
        <v>37</v>
      </c>
      <c r="N132">
        <v>0</v>
      </c>
      <c r="O132">
        <v>0</v>
      </c>
      <c r="P132">
        <v>0</v>
      </c>
      <c r="Q132">
        <v>0</v>
      </c>
      <c r="R132">
        <v>-2.3288520812988201E-2</v>
      </c>
      <c r="S132">
        <v>5.5274757385253899E-2</v>
      </c>
      <c r="T132">
        <v>0</v>
      </c>
      <c r="U132" s="7">
        <v>167.38900000000001</v>
      </c>
      <c r="V132" s="7">
        <v>-0.27500000000000002</v>
      </c>
      <c r="W132" s="7">
        <v>8.8999999999999996E-2</v>
      </c>
      <c r="X132" s="7">
        <v>0.61799999999999999</v>
      </c>
      <c r="Y132" t="b">
        <v>1</v>
      </c>
      <c r="Z132">
        <v>79</v>
      </c>
      <c r="AA132">
        <f t="shared" si="15"/>
        <v>-2.32885208129882</v>
      </c>
      <c r="AB132">
        <f t="shared" si="20"/>
        <v>42.120657416481905</v>
      </c>
      <c r="AC132" t="e">
        <f t="shared" si="21"/>
        <v>#VALUE!</v>
      </c>
      <c r="AE132" s="2">
        <f t="shared" si="26"/>
        <v>3.084530000023733E-2</v>
      </c>
      <c r="AF132" s="2">
        <f t="shared" si="27"/>
        <v>4.0759108000002016</v>
      </c>
      <c r="AG132">
        <v>2914.0741867000002</v>
      </c>
      <c r="AH132">
        <v>223.016451428571</v>
      </c>
      <c r="AI132">
        <v>92.833731428571397</v>
      </c>
      <c r="AJ132" s="2">
        <f t="shared" si="23"/>
        <v>66.193948571428592</v>
      </c>
      <c r="AK132" s="2">
        <f t="shared" si="17"/>
        <v>81.729849099343284</v>
      </c>
      <c r="AL132" s="2">
        <f t="shared" si="28"/>
        <v>15.535900527914691</v>
      </c>
    </row>
    <row r="133" spans="1:39" x14ac:dyDescent="0.3">
      <c r="A133">
        <f t="shared" si="14"/>
        <v>0</v>
      </c>
      <c r="B133" s="2">
        <f t="shared" si="18"/>
        <v>15.188500000022032</v>
      </c>
      <c r="C133" s="2" t="e">
        <f t="shared" si="25"/>
        <v>#VALUE!</v>
      </c>
      <c r="D133" s="2">
        <f t="shared" si="19"/>
        <v>1.9260041000002275</v>
      </c>
      <c r="E133" s="2"/>
      <c r="F133">
        <v>2907.5295341000001</v>
      </c>
      <c r="G133" t="s">
        <v>37</v>
      </c>
      <c r="H133" t="s">
        <v>37</v>
      </c>
      <c r="I133" t="s">
        <v>37</v>
      </c>
      <c r="J133" t="s">
        <v>37</v>
      </c>
      <c r="K133" t="s">
        <v>37</v>
      </c>
      <c r="L133" t="s">
        <v>37</v>
      </c>
      <c r="M133" t="s">
        <v>37</v>
      </c>
      <c r="N133">
        <v>0</v>
      </c>
      <c r="O133">
        <v>0</v>
      </c>
      <c r="P133">
        <v>0</v>
      </c>
      <c r="Q133">
        <v>0</v>
      </c>
      <c r="R133">
        <v>-2.3288520812988201E-2</v>
      </c>
      <c r="S133">
        <v>5.5274757385253899E-2</v>
      </c>
      <c r="T133">
        <v>0</v>
      </c>
      <c r="U133" s="7">
        <v>167.38900000000001</v>
      </c>
      <c r="V133" s="7">
        <v>-0.27500000000000002</v>
      </c>
      <c r="W133" s="7">
        <v>8.8999999999999996E-2</v>
      </c>
      <c r="X133" s="7">
        <v>0.61799999999999999</v>
      </c>
      <c r="Y133" t="b">
        <v>1</v>
      </c>
      <c r="Z133">
        <v>79</v>
      </c>
      <c r="AA133">
        <f t="shared" si="15"/>
        <v>-2.32885208129882</v>
      </c>
      <c r="AB133">
        <f t="shared" si="20"/>
        <v>42.085285646645048</v>
      </c>
      <c r="AC133" t="e">
        <f t="shared" si="21"/>
        <v>#VALUE!</v>
      </c>
      <c r="AE133" s="2">
        <f t="shared" si="26"/>
        <v>3.1039299999974901E-2</v>
      </c>
      <c r="AF133" s="2">
        <f t="shared" si="27"/>
        <v>4.1069501000001765</v>
      </c>
      <c r="AG133">
        <v>2914.1052260000001</v>
      </c>
      <c r="AH133">
        <v>223.59965142857101</v>
      </c>
      <c r="AI133">
        <v>94.425171428571403</v>
      </c>
      <c r="AJ133" s="2">
        <f t="shared" si="23"/>
        <v>67.785388571428598</v>
      </c>
      <c r="AK133" s="2">
        <f t="shared" si="17"/>
        <v>83.19904400268112</v>
      </c>
      <c r="AL133" s="2">
        <f t="shared" si="28"/>
        <v>15.413655431252522</v>
      </c>
    </row>
    <row r="134" spans="1:39" x14ac:dyDescent="0.3">
      <c r="A134">
        <f t="shared" si="14"/>
        <v>0</v>
      </c>
      <c r="B134" s="2">
        <f t="shared" si="18"/>
        <v>16.104899999845657</v>
      </c>
      <c r="C134" s="2" t="e">
        <f t="shared" si="25"/>
        <v>#VALUE!</v>
      </c>
      <c r="D134" s="2">
        <f t="shared" si="19"/>
        <v>1.9421090000000731</v>
      </c>
      <c r="E134" s="2"/>
      <c r="F134">
        <v>2907.5456389999999</v>
      </c>
      <c r="G134" t="s">
        <v>37</v>
      </c>
      <c r="H134" t="s">
        <v>37</v>
      </c>
      <c r="I134" t="s">
        <v>37</v>
      </c>
      <c r="J134" t="s">
        <v>37</v>
      </c>
      <c r="K134" t="s">
        <v>37</v>
      </c>
      <c r="L134" t="s">
        <v>37</v>
      </c>
      <c r="M134" t="s">
        <v>37</v>
      </c>
      <c r="N134">
        <v>0</v>
      </c>
      <c r="O134">
        <v>0</v>
      </c>
      <c r="P134">
        <v>0</v>
      </c>
      <c r="Q134">
        <v>0</v>
      </c>
      <c r="R134">
        <v>-2.3288520812988201E-2</v>
      </c>
      <c r="S134">
        <v>5.5274757385253899E-2</v>
      </c>
      <c r="T134">
        <v>0</v>
      </c>
      <c r="U134" s="7">
        <v>167.38900000000001</v>
      </c>
      <c r="V134" s="7">
        <v>-0.27500000000000002</v>
      </c>
      <c r="W134" s="7">
        <v>8.8999999999999996E-2</v>
      </c>
      <c r="X134" s="7">
        <v>0.61799999999999999</v>
      </c>
      <c r="Y134" t="b">
        <v>1</v>
      </c>
      <c r="Z134">
        <v>79</v>
      </c>
      <c r="AA134">
        <f t="shared" si="15"/>
        <v>-2.32885208129882</v>
      </c>
      <c r="AB134">
        <f t="shared" si="20"/>
        <v>42.047779716761298</v>
      </c>
      <c r="AC134" t="e">
        <f t="shared" si="21"/>
        <v>#VALUE!</v>
      </c>
      <c r="AE134" s="2">
        <f t="shared" si="26"/>
        <v>3.1718199999886565E-2</v>
      </c>
      <c r="AF134" s="2">
        <f t="shared" si="27"/>
        <v>4.138668300000063</v>
      </c>
      <c r="AG134">
        <v>2914.1369442</v>
      </c>
      <c r="AH134">
        <v>224.18285142857101</v>
      </c>
      <c r="AI134">
        <v>96.000891428571407</v>
      </c>
      <c r="AJ134" s="2">
        <f t="shared" si="23"/>
        <v>69.361108571428602</v>
      </c>
      <c r="AK134" s="2">
        <f t="shared" si="17"/>
        <v>84.707506362379306</v>
      </c>
      <c r="AL134" s="2">
        <f t="shared" si="28"/>
        <v>15.346397790950704</v>
      </c>
    </row>
    <row r="135" spans="1:39" x14ac:dyDescent="0.3">
      <c r="A135">
        <f t="shared" ref="A135:A198" si="29">N135*10000</f>
        <v>0</v>
      </c>
      <c r="B135" s="2">
        <f t="shared" si="18"/>
        <v>15.341100000114238</v>
      </c>
      <c r="C135" s="2" t="e">
        <f t="shared" si="25"/>
        <v>#VALUE!</v>
      </c>
      <c r="D135" s="2">
        <f t="shared" si="19"/>
        <v>1.9574501000001874</v>
      </c>
      <c r="E135" s="2"/>
      <c r="F135">
        <v>2907.5609801000001</v>
      </c>
      <c r="G135" t="s">
        <v>37</v>
      </c>
      <c r="H135" t="s">
        <v>37</v>
      </c>
      <c r="I135" t="s">
        <v>37</v>
      </c>
      <c r="J135" t="s">
        <v>37</v>
      </c>
      <c r="K135" t="s">
        <v>37</v>
      </c>
      <c r="L135" t="s">
        <v>37</v>
      </c>
      <c r="M135" t="s">
        <v>37</v>
      </c>
      <c r="N135">
        <v>0</v>
      </c>
      <c r="O135">
        <v>0</v>
      </c>
      <c r="P135">
        <v>0</v>
      </c>
      <c r="Q135">
        <v>0</v>
      </c>
      <c r="R135">
        <v>-2.0750883102416899E-2</v>
      </c>
      <c r="S135">
        <v>4.1008174896240202E-2</v>
      </c>
      <c r="T135">
        <v>0</v>
      </c>
      <c r="U135" s="7">
        <v>167.21299999999999</v>
      </c>
      <c r="V135" s="7">
        <v>-0.69399999999999995</v>
      </c>
      <c r="W135" s="7">
        <v>-0.2</v>
      </c>
      <c r="X135" s="7">
        <v>0.624</v>
      </c>
      <c r="Y135" t="b">
        <v>1</v>
      </c>
      <c r="Z135">
        <v>79</v>
      </c>
      <c r="AA135">
        <f t="shared" ref="AA135:AA198" si="30">R135*100</f>
        <v>-2.0750883102416897</v>
      </c>
      <c r="AB135">
        <f t="shared" si="20"/>
        <v>42.012052564096621</v>
      </c>
      <c r="AC135" t="e">
        <f t="shared" si="21"/>
        <v>#VALUE!</v>
      </c>
      <c r="AE135" s="2">
        <f t="shared" si="26"/>
        <v>3.0619199999819102E-2</v>
      </c>
      <c r="AF135" s="2">
        <f t="shared" si="27"/>
        <v>4.1692874999998821</v>
      </c>
      <c r="AG135">
        <v>2914.1675633999998</v>
      </c>
      <c r="AH135">
        <v>224.76113142857099</v>
      </c>
      <c r="AI135">
        <v>97.566131428571396</v>
      </c>
      <c r="AJ135" s="2">
        <f t="shared" si="23"/>
        <v>70.926348571428591</v>
      </c>
      <c r="AK135" s="2">
        <f t="shared" ref="AK135:AK198" si="31">IF(AF135&lt;$AK$3,0,$AK$1*((AF135-$AK$3)-$AK$2+($AK$2*(EXP(-1*(AF135-$AK$3)/$AK$2)))))</f>
        <v>86.170428103698285</v>
      </c>
      <c r="AL135" s="2">
        <f t="shared" si="28"/>
        <v>15.244079532269694</v>
      </c>
    </row>
    <row r="136" spans="1:39" x14ac:dyDescent="0.3">
      <c r="A136">
        <f t="shared" si="29"/>
        <v>0</v>
      </c>
      <c r="B136" s="2">
        <f t="shared" ref="B136:B199" si="32">(F136-F135)*1000</f>
        <v>15.409900000122434</v>
      </c>
      <c r="C136" s="2" t="e">
        <f t="shared" si="25"/>
        <v>#VALUE!</v>
      </c>
      <c r="D136" s="2">
        <f t="shared" ref="D136:D199" si="33">F136-$F$7</f>
        <v>1.9728600000003098</v>
      </c>
      <c r="E136" s="2"/>
      <c r="F136">
        <v>2907.5763900000002</v>
      </c>
      <c r="G136" t="s">
        <v>37</v>
      </c>
      <c r="H136" t="s">
        <v>37</v>
      </c>
      <c r="I136" t="s">
        <v>37</v>
      </c>
      <c r="J136" t="s">
        <v>37</v>
      </c>
      <c r="K136" t="s">
        <v>37</v>
      </c>
      <c r="L136" t="s">
        <v>37</v>
      </c>
      <c r="M136" t="s">
        <v>37</v>
      </c>
      <c r="N136">
        <v>0</v>
      </c>
      <c r="O136">
        <v>0</v>
      </c>
      <c r="P136">
        <v>0</v>
      </c>
      <c r="Q136">
        <v>0</v>
      </c>
      <c r="R136">
        <v>-2.0750883102416899E-2</v>
      </c>
      <c r="S136">
        <v>4.1008174896240202E-2</v>
      </c>
      <c r="T136">
        <v>0</v>
      </c>
      <c r="U136" s="7">
        <v>167.21299999999999</v>
      </c>
      <c r="V136" s="7">
        <v>-0.69399999999999995</v>
      </c>
      <c r="W136" s="7">
        <v>-0.2</v>
      </c>
      <c r="X136" s="7">
        <v>0.624</v>
      </c>
      <c r="Y136" t="b">
        <v>1</v>
      </c>
      <c r="Z136">
        <v>79</v>
      </c>
      <c r="AA136">
        <f t="shared" si="30"/>
        <v>-2.0750883102416897</v>
      </c>
      <c r="AB136">
        <f t="shared" ref="AB136:AB178" si="34">AB135+(AA135*(D136-D135))</f>
        <v>41.980075660744376</v>
      </c>
      <c r="AC136" t="e">
        <f t="shared" ref="AC136:AC199" si="35">IF((L136-L135)/(D136-D135)&lt;100,IF((L136-L135)/(D136-D135)&gt;(-1*20),(L136-L135)/(D136-D135),AC135))</f>
        <v>#VALUE!</v>
      </c>
      <c r="AE136" s="2">
        <f t="shared" si="26"/>
        <v>4.6349300000201765E-2</v>
      </c>
      <c r="AF136" s="2">
        <f t="shared" si="27"/>
        <v>4.2156368000000839</v>
      </c>
      <c r="AG136">
        <v>2914.2139127</v>
      </c>
      <c r="AH136">
        <v>225.34925142857099</v>
      </c>
      <c r="AI136">
        <v>99.115651428571397</v>
      </c>
      <c r="AJ136" s="2">
        <f t="shared" ref="AJ136:AJ199" si="36">AI136-$AI$4</f>
        <v>72.475868571428592</v>
      </c>
      <c r="AK136" s="2">
        <f t="shared" si="31"/>
        <v>88.397229476793328</v>
      </c>
      <c r="AL136" s="2">
        <f t="shared" si="28"/>
        <v>15.921360905364736</v>
      </c>
    </row>
    <row r="137" spans="1:39" x14ac:dyDescent="0.3">
      <c r="A137">
        <f t="shared" si="29"/>
        <v>0</v>
      </c>
      <c r="B137" s="2">
        <f t="shared" si="32"/>
        <v>15.564999999696738</v>
      </c>
      <c r="C137" s="2" t="e">
        <f t="shared" ref="C137:C200" si="37">L137-L136</f>
        <v>#VALUE!</v>
      </c>
      <c r="D137" s="2">
        <f t="shared" si="33"/>
        <v>1.9884250000000065</v>
      </c>
      <c r="E137" s="2"/>
      <c r="F137">
        <v>2907.5919549999999</v>
      </c>
      <c r="G137" t="s">
        <v>37</v>
      </c>
      <c r="H137" t="s">
        <v>37</v>
      </c>
      <c r="I137" t="s">
        <v>37</v>
      </c>
      <c r="J137" t="s">
        <v>37</v>
      </c>
      <c r="K137" t="s">
        <v>37</v>
      </c>
      <c r="L137" t="s">
        <v>37</v>
      </c>
      <c r="M137" t="s">
        <v>37</v>
      </c>
      <c r="N137">
        <v>0</v>
      </c>
      <c r="O137">
        <v>0</v>
      </c>
      <c r="P137">
        <v>0</v>
      </c>
      <c r="Q137">
        <v>0</v>
      </c>
      <c r="R137">
        <v>-2.0750883102416899E-2</v>
      </c>
      <c r="S137">
        <v>4.1008174896240202E-2</v>
      </c>
      <c r="T137">
        <v>0</v>
      </c>
      <c r="U137" s="7">
        <v>167.21299999999999</v>
      </c>
      <c r="V137" s="7">
        <v>-0.69399999999999995</v>
      </c>
      <c r="W137" s="7">
        <v>-0.2</v>
      </c>
      <c r="X137" s="7">
        <v>0.624</v>
      </c>
      <c r="Y137" t="b">
        <v>1</v>
      </c>
      <c r="Z137">
        <v>79</v>
      </c>
      <c r="AA137">
        <f t="shared" si="30"/>
        <v>-2.0750883102416897</v>
      </c>
      <c r="AB137">
        <f t="shared" si="34"/>
        <v>41.947776911196094</v>
      </c>
      <c r="AC137" t="e">
        <f t="shared" si="35"/>
        <v>#VALUE!</v>
      </c>
      <c r="AE137" s="2">
        <f t="shared" si="26"/>
        <v>3.1269499999780237E-2</v>
      </c>
      <c r="AF137" s="2">
        <f t="shared" si="27"/>
        <v>4.2469062999998641</v>
      </c>
      <c r="AG137">
        <v>2914.2451821999998</v>
      </c>
      <c r="AH137">
        <v>225.953931428571</v>
      </c>
      <c r="AI137">
        <v>101.048811428571</v>
      </c>
      <c r="AJ137" s="2">
        <f t="shared" si="36"/>
        <v>74.409028571428195</v>
      </c>
      <c r="AK137" s="2">
        <f t="shared" si="31"/>
        <v>89.907764435530282</v>
      </c>
      <c r="AL137" s="2">
        <f t="shared" si="28"/>
        <v>15.498735864102088</v>
      </c>
    </row>
    <row r="138" spans="1:39" x14ac:dyDescent="0.3">
      <c r="A138">
        <f t="shared" si="29"/>
        <v>0</v>
      </c>
      <c r="B138" s="2">
        <f t="shared" si="32"/>
        <v>15.319600000111677</v>
      </c>
      <c r="C138" s="2" t="e">
        <f t="shared" si="37"/>
        <v>#VALUE!</v>
      </c>
      <c r="D138" s="2">
        <f t="shared" si="33"/>
        <v>2.0037446000001182</v>
      </c>
      <c r="E138" s="2"/>
      <c r="F138">
        <v>2907.6072746</v>
      </c>
      <c r="G138" t="s">
        <v>37</v>
      </c>
      <c r="H138" t="s">
        <v>37</v>
      </c>
      <c r="I138" t="s">
        <v>37</v>
      </c>
      <c r="J138" t="s">
        <v>37</v>
      </c>
      <c r="K138" t="s">
        <v>37</v>
      </c>
      <c r="L138" t="s">
        <v>37</v>
      </c>
      <c r="M138" t="s">
        <v>37</v>
      </c>
      <c r="N138">
        <v>0</v>
      </c>
      <c r="O138">
        <v>0</v>
      </c>
      <c r="P138">
        <v>0</v>
      </c>
      <c r="Q138">
        <v>0</v>
      </c>
      <c r="R138">
        <v>-2.0750883102416899E-2</v>
      </c>
      <c r="S138">
        <v>4.1008174896240202E-2</v>
      </c>
      <c r="T138">
        <v>0</v>
      </c>
      <c r="U138" s="7">
        <v>167.21299999999999</v>
      </c>
      <c r="V138" s="7">
        <v>-0.69399999999999995</v>
      </c>
      <c r="W138" s="7">
        <v>-0.2</v>
      </c>
      <c r="X138" s="7">
        <v>0.624</v>
      </c>
      <c r="Y138" t="b">
        <v>1</v>
      </c>
      <c r="Z138">
        <v>79</v>
      </c>
      <c r="AA138">
        <f t="shared" si="30"/>
        <v>-2.0750883102416897</v>
      </c>
      <c r="AB138">
        <f t="shared" si="34"/>
        <v>41.915987388318285</v>
      </c>
      <c r="AC138" t="e">
        <f t="shared" si="35"/>
        <v>#VALUE!</v>
      </c>
      <c r="AE138" s="2">
        <f t="shared" si="26"/>
        <v>3.0868100000134291E-2</v>
      </c>
      <c r="AF138" s="2">
        <f t="shared" si="27"/>
        <v>4.2777743999999984</v>
      </c>
      <c r="AG138">
        <v>2914.2760503</v>
      </c>
      <c r="AH138">
        <v>226.58981142857101</v>
      </c>
      <c r="AI138">
        <v>102.71825142857099</v>
      </c>
      <c r="AJ138" s="2">
        <f t="shared" si="36"/>
        <v>76.078468571428189</v>
      </c>
      <c r="AK138" s="2">
        <f t="shared" si="31"/>
        <v>91.405284353525445</v>
      </c>
      <c r="AL138" s="2">
        <f t="shared" si="28"/>
        <v>15.326815782097256</v>
      </c>
    </row>
    <row r="139" spans="1:39" x14ac:dyDescent="0.3">
      <c r="A139">
        <f t="shared" si="29"/>
        <v>0</v>
      </c>
      <c r="B139" s="2">
        <f t="shared" si="32"/>
        <v>16.140100000029634</v>
      </c>
      <c r="C139" s="2" t="e">
        <f t="shared" si="37"/>
        <v>#VALUE!</v>
      </c>
      <c r="D139" s="2">
        <f t="shared" si="33"/>
        <v>2.0198847000001479</v>
      </c>
      <c r="E139" s="2"/>
      <c r="F139">
        <v>2907.6234147</v>
      </c>
      <c r="G139" t="s">
        <v>37</v>
      </c>
      <c r="H139" t="s">
        <v>37</v>
      </c>
      <c r="I139" t="s">
        <v>37</v>
      </c>
      <c r="J139" t="s">
        <v>37</v>
      </c>
      <c r="K139" t="s">
        <v>37</v>
      </c>
      <c r="L139" t="s">
        <v>37</v>
      </c>
      <c r="M139" t="s">
        <v>37</v>
      </c>
      <c r="N139">
        <v>0</v>
      </c>
      <c r="O139">
        <v>0</v>
      </c>
      <c r="P139">
        <v>0</v>
      </c>
      <c r="Q139">
        <v>0</v>
      </c>
      <c r="R139">
        <v>-1.98720383644104E-3</v>
      </c>
      <c r="S139">
        <v>1.0020609855651799E-2</v>
      </c>
      <c r="T139">
        <v>0</v>
      </c>
      <c r="U139" s="7">
        <v>167.149</v>
      </c>
      <c r="V139" s="7">
        <v>-0.95199999999999996</v>
      </c>
      <c r="W139" s="7">
        <v>3.0000000000000001E-3</v>
      </c>
      <c r="X139" s="7">
        <v>0.625</v>
      </c>
      <c r="Y139" t="b">
        <v>1</v>
      </c>
      <c r="Z139">
        <v>79</v>
      </c>
      <c r="AA139">
        <f t="shared" si="30"/>
        <v>-0.19872038364410399</v>
      </c>
      <c r="AB139">
        <f t="shared" si="34"/>
        <v>41.882495255482091</v>
      </c>
      <c r="AC139" t="e">
        <f t="shared" si="35"/>
        <v>#VALUE!</v>
      </c>
      <c r="AE139" s="2">
        <f t="shared" si="26"/>
        <v>3.132450000020981E-2</v>
      </c>
      <c r="AF139" s="2">
        <f t="shared" si="27"/>
        <v>4.3090989000002082</v>
      </c>
      <c r="AG139">
        <v>2914.3073748000002</v>
      </c>
      <c r="AH139">
        <v>227.236971428571</v>
      </c>
      <c r="AI139">
        <v>104.210131428571</v>
      </c>
      <c r="AJ139" s="2">
        <f t="shared" si="36"/>
        <v>77.570348571428198</v>
      </c>
      <c r="AK139" s="2">
        <f t="shared" si="31"/>
        <v>92.93131348392096</v>
      </c>
      <c r="AL139" s="2">
        <f t="shared" si="28"/>
        <v>15.360964912492761</v>
      </c>
    </row>
    <row r="140" spans="1:39" x14ac:dyDescent="0.3">
      <c r="A140">
        <f t="shared" si="29"/>
        <v>0</v>
      </c>
      <c r="B140" s="2">
        <f t="shared" si="32"/>
        <v>15.866499999901862</v>
      </c>
      <c r="C140" s="2" t="e">
        <f t="shared" si="37"/>
        <v>#VALUE!</v>
      </c>
      <c r="D140" s="2">
        <f t="shared" si="33"/>
        <v>2.0357512000000497</v>
      </c>
      <c r="E140" s="2"/>
      <c r="F140">
        <v>2907.6392811999999</v>
      </c>
      <c r="G140" t="s">
        <v>37</v>
      </c>
      <c r="H140" t="s">
        <v>37</v>
      </c>
      <c r="I140" t="s">
        <v>37</v>
      </c>
      <c r="J140" t="s">
        <v>37</v>
      </c>
      <c r="K140" t="s">
        <v>37</v>
      </c>
      <c r="L140" t="s">
        <v>37</v>
      </c>
      <c r="M140" t="s">
        <v>37</v>
      </c>
      <c r="N140">
        <v>0</v>
      </c>
      <c r="O140">
        <v>0</v>
      </c>
      <c r="P140">
        <v>0</v>
      </c>
      <c r="Q140">
        <v>0</v>
      </c>
      <c r="R140">
        <v>-1.98720383644104E-3</v>
      </c>
      <c r="S140">
        <v>1.0020609855651799E-2</v>
      </c>
      <c r="T140">
        <v>0</v>
      </c>
      <c r="U140" s="7">
        <v>167.149</v>
      </c>
      <c r="V140" s="7">
        <v>-0.95199999999999996</v>
      </c>
      <c r="W140" s="7">
        <v>3.0000000000000001E-3</v>
      </c>
      <c r="X140" s="7">
        <v>0.625</v>
      </c>
      <c r="Y140" t="b">
        <v>1</v>
      </c>
      <c r="Z140">
        <v>79</v>
      </c>
      <c r="AA140">
        <f t="shared" si="30"/>
        <v>-0.19872038364410399</v>
      </c>
      <c r="AB140">
        <f t="shared" si="34"/>
        <v>41.879342258515024</v>
      </c>
      <c r="AC140" t="e">
        <f t="shared" si="35"/>
        <v>#VALUE!</v>
      </c>
      <c r="AE140" s="2">
        <f t="shared" si="26"/>
        <v>3.1285600000046543E-2</v>
      </c>
      <c r="AF140" s="2">
        <f t="shared" si="27"/>
        <v>4.3403845000002548</v>
      </c>
      <c r="AG140">
        <v>2914.3386604000002</v>
      </c>
      <c r="AH140">
        <v>227.862994285714</v>
      </c>
      <c r="AI140">
        <v>105.609617142857</v>
      </c>
      <c r="AJ140" s="2">
        <f t="shared" si="36"/>
        <v>78.969834285714199</v>
      </c>
      <c r="AK140" s="2">
        <f t="shared" si="31"/>
        <v>94.461743436496064</v>
      </c>
      <c r="AL140" s="2">
        <f t="shared" si="28"/>
        <v>15.491909150781865</v>
      </c>
    </row>
    <row r="141" spans="1:39" x14ac:dyDescent="0.3">
      <c r="A141">
        <f t="shared" si="29"/>
        <v>0</v>
      </c>
      <c r="B141" s="2">
        <f t="shared" si="32"/>
        <v>14.640800000051968</v>
      </c>
      <c r="C141" s="2" t="e">
        <f t="shared" si="37"/>
        <v>#VALUE!</v>
      </c>
      <c r="D141" s="2">
        <f t="shared" si="33"/>
        <v>2.0503920000001017</v>
      </c>
      <c r="E141" s="2"/>
      <c r="F141">
        <v>2907.653922</v>
      </c>
      <c r="G141" t="s">
        <v>37</v>
      </c>
      <c r="H141" t="s">
        <v>37</v>
      </c>
      <c r="I141" t="s">
        <v>37</v>
      </c>
      <c r="J141" t="s">
        <v>37</v>
      </c>
      <c r="K141" t="s">
        <v>37</v>
      </c>
      <c r="L141" t="s">
        <v>37</v>
      </c>
      <c r="M141" t="s">
        <v>37</v>
      </c>
      <c r="N141">
        <v>0</v>
      </c>
      <c r="O141">
        <v>0</v>
      </c>
      <c r="P141">
        <v>0</v>
      </c>
      <c r="Q141">
        <v>0</v>
      </c>
      <c r="R141">
        <v>-1.98720383644104E-3</v>
      </c>
      <c r="S141">
        <v>1.0020609855651799E-2</v>
      </c>
      <c r="T141">
        <v>0</v>
      </c>
      <c r="U141" s="7">
        <v>167.149</v>
      </c>
      <c r="V141" s="7">
        <v>-0.95199999999999996</v>
      </c>
      <c r="W141" s="7">
        <v>3.0000000000000001E-3</v>
      </c>
      <c r="X141" s="7">
        <v>0.625</v>
      </c>
      <c r="Y141" t="b">
        <v>1</v>
      </c>
      <c r="Z141">
        <v>79</v>
      </c>
      <c r="AA141">
        <f t="shared" si="30"/>
        <v>-0.19872038364410399</v>
      </c>
      <c r="AB141">
        <f t="shared" si="34"/>
        <v>41.876432833122159</v>
      </c>
      <c r="AC141" t="e">
        <f t="shared" si="35"/>
        <v>#VALUE!</v>
      </c>
      <c r="AE141" s="2">
        <f t="shared" si="26"/>
        <v>3.0655499999738822E-2</v>
      </c>
      <c r="AF141" s="2">
        <f t="shared" si="27"/>
        <v>4.3710399999999936</v>
      </c>
      <c r="AG141">
        <v>2914.3693158999999</v>
      </c>
      <c r="AH141">
        <v>228.49899428571399</v>
      </c>
      <c r="AI141">
        <v>107.064817142857</v>
      </c>
      <c r="AJ141" s="2">
        <f t="shared" si="36"/>
        <v>80.42503428571419</v>
      </c>
      <c r="AK141" s="2">
        <f t="shared" si="31"/>
        <v>95.967352001096572</v>
      </c>
      <c r="AL141" s="2">
        <f t="shared" si="28"/>
        <v>15.542317715382381</v>
      </c>
    </row>
    <row r="142" spans="1:39" x14ac:dyDescent="0.3">
      <c r="A142">
        <f t="shared" si="29"/>
        <v>0</v>
      </c>
      <c r="B142" s="2">
        <f t="shared" si="32"/>
        <v>15.230699999847275</v>
      </c>
      <c r="C142" s="2" t="e">
        <f t="shared" si="37"/>
        <v>#VALUE!</v>
      </c>
      <c r="D142" s="2">
        <f t="shared" si="33"/>
        <v>2.065622699999949</v>
      </c>
      <c r="E142" s="2"/>
      <c r="F142">
        <v>2907.6691526999998</v>
      </c>
      <c r="G142" t="s">
        <v>37</v>
      </c>
      <c r="H142" t="s">
        <v>37</v>
      </c>
      <c r="I142" t="s">
        <v>37</v>
      </c>
      <c r="J142" t="s">
        <v>37</v>
      </c>
      <c r="K142" t="s">
        <v>37</v>
      </c>
      <c r="L142" t="s">
        <v>37</v>
      </c>
      <c r="M142" t="s">
        <v>37</v>
      </c>
      <c r="N142">
        <v>0</v>
      </c>
      <c r="O142">
        <v>0</v>
      </c>
      <c r="P142">
        <v>0</v>
      </c>
      <c r="Q142">
        <v>0</v>
      </c>
      <c r="R142">
        <v>-1.98720383644104E-3</v>
      </c>
      <c r="S142">
        <v>1.0020609855651799E-2</v>
      </c>
      <c r="T142">
        <v>0</v>
      </c>
      <c r="U142" s="7">
        <v>167.149</v>
      </c>
      <c r="V142" s="7">
        <v>-0.95199999999999996</v>
      </c>
      <c r="W142" s="7">
        <v>3.0000000000000001E-3</v>
      </c>
      <c r="X142" s="7">
        <v>0.625</v>
      </c>
      <c r="Y142" t="b">
        <v>1</v>
      </c>
      <c r="Z142">
        <v>79</v>
      </c>
      <c r="AA142">
        <f t="shared" si="30"/>
        <v>-0.19872038364410399</v>
      </c>
      <c r="AB142">
        <f t="shared" si="34"/>
        <v>41.873406182575025</v>
      </c>
      <c r="AC142" t="e">
        <f t="shared" si="35"/>
        <v>#VALUE!</v>
      </c>
      <c r="AE142" s="2">
        <f t="shared" si="26"/>
        <v>4.6094100000118488E-2</v>
      </c>
      <c r="AF142" s="2">
        <f t="shared" si="27"/>
        <v>4.4171341000001121</v>
      </c>
      <c r="AG142">
        <v>2914.4154100000001</v>
      </c>
      <c r="AH142">
        <v>229.13007428571399</v>
      </c>
      <c r="AI142">
        <v>108.546217142857</v>
      </c>
      <c r="AJ142" s="2">
        <f t="shared" si="36"/>
        <v>81.906434285714198</v>
      </c>
      <c r="AK142" s="2">
        <f t="shared" si="31"/>
        <v>98.242176527774944</v>
      </c>
      <c r="AL142" s="2">
        <f t="shared" si="28"/>
        <v>16.335742242060746</v>
      </c>
    </row>
    <row r="143" spans="1:39" x14ac:dyDescent="0.3">
      <c r="A143">
        <f t="shared" si="29"/>
        <v>0</v>
      </c>
      <c r="B143" s="2">
        <f t="shared" si="32"/>
        <v>14.897300000029645</v>
      </c>
      <c r="C143" s="2" t="e">
        <f t="shared" si="37"/>
        <v>#VALUE!</v>
      </c>
      <c r="D143" s="2">
        <f t="shared" si="33"/>
        <v>2.0805199999999786</v>
      </c>
      <c r="E143" s="2"/>
      <c r="F143">
        <v>2907.6840499999998</v>
      </c>
      <c r="G143" t="s">
        <v>37</v>
      </c>
      <c r="H143" t="s">
        <v>37</v>
      </c>
      <c r="I143" t="s">
        <v>37</v>
      </c>
      <c r="J143" t="s">
        <v>37</v>
      </c>
      <c r="K143" t="s">
        <v>37</v>
      </c>
      <c r="L143" t="s">
        <v>37</v>
      </c>
      <c r="M143" t="s">
        <v>37</v>
      </c>
      <c r="N143">
        <v>0</v>
      </c>
      <c r="O143">
        <v>0</v>
      </c>
      <c r="P143">
        <v>0</v>
      </c>
      <c r="Q143">
        <v>0</v>
      </c>
      <c r="R143">
        <v>9.2732954025268495E-3</v>
      </c>
      <c r="S143">
        <v>3.7961540222167897E-2</v>
      </c>
      <c r="T143">
        <v>0</v>
      </c>
      <c r="U143" s="7">
        <v>167.30600000000001</v>
      </c>
      <c r="V143" s="7">
        <v>-0.88100000000000001</v>
      </c>
      <c r="W143" s="7">
        <v>0.55300000000000005</v>
      </c>
      <c r="X143" s="7">
        <v>0.63</v>
      </c>
      <c r="Y143" t="b">
        <v>1</v>
      </c>
      <c r="Z143">
        <v>79</v>
      </c>
      <c r="AA143">
        <f t="shared" si="30"/>
        <v>0.92732954025268499</v>
      </c>
      <c r="AB143">
        <f t="shared" si="34"/>
        <v>41.87044578540376</v>
      </c>
      <c r="AC143" t="e">
        <f t="shared" si="35"/>
        <v>#VALUE!</v>
      </c>
      <c r="AE143" s="2">
        <f t="shared" si="26"/>
        <v>3.0475999999907799E-2</v>
      </c>
      <c r="AF143" s="2">
        <f t="shared" si="27"/>
        <v>4.4476101000000199</v>
      </c>
      <c r="AG143">
        <v>2914.445886</v>
      </c>
      <c r="AH143">
        <v>229.77939428571401</v>
      </c>
      <c r="AI143">
        <v>110.137057142857</v>
      </c>
      <c r="AJ143" s="2">
        <f t="shared" si="36"/>
        <v>83.497274285714198</v>
      </c>
      <c r="AK143" s="2">
        <f t="shared" si="31"/>
        <v>99.753316932148238</v>
      </c>
      <c r="AL143" s="2">
        <f t="shared" si="28"/>
        <v>16.25604264643404</v>
      </c>
    </row>
    <row r="144" spans="1:39" x14ac:dyDescent="0.3">
      <c r="A144">
        <f t="shared" si="29"/>
        <v>0</v>
      </c>
      <c r="B144" s="2">
        <f t="shared" si="32"/>
        <v>15.55240000016056</v>
      </c>
      <c r="C144" s="2" t="e">
        <f t="shared" si="37"/>
        <v>#VALUE!</v>
      </c>
      <c r="D144" s="2">
        <f t="shared" si="33"/>
        <v>2.0960724000001392</v>
      </c>
      <c r="E144" s="2"/>
      <c r="F144">
        <v>2907.6996024</v>
      </c>
      <c r="G144" t="s">
        <v>37</v>
      </c>
      <c r="H144" t="s">
        <v>37</v>
      </c>
      <c r="I144" t="s">
        <v>37</v>
      </c>
      <c r="J144" t="s">
        <v>37</v>
      </c>
      <c r="K144" t="s">
        <v>37</v>
      </c>
      <c r="L144" t="s">
        <v>37</v>
      </c>
      <c r="M144" t="s">
        <v>37</v>
      </c>
      <c r="N144">
        <v>0</v>
      </c>
      <c r="O144">
        <v>0</v>
      </c>
      <c r="P144">
        <v>0</v>
      </c>
      <c r="Q144">
        <v>0</v>
      </c>
      <c r="R144">
        <v>9.2732954025268495E-3</v>
      </c>
      <c r="S144">
        <v>3.7961540222167897E-2</v>
      </c>
      <c r="T144">
        <v>0</v>
      </c>
      <c r="U144" s="7">
        <v>167.30600000000001</v>
      </c>
      <c r="V144" s="7">
        <v>-0.88100000000000001</v>
      </c>
      <c r="W144" s="7">
        <v>0.55300000000000005</v>
      </c>
      <c r="X144" s="7">
        <v>0.63</v>
      </c>
      <c r="Y144" t="b">
        <v>1</v>
      </c>
      <c r="Z144">
        <v>79</v>
      </c>
      <c r="AA144">
        <f t="shared" si="30"/>
        <v>0.92732954025268499</v>
      </c>
      <c r="AB144">
        <f t="shared" si="34"/>
        <v>41.884867985345736</v>
      </c>
      <c r="AC144" t="e">
        <f t="shared" si="35"/>
        <v>#VALUE!</v>
      </c>
      <c r="AE144" s="2">
        <f t="shared" si="26"/>
        <v>3.1737899999825459E-2</v>
      </c>
      <c r="AF144" s="2">
        <f t="shared" si="27"/>
        <v>4.4793479999998453</v>
      </c>
      <c r="AG144">
        <v>2914.4776238999998</v>
      </c>
      <c r="AH144">
        <v>230.44491428571399</v>
      </c>
      <c r="AI144">
        <v>112.34381714285701</v>
      </c>
      <c r="AJ144" s="2">
        <f t="shared" si="36"/>
        <v>85.704034285714201</v>
      </c>
      <c r="AK144" s="2">
        <f t="shared" si="31"/>
        <v>101.33291714752843</v>
      </c>
      <c r="AL144" s="2">
        <f t="shared" si="28"/>
        <v>15.628882861814233</v>
      </c>
    </row>
    <row r="145" spans="1:38" x14ac:dyDescent="0.3">
      <c r="A145">
        <f t="shared" si="29"/>
        <v>0</v>
      </c>
      <c r="B145" s="2">
        <f t="shared" si="32"/>
        <v>14.920799999799783</v>
      </c>
      <c r="C145" s="2" t="e">
        <f t="shared" si="37"/>
        <v>#VALUE!</v>
      </c>
      <c r="D145" s="2">
        <f t="shared" si="33"/>
        <v>2.110993199999939</v>
      </c>
      <c r="E145" s="2"/>
      <c r="F145">
        <v>2907.7145231999998</v>
      </c>
      <c r="G145" t="s">
        <v>37</v>
      </c>
      <c r="H145" t="s">
        <v>37</v>
      </c>
      <c r="I145" t="s">
        <v>37</v>
      </c>
      <c r="J145" t="s">
        <v>37</v>
      </c>
      <c r="K145" t="s">
        <v>37</v>
      </c>
      <c r="L145" t="s">
        <v>37</v>
      </c>
      <c r="M145" t="s">
        <v>37</v>
      </c>
      <c r="N145">
        <v>0</v>
      </c>
      <c r="O145">
        <v>0</v>
      </c>
      <c r="P145">
        <v>0</v>
      </c>
      <c r="Q145">
        <v>0</v>
      </c>
      <c r="R145">
        <v>9.2732954025268495E-3</v>
      </c>
      <c r="S145">
        <v>3.7961540222167897E-2</v>
      </c>
      <c r="T145">
        <v>0</v>
      </c>
      <c r="U145" s="7">
        <v>167.30600000000001</v>
      </c>
      <c r="V145" s="7">
        <v>-0.88100000000000001</v>
      </c>
      <c r="W145" s="7">
        <v>0.55300000000000005</v>
      </c>
      <c r="X145" s="7">
        <v>0.63</v>
      </c>
      <c r="Y145" t="b">
        <v>1</v>
      </c>
      <c r="Z145">
        <v>79</v>
      </c>
      <c r="AA145">
        <f t="shared" si="30"/>
        <v>0.92732954025268499</v>
      </c>
      <c r="AB145">
        <f t="shared" si="34"/>
        <v>41.89870448394975</v>
      </c>
      <c r="AC145" t="e">
        <f t="shared" si="35"/>
        <v>#VALUE!</v>
      </c>
      <c r="AE145" s="2">
        <f t="shared" si="26"/>
        <v>3.0533900000136782E-2</v>
      </c>
      <c r="AF145" s="2">
        <f t="shared" si="27"/>
        <v>4.5098818999999821</v>
      </c>
      <c r="AG145">
        <v>2914.5081577999999</v>
      </c>
      <c r="AH145">
        <v>231.10073142857101</v>
      </c>
      <c r="AI145">
        <v>114.400542857142</v>
      </c>
      <c r="AJ145" s="2">
        <f t="shared" si="36"/>
        <v>87.760759999999195</v>
      </c>
      <c r="AK145" s="2">
        <f t="shared" si="31"/>
        <v>102.85817133958653</v>
      </c>
      <c r="AL145" s="2">
        <f t="shared" si="28"/>
        <v>15.097411339587339</v>
      </c>
    </row>
    <row r="146" spans="1:38" x14ac:dyDescent="0.3">
      <c r="A146">
        <f t="shared" si="29"/>
        <v>0</v>
      </c>
      <c r="B146" s="2">
        <f t="shared" si="32"/>
        <v>15.408000000206812</v>
      </c>
      <c r="C146" s="2" t="e">
        <f t="shared" si="37"/>
        <v>#VALUE!</v>
      </c>
      <c r="D146" s="2">
        <f t="shared" si="33"/>
        <v>2.1264012000001458</v>
      </c>
      <c r="E146" s="2"/>
      <c r="F146">
        <v>2907.7299312</v>
      </c>
      <c r="G146" t="s">
        <v>37</v>
      </c>
      <c r="H146" t="s">
        <v>37</v>
      </c>
      <c r="I146" t="s">
        <v>37</v>
      </c>
      <c r="J146" t="s">
        <v>37</v>
      </c>
      <c r="K146" t="s">
        <v>37</v>
      </c>
      <c r="L146" t="s">
        <v>37</v>
      </c>
      <c r="M146" t="s">
        <v>37</v>
      </c>
      <c r="N146">
        <v>0</v>
      </c>
      <c r="O146">
        <v>0</v>
      </c>
      <c r="P146">
        <v>0</v>
      </c>
      <c r="Q146">
        <v>0</v>
      </c>
      <c r="R146">
        <v>9.2732954025268495E-3</v>
      </c>
      <c r="S146">
        <v>3.7961540222167897E-2</v>
      </c>
      <c r="T146">
        <v>0</v>
      </c>
      <c r="U146" s="7">
        <v>167.30600000000001</v>
      </c>
      <c r="V146" s="7">
        <v>-0.88100000000000001</v>
      </c>
      <c r="W146" s="7">
        <v>0.55300000000000005</v>
      </c>
      <c r="X146" s="7">
        <v>0.63</v>
      </c>
      <c r="Y146" t="b">
        <v>1</v>
      </c>
      <c r="Z146">
        <v>79</v>
      </c>
      <c r="AA146">
        <f t="shared" si="30"/>
        <v>0.92732954025268499</v>
      </c>
      <c r="AB146">
        <f t="shared" si="34"/>
        <v>41.912992777506155</v>
      </c>
      <c r="AC146" t="e">
        <f t="shared" si="35"/>
        <v>#VALUE!</v>
      </c>
      <c r="AE146" s="2">
        <f t="shared" si="26"/>
        <v>1.5798500000073545E-2</v>
      </c>
      <c r="AF146" s="2">
        <f t="shared" si="27"/>
        <v>4.5256804000000557</v>
      </c>
      <c r="AG146">
        <v>2914.5239563</v>
      </c>
      <c r="AH146">
        <v>231.73257142857099</v>
      </c>
      <c r="AI146">
        <v>116.278182857142</v>
      </c>
      <c r="AJ146" s="2">
        <f t="shared" si="36"/>
        <v>89.638399999999194</v>
      </c>
      <c r="AK146" s="2">
        <f t="shared" si="31"/>
        <v>103.64946802676536</v>
      </c>
      <c r="AL146" s="2">
        <f t="shared" si="28"/>
        <v>14.011068026766168</v>
      </c>
    </row>
    <row r="147" spans="1:38" x14ac:dyDescent="0.3">
      <c r="A147">
        <f t="shared" si="29"/>
        <v>0</v>
      </c>
      <c r="B147" s="2">
        <f t="shared" si="32"/>
        <v>15.003600000000006</v>
      </c>
      <c r="C147" s="2" t="e">
        <f t="shared" si="37"/>
        <v>#VALUE!</v>
      </c>
      <c r="D147" s="2">
        <f t="shared" si="33"/>
        <v>2.1414048000001458</v>
      </c>
      <c r="E147" s="2"/>
      <c r="F147">
        <v>2907.7449348</v>
      </c>
      <c r="G147" t="s">
        <v>37</v>
      </c>
      <c r="H147" t="s">
        <v>37</v>
      </c>
      <c r="I147" t="s">
        <v>37</v>
      </c>
      <c r="J147" t="s">
        <v>37</v>
      </c>
      <c r="K147" t="s">
        <v>37</v>
      </c>
      <c r="L147" t="s">
        <v>37</v>
      </c>
      <c r="M147" t="s">
        <v>37</v>
      </c>
      <c r="N147">
        <v>0</v>
      </c>
      <c r="O147">
        <v>0</v>
      </c>
      <c r="P147">
        <v>0</v>
      </c>
      <c r="Q147">
        <v>0</v>
      </c>
      <c r="R147">
        <v>9.2732954025268495E-3</v>
      </c>
      <c r="S147">
        <v>3.7961540222167897E-2</v>
      </c>
      <c r="T147">
        <v>0</v>
      </c>
      <c r="U147" s="7">
        <v>167.30600000000001</v>
      </c>
      <c r="V147" s="7">
        <v>-0.88100000000000001</v>
      </c>
      <c r="W147" s="7">
        <v>0.55300000000000005</v>
      </c>
      <c r="X147" s="7">
        <v>0.63</v>
      </c>
      <c r="Y147" t="b">
        <v>1</v>
      </c>
      <c r="Z147">
        <v>79</v>
      </c>
      <c r="AA147">
        <f t="shared" si="30"/>
        <v>0.92732954025268499</v>
      </c>
      <c r="AB147">
        <f t="shared" si="34"/>
        <v>41.926906058996288</v>
      </c>
      <c r="AC147" t="e">
        <f t="shared" si="35"/>
        <v>#VALUE!</v>
      </c>
      <c r="AE147" s="2">
        <f t="shared" si="26"/>
        <v>3.2164600000214705E-2</v>
      </c>
      <c r="AF147" s="2">
        <f t="shared" si="27"/>
        <v>4.5578450000002704</v>
      </c>
      <c r="AG147">
        <v>2914.5561209000002</v>
      </c>
      <c r="AH147">
        <v>232.36497142857101</v>
      </c>
      <c r="AI147">
        <v>117.63382285714199</v>
      </c>
      <c r="AJ147" s="2">
        <f t="shared" si="36"/>
        <v>90.994039999999188</v>
      </c>
      <c r="AK147" s="2">
        <f t="shared" si="31"/>
        <v>105.26489037754581</v>
      </c>
      <c r="AL147" s="2">
        <f t="shared" si="28"/>
        <v>14.270850377546623</v>
      </c>
    </row>
    <row r="148" spans="1:38" x14ac:dyDescent="0.3">
      <c r="A148">
        <f t="shared" si="29"/>
        <v>0</v>
      </c>
      <c r="B148" s="2">
        <f t="shared" si="32"/>
        <v>15.468499999769847</v>
      </c>
      <c r="C148" s="2" t="e">
        <f t="shared" si="37"/>
        <v>#VALUE!</v>
      </c>
      <c r="D148" s="2">
        <f t="shared" si="33"/>
        <v>2.1568732999999156</v>
      </c>
      <c r="E148" s="2"/>
      <c r="F148">
        <v>2907.7604032999998</v>
      </c>
      <c r="G148" t="s">
        <v>37</v>
      </c>
      <c r="H148" t="s">
        <v>37</v>
      </c>
      <c r="I148" t="s">
        <v>37</v>
      </c>
      <c r="J148" t="s">
        <v>37</v>
      </c>
      <c r="K148" t="s">
        <v>37</v>
      </c>
      <c r="L148" t="s">
        <v>37</v>
      </c>
      <c r="M148" t="s">
        <v>37</v>
      </c>
      <c r="N148">
        <v>0</v>
      </c>
      <c r="O148">
        <v>0</v>
      </c>
      <c r="P148">
        <v>0</v>
      </c>
      <c r="Q148">
        <v>0</v>
      </c>
      <c r="R148">
        <v>-1.4368383407592699E-2</v>
      </c>
      <c r="S148">
        <v>3.9107494354247999E-2</v>
      </c>
      <c r="T148">
        <v>0</v>
      </c>
      <c r="U148" s="7">
        <v>167.22200000000001</v>
      </c>
      <c r="V148" s="7">
        <v>-0.47399999999999998</v>
      </c>
      <c r="W148" s="7">
        <v>0.44700000000000001</v>
      </c>
      <c r="X148" s="7">
        <v>0.63200000000000001</v>
      </c>
      <c r="Y148" t="b">
        <v>1</v>
      </c>
      <c r="Z148">
        <v>79</v>
      </c>
      <c r="AA148">
        <f t="shared" si="30"/>
        <v>-1.43683834075927</v>
      </c>
      <c r="AB148">
        <f t="shared" si="34"/>
        <v>41.941250455989476</v>
      </c>
      <c r="AC148" t="e">
        <f t="shared" si="35"/>
        <v>#VALUE!</v>
      </c>
      <c r="AE148" s="2">
        <f t="shared" si="26"/>
        <v>3.1662599999890517E-2</v>
      </c>
      <c r="AF148" s="2">
        <f t="shared" si="27"/>
        <v>4.5895076000001609</v>
      </c>
      <c r="AG148">
        <v>2914.5877835000001</v>
      </c>
      <c r="AH148">
        <v>233.01718857142799</v>
      </c>
      <c r="AI148">
        <v>119.64862857142801</v>
      </c>
      <c r="AJ148" s="2">
        <f t="shared" si="36"/>
        <v>93.008845714285201</v>
      </c>
      <c r="AK148" s="2">
        <f t="shared" si="31"/>
        <v>106.86078228884449</v>
      </c>
      <c r="AL148" s="2">
        <f t="shared" si="28"/>
        <v>13.851936574559289</v>
      </c>
    </row>
    <row r="149" spans="1:38" x14ac:dyDescent="0.3">
      <c r="A149">
        <f t="shared" si="29"/>
        <v>0</v>
      </c>
      <c r="B149" s="2">
        <f t="shared" si="32"/>
        <v>15.859900000123162</v>
      </c>
      <c r="C149" s="2" t="e">
        <f t="shared" si="37"/>
        <v>#VALUE!</v>
      </c>
      <c r="D149" s="2">
        <f t="shared" si="33"/>
        <v>2.1727332000000388</v>
      </c>
      <c r="E149" s="2"/>
      <c r="F149">
        <v>2907.7762631999999</v>
      </c>
      <c r="G149" t="s">
        <v>37</v>
      </c>
      <c r="H149" t="s">
        <v>37</v>
      </c>
      <c r="I149" t="s">
        <v>37</v>
      </c>
      <c r="J149" t="s">
        <v>37</v>
      </c>
      <c r="K149" t="s">
        <v>37</v>
      </c>
      <c r="L149" t="s">
        <v>37</v>
      </c>
      <c r="M149" t="s">
        <v>37</v>
      </c>
      <c r="N149">
        <v>0</v>
      </c>
      <c r="O149">
        <v>0</v>
      </c>
      <c r="P149">
        <v>0</v>
      </c>
      <c r="Q149">
        <v>0</v>
      </c>
      <c r="R149">
        <v>-1.4368383407592699E-2</v>
      </c>
      <c r="S149">
        <v>3.9107494354247999E-2</v>
      </c>
      <c r="T149">
        <v>0</v>
      </c>
      <c r="U149" s="7">
        <v>167.22200000000001</v>
      </c>
      <c r="V149" s="7">
        <v>-0.47399999999999998</v>
      </c>
      <c r="W149" s="7">
        <v>0.44700000000000001</v>
      </c>
      <c r="X149" s="7">
        <v>0.63200000000000001</v>
      </c>
      <c r="Y149" t="b">
        <v>1</v>
      </c>
      <c r="Z149">
        <v>79</v>
      </c>
      <c r="AA149">
        <f t="shared" si="30"/>
        <v>-1.43683834075927</v>
      </c>
      <c r="AB149">
        <f t="shared" si="34"/>
        <v>41.918462343588693</v>
      </c>
      <c r="AC149" t="e">
        <f t="shared" si="35"/>
        <v>#VALUE!</v>
      </c>
      <c r="AE149" s="2">
        <f t="shared" si="26"/>
        <v>4.5625299999755953E-2</v>
      </c>
      <c r="AF149" s="2">
        <f t="shared" si="27"/>
        <v>4.6351328999999168</v>
      </c>
      <c r="AG149">
        <v>2914.6334087999999</v>
      </c>
      <c r="AH149">
        <v>233.679108571428</v>
      </c>
      <c r="AI149">
        <v>121.766308571428</v>
      </c>
      <c r="AJ149" s="2">
        <f t="shared" si="36"/>
        <v>95.126525714285194</v>
      </c>
      <c r="AK149" s="2">
        <f t="shared" si="31"/>
        <v>109.17015831025076</v>
      </c>
      <c r="AL149" s="2">
        <f t="shared" si="28"/>
        <v>14.043632595965562</v>
      </c>
    </row>
    <row r="150" spans="1:38" x14ac:dyDescent="0.3">
      <c r="A150">
        <f t="shared" si="29"/>
        <v>0</v>
      </c>
      <c r="B150" s="2">
        <f t="shared" si="32"/>
        <v>15.243499999996857</v>
      </c>
      <c r="C150" s="2" t="e">
        <f t="shared" si="37"/>
        <v>#VALUE!</v>
      </c>
      <c r="D150" s="2">
        <f t="shared" si="33"/>
        <v>2.1879767000000356</v>
      </c>
      <c r="E150" s="2"/>
      <c r="F150">
        <v>2907.7915066999999</v>
      </c>
      <c r="G150" t="s">
        <v>37</v>
      </c>
      <c r="H150" t="s">
        <v>37</v>
      </c>
      <c r="I150" t="s">
        <v>37</v>
      </c>
      <c r="J150" t="s">
        <v>37</v>
      </c>
      <c r="K150" t="s">
        <v>37</v>
      </c>
      <c r="L150" t="s">
        <v>37</v>
      </c>
      <c r="M150" t="s">
        <v>37</v>
      </c>
      <c r="N150">
        <v>0</v>
      </c>
      <c r="O150">
        <v>0</v>
      </c>
      <c r="P150">
        <v>0</v>
      </c>
      <c r="Q150">
        <v>0</v>
      </c>
      <c r="R150">
        <v>-1.4368383407592699E-2</v>
      </c>
      <c r="S150">
        <v>3.9107494354247999E-2</v>
      </c>
      <c r="T150">
        <v>0</v>
      </c>
      <c r="U150" s="7">
        <v>167.22200000000001</v>
      </c>
      <c r="V150" s="7">
        <v>-0.47399999999999998</v>
      </c>
      <c r="W150" s="7">
        <v>0.44700000000000001</v>
      </c>
      <c r="X150" s="7">
        <v>0.63200000000000001</v>
      </c>
      <c r="Y150" t="b">
        <v>1</v>
      </c>
      <c r="Z150">
        <v>79</v>
      </c>
      <c r="AA150">
        <f t="shared" si="30"/>
        <v>-1.43683834075927</v>
      </c>
      <c r="AB150">
        <f t="shared" si="34"/>
        <v>41.896559898341337</v>
      </c>
      <c r="AC150" t="e">
        <f t="shared" si="35"/>
        <v>#VALUE!</v>
      </c>
      <c r="AE150" s="2">
        <f t="shared" si="26"/>
        <v>3.1574600000112696E-2</v>
      </c>
      <c r="AF150" s="2">
        <f t="shared" si="27"/>
        <v>4.6667075000000295</v>
      </c>
      <c r="AG150">
        <v>2914.6649834</v>
      </c>
      <c r="AH150">
        <v>234.33886857142801</v>
      </c>
      <c r="AI150">
        <v>123.565548571428</v>
      </c>
      <c r="AJ150" s="2">
        <f t="shared" si="36"/>
        <v>96.925765714285191</v>
      </c>
      <c r="AK150" s="2">
        <f t="shared" si="31"/>
        <v>110.77493216133357</v>
      </c>
      <c r="AL150" s="2">
        <f t="shared" si="28"/>
        <v>13.849166447048376</v>
      </c>
    </row>
    <row r="151" spans="1:38" x14ac:dyDescent="0.3">
      <c r="A151">
        <f t="shared" si="29"/>
        <v>0</v>
      </c>
      <c r="B151" s="2">
        <f t="shared" si="32"/>
        <v>15.840800000205491</v>
      </c>
      <c r="C151" s="2" t="e">
        <f t="shared" si="37"/>
        <v>#VALUE!</v>
      </c>
      <c r="D151" s="2">
        <f t="shared" si="33"/>
        <v>2.2038175000002411</v>
      </c>
      <c r="E151" s="2"/>
      <c r="F151">
        <v>2907.8073475000001</v>
      </c>
      <c r="G151" t="s">
        <v>37</v>
      </c>
      <c r="H151" t="s">
        <v>37</v>
      </c>
      <c r="I151" t="s">
        <v>37</v>
      </c>
      <c r="J151" t="s">
        <v>37</v>
      </c>
      <c r="K151" t="s">
        <v>37</v>
      </c>
      <c r="L151" t="s">
        <v>37</v>
      </c>
      <c r="M151" t="s">
        <v>37</v>
      </c>
      <c r="N151">
        <v>0</v>
      </c>
      <c r="O151">
        <v>0</v>
      </c>
      <c r="P151">
        <v>0</v>
      </c>
      <c r="Q151">
        <v>0</v>
      </c>
      <c r="R151">
        <v>-1.4368383407592699E-2</v>
      </c>
      <c r="S151">
        <v>3.9107494354247999E-2</v>
      </c>
      <c r="T151">
        <v>0</v>
      </c>
      <c r="U151" s="7">
        <v>167.22200000000001</v>
      </c>
      <c r="V151" s="7">
        <v>-0.47399999999999998</v>
      </c>
      <c r="W151" s="7">
        <v>0.44700000000000001</v>
      </c>
      <c r="X151" s="7">
        <v>0.63200000000000001</v>
      </c>
      <c r="Y151" t="b">
        <v>1</v>
      </c>
      <c r="Z151">
        <v>79</v>
      </c>
      <c r="AA151">
        <f t="shared" si="30"/>
        <v>-1.43683834075927</v>
      </c>
      <c r="AB151">
        <f t="shared" si="34"/>
        <v>41.873799229552745</v>
      </c>
      <c r="AC151" t="e">
        <f t="shared" si="35"/>
        <v>#VALUE!</v>
      </c>
      <c r="AE151" s="2">
        <f t="shared" si="26"/>
        <v>3.0609500000082335E-2</v>
      </c>
      <c r="AF151" s="2">
        <f t="shared" si="27"/>
        <v>4.6973170000001119</v>
      </c>
      <c r="AG151">
        <v>2914.6955929000001</v>
      </c>
      <c r="AH151">
        <v>235.000028571428</v>
      </c>
      <c r="AI151">
        <v>125.12978857142799</v>
      </c>
      <c r="AJ151" s="2">
        <f t="shared" si="36"/>
        <v>98.490005714285189</v>
      </c>
      <c r="AK151" s="2">
        <f t="shared" si="31"/>
        <v>112.33570212717322</v>
      </c>
      <c r="AL151" s="2">
        <f t="shared" si="28"/>
        <v>13.845696412888032</v>
      </c>
    </row>
    <row r="152" spans="1:38" x14ac:dyDescent="0.3">
      <c r="A152">
        <f t="shared" si="29"/>
        <v>0</v>
      </c>
      <c r="B152" s="2">
        <f t="shared" si="32"/>
        <v>15.128199999708158</v>
      </c>
      <c r="C152" s="2" t="e">
        <f t="shared" si="37"/>
        <v>#VALUE!</v>
      </c>
      <c r="D152" s="2">
        <f t="shared" si="33"/>
        <v>2.2189456999999493</v>
      </c>
      <c r="E152" s="2"/>
      <c r="F152">
        <v>2907.8224756999998</v>
      </c>
      <c r="G152" t="s">
        <v>37</v>
      </c>
      <c r="H152" t="s">
        <v>37</v>
      </c>
      <c r="I152" t="s">
        <v>37</v>
      </c>
      <c r="J152" t="s">
        <v>37</v>
      </c>
      <c r="K152" t="s">
        <v>37</v>
      </c>
      <c r="L152" t="s">
        <v>37</v>
      </c>
      <c r="M152" t="s">
        <v>37</v>
      </c>
      <c r="N152">
        <v>0</v>
      </c>
      <c r="O152">
        <v>0</v>
      </c>
      <c r="P152">
        <v>0</v>
      </c>
      <c r="Q152">
        <v>0</v>
      </c>
      <c r="R152">
        <v>-1.39499397277832E-2</v>
      </c>
      <c r="S152">
        <v>2.2461683273315401E-2</v>
      </c>
      <c r="T152">
        <v>0</v>
      </c>
      <c r="U152" s="7">
        <v>167.11799999999999</v>
      </c>
      <c r="V152" s="7">
        <v>-0.36199999999999999</v>
      </c>
      <c r="W152" s="7">
        <v>-2.5999999999999999E-2</v>
      </c>
      <c r="X152" s="7">
        <v>0.63900000000000001</v>
      </c>
      <c r="Y152" t="b">
        <v>1</v>
      </c>
      <c r="Z152">
        <v>79</v>
      </c>
      <c r="AA152">
        <f t="shared" si="30"/>
        <v>-1.39499397277832</v>
      </c>
      <c r="AB152">
        <f t="shared" si="34"/>
        <v>41.852062451766493</v>
      </c>
      <c r="AC152" t="e">
        <f t="shared" si="35"/>
        <v>#VALUE!</v>
      </c>
      <c r="AE152" s="2">
        <f t="shared" si="26"/>
        <v>3.0613500000072236E-2</v>
      </c>
      <c r="AF152" s="2">
        <f t="shared" si="27"/>
        <v>4.7279305000001841</v>
      </c>
      <c r="AG152">
        <v>2914.7262064000001</v>
      </c>
      <c r="AH152">
        <v>235.63748571428499</v>
      </c>
      <c r="AI152">
        <v>126.504462857142</v>
      </c>
      <c r="AJ152" s="2">
        <f t="shared" si="36"/>
        <v>99.864679999999197</v>
      </c>
      <c r="AK152" s="2">
        <f t="shared" si="31"/>
        <v>113.90156375986227</v>
      </c>
      <c r="AL152" s="2">
        <f t="shared" si="28"/>
        <v>14.036883759863073</v>
      </c>
    </row>
    <row r="153" spans="1:38" x14ac:dyDescent="0.3">
      <c r="A153">
        <f t="shared" si="29"/>
        <v>0</v>
      </c>
      <c r="B153" s="2">
        <f t="shared" si="32"/>
        <v>15.354699999988952</v>
      </c>
      <c r="C153" s="2" t="e">
        <f t="shared" si="37"/>
        <v>#VALUE!</v>
      </c>
      <c r="D153" s="2">
        <f t="shared" si="33"/>
        <v>2.2343003999999382</v>
      </c>
      <c r="E153" s="2"/>
      <c r="F153">
        <v>2907.8378303999998</v>
      </c>
      <c r="G153" t="s">
        <v>37</v>
      </c>
      <c r="H153" t="s">
        <v>37</v>
      </c>
      <c r="I153" t="s">
        <v>37</v>
      </c>
      <c r="J153" t="s">
        <v>37</v>
      </c>
      <c r="K153" t="s">
        <v>37</v>
      </c>
      <c r="L153" t="s">
        <v>37</v>
      </c>
      <c r="M153" t="s">
        <v>37</v>
      </c>
      <c r="N153">
        <v>0</v>
      </c>
      <c r="O153">
        <v>0</v>
      </c>
      <c r="P153">
        <v>0</v>
      </c>
      <c r="Q153">
        <v>0</v>
      </c>
      <c r="R153">
        <v>-1.39499397277832E-2</v>
      </c>
      <c r="S153">
        <v>2.2461683273315401E-2</v>
      </c>
      <c r="T153">
        <v>0</v>
      </c>
      <c r="U153" s="7">
        <v>167.11799999999999</v>
      </c>
      <c r="V153" s="7">
        <v>-0.36199999999999999</v>
      </c>
      <c r="W153" s="7">
        <v>-2.5999999999999999E-2</v>
      </c>
      <c r="X153" s="7">
        <v>0.63900000000000001</v>
      </c>
      <c r="Y153" t="b">
        <v>1</v>
      </c>
      <c r="Z153">
        <v>79</v>
      </c>
      <c r="AA153">
        <f t="shared" si="30"/>
        <v>-1.39499397277832</v>
      </c>
      <c r="AB153">
        <f t="shared" si="34"/>
        <v>41.830642737812688</v>
      </c>
      <c r="AC153" t="e">
        <f t="shared" si="35"/>
        <v>#VALUE!</v>
      </c>
      <c r="AE153" s="2">
        <f t="shared" si="26"/>
        <v>3.1810899999982212E-2</v>
      </c>
      <c r="AF153" s="2">
        <f t="shared" si="27"/>
        <v>4.7597414000001663</v>
      </c>
      <c r="AG153">
        <v>2914.7580173000001</v>
      </c>
      <c r="AH153">
        <v>236.287542857142</v>
      </c>
      <c r="AI153">
        <v>128.35941714285701</v>
      </c>
      <c r="AJ153" s="2">
        <f t="shared" si="36"/>
        <v>101.71963428571421</v>
      </c>
      <c r="AK153" s="2">
        <f t="shared" si="31"/>
        <v>115.53376445800946</v>
      </c>
      <c r="AL153" s="2">
        <f t="shared" si="28"/>
        <v>13.814130172295251</v>
      </c>
    </row>
    <row r="154" spans="1:38" x14ac:dyDescent="0.3">
      <c r="A154">
        <f t="shared" si="29"/>
        <v>0</v>
      </c>
      <c r="B154" s="2">
        <f t="shared" si="32"/>
        <v>15.337600000293605</v>
      </c>
      <c r="C154" s="2" t="e">
        <f t="shared" si="37"/>
        <v>#VALUE!</v>
      </c>
      <c r="D154" s="2">
        <f t="shared" si="33"/>
        <v>2.2496380000002318</v>
      </c>
      <c r="E154" s="2"/>
      <c r="F154">
        <v>2907.8531680000001</v>
      </c>
      <c r="G154" t="s">
        <v>37</v>
      </c>
      <c r="H154" t="s">
        <v>37</v>
      </c>
      <c r="I154" t="s">
        <v>37</v>
      </c>
      <c r="J154" t="s">
        <v>37</v>
      </c>
      <c r="K154" t="s">
        <v>37</v>
      </c>
      <c r="L154" t="s">
        <v>37</v>
      </c>
      <c r="M154" t="s">
        <v>37</v>
      </c>
      <c r="N154">
        <v>0</v>
      </c>
      <c r="O154">
        <v>0</v>
      </c>
      <c r="P154">
        <v>0</v>
      </c>
      <c r="Q154">
        <v>0</v>
      </c>
      <c r="R154">
        <v>-1.39499397277832E-2</v>
      </c>
      <c r="S154">
        <v>2.2461683273315401E-2</v>
      </c>
      <c r="T154">
        <v>0</v>
      </c>
      <c r="U154" s="7">
        <v>167.11799999999999</v>
      </c>
      <c r="V154" s="7">
        <v>-0.36199999999999999</v>
      </c>
      <c r="W154" s="7">
        <v>-2.5999999999999999E-2</v>
      </c>
      <c r="X154" s="7">
        <v>0.63900000000000001</v>
      </c>
      <c r="Y154" t="b">
        <v>1</v>
      </c>
      <c r="Z154">
        <v>79</v>
      </c>
      <c r="AA154">
        <f t="shared" si="30"/>
        <v>-1.39499397277832</v>
      </c>
      <c r="AB154">
        <f t="shared" si="34"/>
        <v>41.809246878255394</v>
      </c>
      <c r="AC154" t="e">
        <f t="shared" si="35"/>
        <v>#VALUE!</v>
      </c>
      <c r="AE154" s="2">
        <f t="shared" ref="AE154:AE208" si="38">AG154-AG153</f>
        <v>3.1113099999856786E-2</v>
      </c>
      <c r="AF154" s="2">
        <f t="shared" ref="AF154:AF208" si="39">AG154-$AG$7</f>
        <v>4.7908545000000231</v>
      </c>
      <c r="AG154">
        <v>2914.7891304</v>
      </c>
      <c r="AH154">
        <v>236.95451999999901</v>
      </c>
      <c r="AI154">
        <v>130.50661142857101</v>
      </c>
      <c r="AJ154" s="2">
        <f t="shared" si="36"/>
        <v>103.8668285714282</v>
      </c>
      <c r="AK154" s="2">
        <f t="shared" si="31"/>
        <v>117.13509875385068</v>
      </c>
      <c r="AL154" s="2">
        <f t="shared" ref="AL154:AL208" si="40">ABS(AK154-AJ154)</f>
        <v>13.268270182422484</v>
      </c>
    </row>
    <row r="155" spans="1:38" x14ac:dyDescent="0.3">
      <c r="A155">
        <f t="shared" si="29"/>
        <v>0</v>
      </c>
      <c r="B155" s="2">
        <f t="shared" si="32"/>
        <v>15.205299999706767</v>
      </c>
      <c r="C155" s="2" t="e">
        <f t="shared" si="37"/>
        <v>#VALUE!</v>
      </c>
      <c r="D155" s="2">
        <f t="shared" si="33"/>
        <v>2.2648432999999386</v>
      </c>
      <c r="E155" s="2"/>
      <c r="F155">
        <v>2907.8683732999998</v>
      </c>
      <c r="G155" t="s">
        <v>37</v>
      </c>
      <c r="H155" t="s">
        <v>37</v>
      </c>
      <c r="I155" t="s">
        <v>37</v>
      </c>
      <c r="J155" t="s">
        <v>37</v>
      </c>
      <c r="K155" t="s">
        <v>37</v>
      </c>
      <c r="L155" t="s">
        <v>37</v>
      </c>
      <c r="M155" t="s">
        <v>37</v>
      </c>
      <c r="N155">
        <v>0</v>
      </c>
      <c r="O155">
        <v>0</v>
      </c>
      <c r="P155">
        <v>0</v>
      </c>
      <c r="Q155">
        <v>0</v>
      </c>
      <c r="R155">
        <v>-1.39499397277832E-2</v>
      </c>
      <c r="S155">
        <v>2.2461683273315401E-2</v>
      </c>
      <c r="T155">
        <v>0</v>
      </c>
      <c r="U155" s="7">
        <v>167.11799999999999</v>
      </c>
      <c r="V155" s="7">
        <v>-0.36199999999999999</v>
      </c>
      <c r="W155" s="7">
        <v>-2.5999999999999999E-2</v>
      </c>
      <c r="X155" s="7">
        <v>0.63900000000000001</v>
      </c>
      <c r="Y155" t="b">
        <v>1</v>
      </c>
      <c r="Z155">
        <v>79</v>
      </c>
      <c r="AA155">
        <f t="shared" si="30"/>
        <v>-1.39499397277832</v>
      </c>
      <c r="AB155">
        <f t="shared" si="34"/>
        <v>41.788035576401519</v>
      </c>
      <c r="AC155" t="e">
        <f t="shared" si="35"/>
        <v>#VALUE!</v>
      </c>
      <c r="AE155" s="2">
        <f t="shared" si="38"/>
        <v>4.6360499999991589E-2</v>
      </c>
      <c r="AF155" s="2">
        <f t="shared" si="39"/>
        <v>4.8372150000000147</v>
      </c>
      <c r="AG155">
        <v>2914.8354909</v>
      </c>
      <c r="AH155">
        <v>237.63133714285701</v>
      </c>
      <c r="AI155">
        <v>132.64856571428501</v>
      </c>
      <c r="AJ155" s="2">
        <f t="shared" si="36"/>
        <v>106.00878285714221</v>
      </c>
      <c r="AK155" s="2">
        <f t="shared" si="31"/>
        <v>119.53007106060276</v>
      </c>
      <c r="AL155" s="2">
        <f t="shared" si="40"/>
        <v>13.521288203460557</v>
      </c>
    </row>
    <row r="156" spans="1:38" x14ac:dyDescent="0.3">
      <c r="A156">
        <f t="shared" si="29"/>
        <v>0</v>
      </c>
      <c r="B156" s="2">
        <f t="shared" si="32"/>
        <v>15.410400000291702</v>
      </c>
      <c r="C156" s="2" t="e">
        <f t="shared" si="37"/>
        <v>#VALUE!</v>
      </c>
      <c r="D156" s="2">
        <f t="shared" si="33"/>
        <v>2.2802537000002303</v>
      </c>
      <c r="E156" s="2"/>
      <c r="F156">
        <v>2907.8837837000001</v>
      </c>
      <c r="G156" t="s">
        <v>37</v>
      </c>
      <c r="H156" t="s">
        <v>37</v>
      </c>
      <c r="I156" t="s">
        <v>37</v>
      </c>
      <c r="J156" t="s">
        <v>37</v>
      </c>
      <c r="K156" t="s">
        <v>37</v>
      </c>
      <c r="L156" t="s">
        <v>37</v>
      </c>
      <c r="M156" t="s">
        <v>37</v>
      </c>
      <c r="N156">
        <v>0</v>
      </c>
      <c r="O156">
        <v>0</v>
      </c>
      <c r="P156">
        <v>0</v>
      </c>
      <c r="Q156">
        <v>0</v>
      </c>
      <c r="R156">
        <v>3.1023782730102499E-2</v>
      </c>
      <c r="S156">
        <v>-5.0938224792480401E-3</v>
      </c>
      <c r="T156">
        <v>0</v>
      </c>
      <c r="U156" s="7">
        <v>167.00700000000001</v>
      </c>
      <c r="V156" s="7">
        <v>-0.44700000000000001</v>
      </c>
      <c r="W156" s="7">
        <v>-0.35599999999999998</v>
      </c>
      <c r="X156" s="7">
        <v>0.64300000000000002</v>
      </c>
      <c r="Y156" t="b">
        <v>1</v>
      </c>
      <c r="Z156">
        <v>79</v>
      </c>
      <c r="AA156">
        <f t="shared" si="30"/>
        <v>3.1023782730102498</v>
      </c>
      <c r="AB156">
        <f t="shared" si="34"/>
        <v>41.766538161283009</v>
      </c>
      <c r="AC156" t="e">
        <f t="shared" si="35"/>
        <v>#VALUE!</v>
      </c>
      <c r="AE156" s="2">
        <f t="shared" si="38"/>
        <v>3.1684000000041124E-2</v>
      </c>
      <c r="AF156" s="2">
        <f t="shared" si="39"/>
        <v>4.8688990000000558</v>
      </c>
      <c r="AG156">
        <v>2914.8671749</v>
      </c>
      <c r="AH156">
        <v>238.31161714285699</v>
      </c>
      <c r="AI156">
        <v>134.65620571428499</v>
      </c>
      <c r="AJ156" s="2">
        <f t="shared" si="36"/>
        <v>108.01642285714219</v>
      </c>
      <c r="AK156" s="2">
        <f t="shared" si="31"/>
        <v>121.17285535180829</v>
      </c>
      <c r="AL156" s="2">
        <f t="shared" si="40"/>
        <v>13.156432494666106</v>
      </c>
    </row>
    <row r="157" spans="1:38" x14ac:dyDescent="0.3">
      <c r="A157">
        <f t="shared" si="29"/>
        <v>0</v>
      </c>
      <c r="B157" s="2">
        <f t="shared" si="32"/>
        <v>15.490599999793631</v>
      </c>
      <c r="C157" s="2" t="e">
        <f t="shared" si="37"/>
        <v>#VALUE!</v>
      </c>
      <c r="D157" s="2">
        <f t="shared" si="33"/>
        <v>2.2957443000000239</v>
      </c>
      <c r="E157" s="2"/>
      <c r="F157">
        <v>2907.8992742999999</v>
      </c>
      <c r="G157" t="s">
        <v>37</v>
      </c>
      <c r="H157" t="s">
        <v>37</v>
      </c>
      <c r="I157" t="s">
        <v>37</v>
      </c>
      <c r="J157" t="s">
        <v>37</v>
      </c>
      <c r="K157" t="s">
        <v>37</v>
      </c>
      <c r="L157" t="s">
        <v>37</v>
      </c>
      <c r="M157" t="s">
        <v>37</v>
      </c>
      <c r="N157">
        <v>0</v>
      </c>
      <c r="O157">
        <v>0</v>
      </c>
      <c r="P157">
        <v>0</v>
      </c>
      <c r="Q157">
        <v>0</v>
      </c>
      <c r="R157">
        <v>3.1023782730102499E-2</v>
      </c>
      <c r="S157">
        <v>-5.0938224792480401E-3</v>
      </c>
      <c r="T157">
        <v>0</v>
      </c>
      <c r="U157" s="7">
        <v>167.00700000000001</v>
      </c>
      <c r="V157" s="7">
        <v>-0.44700000000000001</v>
      </c>
      <c r="W157" s="7">
        <v>-0.35599999999999998</v>
      </c>
      <c r="X157" s="7">
        <v>0.64300000000000002</v>
      </c>
      <c r="Y157" t="b">
        <v>1</v>
      </c>
      <c r="Z157">
        <v>79</v>
      </c>
      <c r="AA157">
        <f t="shared" si="30"/>
        <v>3.1023782730102498</v>
      </c>
      <c r="AB157">
        <f t="shared" si="34"/>
        <v>41.814595862158264</v>
      </c>
      <c r="AC157" t="e">
        <f t="shared" si="35"/>
        <v>#VALUE!</v>
      </c>
      <c r="AE157" s="2">
        <f t="shared" si="38"/>
        <v>3.115139999999883E-2</v>
      </c>
      <c r="AF157" s="2">
        <f t="shared" si="39"/>
        <v>4.9000504000000547</v>
      </c>
      <c r="AG157">
        <v>2914.8983263</v>
      </c>
      <c r="AH157">
        <v>239.00665714285699</v>
      </c>
      <c r="AI157">
        <v>136.65860571428499</v>
      </c>
      <c r="AJ157" s="2">
        <f t="shared" si="36"/>
        <v>110.01882285714218</v>
      </c>
      <c r="AK157" s="2">
        <f t="shared" si="31"/>
        <v>122.79267938949705</v>
      </c>
      <c r="AL157" s="2">
        <f t="shared" si="40"/>
        <v>12.77385653235487</v>
      </c>
    </row>
    <row r="158" spans="1:38" x14ac:dyDescent="0.3">
      <c r="A158">
        <f t="shared" si="29"/>
        <v>0</v>
      </c>
      <c r="B158" s="2">
        <f t="shared" si="32"/>
        <v>15.115800000330637</v>
      </c>
      <c r="C158" s="2" t="e">
        <f t="shared" si="37"/>
        <v>#VALUE!</v>
      </c>
      <c r="D158" s="2">
        <f t="shared" si="33"/>
        <v>2.3108601000003546</v>
      </c>
      <c r="E158" s="2"/>
      <c r="F158">
        <v>2907.9143901000002</v>
      </c>
      <c r="G158" t="s">
        <v>37</v>
      </c>
      <c r="H158" t="s">
        <v>37</v>
      </c>
      <c r="I158" t="s">
        <v>37</v>
      </c>
      <c r="J158" t="s">
        <v>37</v>
      </c>
      <c r="K158" t="s">
        <v>37</v>
      </c>
      <c r="L158" t="s">
        <v>37</v>
      </c>
      <c r="M158" t="s">
        <v>37</v>
      </c>
      <c r="N158">
        <v>0</v>
      </c>
      <c r="O158">
        <v>0</v>
      </c>
      <c r="P158">
        <v>0</v>
      </c>
      <c r="Q158">
        <v>0</v>
      </c>
      <c r="R158">
        <v>3.1023782730102499E-2</v>
      </c>
      <c r="S158">
        <v>-5.0938224792480401E-3</v>
      </c>
      <c r="T158">
        <v>0</v>
      </c>
      <c r="U158" s="7">
        <v>167.00700000000001</v>
      </c>
      <c r="V158" s="7">
        <v>-0.44700000000000001</v>
      </c>
      <c r="W158" s="7">
        <v>-0.35599999999999998</v>
      </c>
      <c r="X158" s="7">
        <v>0.64300000000000002</v>
      </c>
      <c r="Y158" t="b">
        <v>1</v>
      </c>
      <c r="Z158">
        <v>79</v>
      </c>
      <c r="AA158">
        <f t="shared" si="30"/>
        <v>3.1023782730102498</v>
      </c>
      <c r="AB158">
        <f t="shared" si="34"/>
        <v>41.861490791658454</v>
      </c>
      <c r="AC158" t="e">
        <f t="shared" si="35"/>
        <v>#VALUE!</v>
      </c>
      <c r="AE158" s="2">
        <f t="shared" si="38"/>
        <v>3.0990899999778776E-2</v>
      </c>
      <c r="AF158" s="2">
        <f t="shared" si="39"/>
        <v>4.9310412999998334</v>
      </c>
      <c r="AG158">
        <v>2914.9293171999998</v>
      </c>
      <c r="AH158">
        <v>239.690057142857</v>
      </c>
      <c r="AI158">
        <v>138.277365714285</v>
      </c>
      <c r="AJ158" s="2">
        <f t="shared" si="36"/>
        <v>111.63758285714219</v>
      </c>
      <c r="AK158" s="2">
        <f t="shared" si="31"/>
        <v>124.40866067367594</v>
      </c>
      <c r="AL158" s="2">
        <f t="shared" si="40"/>
        <v>12.771077816533747</v>
      </c>
    </row>
    <row r="159" spans="1:38" x14ac:dyDescent="0.3">
      <c r="A159">
        <f t="shared" si="29"/>
        <v>0</v>
      </c>
      <c r="B159" s="2">
        <f t="shared" si="32"/>
        <v>15.847499999836145</v>
      </c>
      <c r="C159" s="2" t="e">
        <f t="shared" si="37"/>
        <v>#VALUE!</v>
      </c>
      <c r="D159" s="2">
        <f t="shared" si="33"/>
        <v>2.3267076000001907</v>
      </c>
      <c r="E159" s="2"/>
      <c r="F159">
        <v>2907.9302376000001</v>
      </c>
      <c r="G159" t="s">
        <v>37</v>
      </c>
      <c r="H159" t="s">
        <v>37</v>
      </c>
      <c r="I159" t="s">
        <v>37</v>
      </c>
      <c r="J159" t="s">
        <v>37</v>
      </c>
      <c r="K159" t="s">
        <v>37</v>
      </c>
      <c r="L159" t="s">
        <v>37</v>
      </c>
      <c r="M159" t="s">
        <v>37</v>
      </c>
      <c r="N159">
        <v>0</v>
      </c>
      <c r="O159">
        <v>0</v>
      </c>
      <c r="P159">
        <v>0</v>
      </c>
      <c r="Q159">
        <v>0</v>
      </c>
      <c r="R159">
        <v>3.1023782730102499E-2</v>
      </c>
      <c r="S159">
        <v>-5.0938224792480401E-3</v>
      </c>
      <c r="T159">
        <v>0</v>
      </c>
      <c r="U159" s="7">
        <v>167.00700000000001</v>
      </c>
      <c r="V159" s="7">
        <v>-0.44700000000000001</v>
      </c>
      <c r="W159" s="7">
        <v>-0.35599999999999998</v>
      </c>
      <c r="X159" s="7">
        <v>0.64300000000000002</v>
      </c>
      <c r="Y159" t="b">
        <v>1</v>
      </c>
      <c r="Z159">
        <v>79</v>
      </c>
      <c r="AA159">
        <f t="shared" si="30"/>
        <v>3.1023782730102498</v>
      </c>
      <c r="AB159">
        <f t="shared" si="34"/>
        <v>41.910655731339475</v>
      </c>
      <c r="AC159" t="e">
        <f t="shared" si="35"/>
        <v>#VALUE!</v>
      </c>
      <c r="AE159" s="2">
        <f t="shared" si="38"/>
        <v>3.1660000000101718E-2</v>
      </c>
      <c r="AF159" s="2">
        <f t="shared" si="39"/>
        <v>4.9627012999999351</v>
      </c>
      <c r="AG159">
        <v>2914.9609771999999</v>
      </c>
      <c r="AH159">
        <v>240.391337142857</v>
      </c>
      <c r="AI159">
        <v>140.30596571428501</v>
      </c>
      <c r="AJ159" s="2">
        <f t="shared" si="36"/>
        <v>113.6661828571422</v>
      </c>
      <c r="AK159" s="2">
        <f t="shared" si="31"/>
        <v>126.06409176574266</v>
      </c>
      <c r="AL159" s="2">
        <f t="shared" si="40"/>
        <v>12.397908908600456</v>
      </c>
    </row>
    <row r="160" spans="1:38" x14ac:dyDescent="0.3">
      <c r="A160">
        <f t="shared" si="29"/>
        <v>0</v>
      </c>
      <c r="B160" s="2">
        <f t="shared" si="32"/>
        <v>15.532800000073621</v>
      </c>
      <c r="C160" s="2" t="e">
        <f t="shared" si="37"/>
        <v>#VALUE!</v>
      </c>
      <c r="D160" s="2">
        <f t="shared" si="33"/>
        <v>2.3422404000002643</v>
      </c>
      <c r="E160" s="2"/>
      <c r="F160">
        <v>2907.9457704000001</v>
      </c>
      <c r="G160" t="s">
        <v>37</v>
      </c>
      <c r="H160" t="s">
        <v>37</v>
      </c>
      <c r="I160" t="s">
        <v>37</v>
      </c>
      <c r="J160" t="s">
        <v>37</v>
      </c>
      <c r="K160" t="s">
        <v>37</v>
      </c>
      <c r="L160" t="s">
        <v>37</v>
      </c>
      <c r="M160" t="s">
        <v>37</v>
      </c>
      <c r="N160">
        <v>0</v>
      </c>
      <c r="O160">
        <v>0</v>
      </c>
      <c r="P160">
        <v>0</v>
      </c>
      <c r="Q160">
        <v>0</v>
      </c>
      <c r="R160">
        <v>3.1023782730102499E-2</v>
      </c>
      <c r="S160">
        <v>-5.0938224792480401E-3</v>
      </c>
      <c r="T160">
        <v>0</v>
      </c>
      <c r="U160" s="7">
        <v>167.00700000000001</v>
      </c>
      <c r="V160" s="7">
        <v>-0.44700000000000001</v>
      </c>
      <c r="W160" s="7">
        <v>-0.35599999999999998</v>
      </c>
      <c r="X160" s="7">
        <v>0.64300000000000002</v>
      </c>
      <c r="Y160" t="b">
        <v>1</v>
      </c>
      <c r="Z160">
        <v>79</v>
      </c>
      <c r="AA160">
        <f t="shared" si="30"/>
        <v>3.1023782730102498</v>
      </c>
      <c r="AB160">
        <f t="shared" si="34"/>
        <v>41.958844352578716</v>
      </c>
      <c r="AC160" t="e">
        <f t="shared" si="35"/>
        <v>#VALUE!</v>
      </c>
      <c r="AE160" s="2">
        <f t="shared" si="38"/>
        <v>3.0683800000133488E-2</v>
      </c>
      <c r="AF160" s="2">
        <f t="shared" si="39"/>
        <v>4.9933851000000686</v>
      </c>
      <c r="AG160">
        <v>2914.991661</v>
      </c>
      <c r="AH160">
        <v>241.09261714285699</v>
      </c>
      <c r="AI160">
        <v>142.318845714285</v>
      </c>
      <c r="AJ160" s="2">
        <f t="shared" si="36"/>
        <v>115.6790628571422</v>
      </c>
      <c r="AK160" s="2">
        <f t="shared" si="31"/>
        <v>127.67280461259843</v>
      </c>
      <c r="AL160" s="2">
        <f t="shared" si="40"/>
        <v>11.993741755456227</v>
      </c>
    </row>
    <row r="161" spans="1:38" x14ac:dyDescent="0.3">
      <c r="A161">
        <f t="shared" si="29"/>
        <v>0</v>
      </c>
      <c r="B161" s="2">
        <f t="shared" si="32"/>
        <v>15.47630000004574</v>
      </c>
      <c r="C161" s="2" t="e">
        <f t="shared" si="37"/>
        <v>#VALUE!</v>
      </c>
      <c r="D161" s="2">
        <f t="shared" si="33"/>
        <v>2.3577167000003101</v>
      </c>
      <c r="E161" s="2"/>
      <c r="F161">
        <v>2907.9612467000002</v>
      </c>
      <c r="G161" t="s">
        <v>37</v>
      </c>
      <c r="H161" t="s">
        <v>37</v>
      </c>
      <c r="I161" t="s">
        <v>37</v>
      </c>
      <c r="J161" t="s">
        <v>37</v>
      </c>
      <c r="K161" t="s">
        <v>37</v>
      </c>
      <c r="L161" t="s">
        <v>37</v>
      </c>
      <c r="M161" t="s">
        <v>37</v>
      </c>
      <c r="N161">
        <v>0</v>
      </c>
      <c r="O161">
        <v>0</v>
      </c>
      <c r="P161">
        <v>0</v>
      </c>
      <c r="Q161">
        <v>0</v>
      </c>
      <c r="R161">
        <v>6.0391483306884701E-2</v>
      </c>
      <c r="S161">
        <v>-4.8939933776855397E-2</v>
      </c>
      <c r="T161">
        <v>0</v>
      </c>
      <c r="U161" s="7">
        <v>166.886</v>
      </c>
      <c r="V161" s="7">
        <v>-0.35399999999999998</v>
      </c>
      <c r="W161" s="7">
        <v>-0.14399999999999999</v>
      </c>
      <c r="X161" s="7">
        <v>0.64200000000000002</v>
      </c>
      <c r="Y161" t="b">
        <v>1</v>
      </c>
      <c r="Z161">
        <v>79</v>
      </c>
      <c r="AA161">
        <f t="shared" si="30"/>
        <v>6.0391483306884703</v>
      </c>
      <c r="AB161">
        <f t="shared" si="34"/>
        <v>42.006857689445447</v>
      </c>
      <c r="AC161" t="e">
        <f t="shared" si="35"/>
        <v>#VALUE!</v>
      </c>
      <c r="AE161" s="2">
        <f t="shared" si="38"/>
        <v>3.1052400000135094E-2</v>
      </c>
      <c r="AF161" s="2">
        <f t="shared" si="39"/>
        <v>5.0244375000002037</v>
      </c>
      <c r="AG161">
        <v>2915.0227134000002</v>
      </c>
      <c r="AH161">
        <v>241.78405714285699</v>
      </c>
      <c r="AI161">
        <v>144.321245714285</v>
      </c>
      <c r="AJ161" s="2">
        <f t="shared" si="36"/>
        <v>117.68146285714219</v>
      </c>
      <c r="AK161" s="2">
        <f t="shared" si="31"/>
        <v>129.30510501703054</v>
      </c>
      <c r="AL161" s="2">
        <f t="shared" si="40"/>
        <v>11.623642159888348</v>
      </c>
    </row>
    <row r="162" spans="1:38" x14ac:dyDescent="0.3">
      <c r="A162">
        <f t="shared" si="29"/>
        <v>0</v>
      </c>
      <c r="B162" s="2">
        <f t="shared" si="32"/>
        <v>16.036799999710638</v>
      </c>
      <c r="C162" s="2" t="e">
        <f t="shared" si="37"/>
        <v>#VALUE!</v>
      </c>
      <c r="D162" s="2">
        <f t="shared" si="33"/>
        <v>2.3737535000000207</v>
      </c>
      <c r="E162" s="2"/>
      <c r="F162">
        <v>2907.9772834999999</v>
      </c>
      <c r="G162" t="s">
        <v>37</v>
      </c>
      <c r="H162" t="s">
        <v>37</v>
      </c>
      <c r="I162" t="s">
        <v>37</v>
      </c>
      <c r="J162" t="s">
        <v>37</v>
      </c>
      <c r="K162" t="s">
        <v>37</v>
      </c>
      <c r="L162" t="s">
        <v>37</v>
      </c>
      <c r="M162" t="s">
        <v>37</v>
      </c>
      <c r="N162">
        <v>0</v>
      </c>
      <c r="O162">
        <v>0</v>
      </c>
      <c r="P162">
        <v>0</v>
      </c>
      <c r="Q162">
        <v>0</v>
      </c>
      <c r="R162">
        <v>6.0391483306884701E-2</v>
      </c>
      <c r="S162">
        <v>-4.8939933776855397E-2</v>
      </c>
      <c r="T162">
        <v>0</v>
      </c>
      <c r="U162" s="7">
        <v>166.886</v>
      </c>
      <c r="V162" s="7">
        <v>-0.35399999999999998</v>
      </c>
      <c r="W162" s="7">
        <v>-0.14399999999999999</v>
      </c>
      <c r="X162" s="7">
        <v>0.64200000000000002</v>
      </c>
      <c r="Y162" t="b">
        <v>1</v>
      </c>
      <c r="Z162">
        <v>79</v>
      </c>
      <c r="AA162">
        <f t="shared" si="30"/>
        <v>6.0391483306884703</v>
      </c>
      <c r="AB162">
        <f t="shared" si="34"/>
        <v>42.103706303393281</v>
      </c>
      <c r="AC162" t="e">
        <f t="shared" si="35"/>
        <v>#VALUE!</v>
      </c>
      <c r="AE162" s="2">
        <f t="shared" si="38"/>
        <v>3.2001199999740493E-2</v>
      </c>
      <c r="AF162" s="2">
        <f t="shared" si="39"/>
        <v>5.0564386999999442</v>
      </c>
      <c r="AG162">
        <v>2915.0547145999999</v>
      </c>
      <c r="AH162">
        <v>242.46877714285699</v>
      </c>
      <c r="AI162">
        <v>145.91904571428501</v>
      </c>
      <c r="AJ162" s="2">
        <f t="shared" si="36"/>
        <v>119.2792628571422</v>
      </c>
      <c r="AK162" s="2">
        <f t="shared" si="31"/>
        <v>130.99169148748769</v>
      </c>
      <c r="AL162" s="2">
        <f t="shared" si="40"/>
        <v>11.712428630345485</v>
      </c>
    </row>
    <row r="163" spans="1:38" x14ac:dyDescent="0.3">
      <c r="A163">
        <f t="shared" si="29"/>
        <v>0</v>
      </c>
      <c r="B163" s="2">
        <f t="shared" si="32"/>
        <v>15.385700000024372</v>
      </c>
      <c r="C163" s="2" t="e">
        <f t="shared" si="37"/>
        <v>#VALUE!</v>
      </c>
      <c r="D163" s="2">
        <f t="shared" si="33"/>
        <v>2.3891392000000451</v>
      </c>
      <c r="E163" s="2"/>
      <c r="F163">
        <v>2907.9926691999999</v>
      </c>
      <c r="G163" t="s">
        <v>37</v>
      </c>
      <c r="H163" t="s">
        <v>37</v>
      </c>
      <c r="I163" t="s">
        <v>37</v>
      </c>
      <c r="J163" t="s">
        <v>37</v>
      </c>
      <c r="K163" t="s">
        <v>37</v>
      </c>
      <c r="L163" t="s">
        <v>37</v>
      </c>
      <c r="M163" t="s">
        <v>37</v>
      </c>
      <c r="N163">
        <v>0</v>
      </c>
      <c r="O163">
        <v>0</v>
      </c>
      <c r="P163">
        <v>0</v>
      </c>
      <c r="Q163">
        <v>0</v>
      </c>
      <c r="R163">
        <v>6.0391483306884701E-2</v>
      </c>
      <c r="S163">
        <v>-4.8939933776855397E-2</v>
      </c>
      <c r="T163">
        <v>0</v>
      </c>
      <c r="U163" s="7">
        <v>166.886</v>
      </c>
      <c r="V163" s="7">
        <v>-0.35399999999999998</v>
      </c>
      <c r="W163" s="7">
        <v>-0.14399999999999999</v>
      </c>
      <c r="X163" s="7">
        <v>0.64200000000000002</v>
      </c>
      <c r="Y163" t="b">
        <v>1</v>
      </c>
      <c r="Z163">
        <v>79</v>
      </c>
      <c r="AA163">
        <f t="shared" si="30"/>
        <v>6.0391483306884703</v>
      </c>
      <c r="AB163">
        <f t="shared" si="34"/>
        <v>42.1966228278649</v>
      </c>
      <c r="AC163" t="e">
        <f t="shared" si="35"/>
        <v>#VALUE!</v>
      </c>
      <c r="AE163" s="2">
        <f t="shared" si="38"/>
        <v>3.1291600000258768E-2</v>
      </c>
      <c r="AF163" s="2">
        <f t="shared" si="39"/>
        <v>5.087730300000203</v>
      </c>
      <c r="AG163">
        <v>2915.0860062000002</v>
      </c>
      <c r="AH163">
        <v>243.133817142857</v>
      </c>
      <c r="AI163">
        <v>147.553525714285</v>
      </c>
      <c r="AJ163" s="2">
        <f t="shared" si="36"/>
        <v>120.9137428571422</v>
      </c>
      <c r="AK163" s="2">
        <f t="shared" si="31"/>
        <v>132.64513658928604</v>
      </c>
      <c r="AL163" s="2">
        <f t="shared" si="40"/>
        <v>11.731393732143843</v>
      </c>
    </row>
    <row r="164" spans="1:38" x14ac:dyDescent="0.3">
      <c r="A164">
        <f t="shared" si="29"/>
        <v>0</v>
      </c>
      <c r="B164" s="2">
        <f t="shared" si="32"/>
        <v>15.286600000308681</v>
      </c>
      <c r="C164" s="2" t="e">
        <f t="shared" si="37"/>
        <v>#VALUE!</v>
      </c>
      <c r="D164" s="2">
        <f t="shared" si="33"/>
        <v>2.4044258000003538</v>
      </c>
      <c r="E164" s="2"/>
      <c r="F164">
        <v>2908.0079558000002</v>
      </c>
      <c r="G164" t="s">
        <v>37</v>
      </c>
      <c r="H164" t="s">
        <v>37</v>
      </c>
      <c r="I164" t="s">
        <v>37</v>
      </c>
      <c r="J164" t="s">
        <v>37</v>
      </c>
      <c r="K164" t="s">
        <v>37</v>
      </c>
      <c r="L164" t="s">
        <v>37</v>
      </c>
      <c r="M164" t="s">
        <v>37</v>
      </c>
      <c r="N164">
        <v>0</v>
      </c>
      <c r="O164">
        <v>0</v>
      </c>
      <c r="P164">
        <v>0</v>
      </c>
      <c r="Q164">
        <v>0</v>
      </c>
      <c r="R164">
        <v>6.0391483306884701E-2</v>
      </c>
      <c r="S164">
        <v>-4.8939933776855397E-2</v>
      </c>
      <c r="T164">
        <v>0</v>
      </c>
      <c r="U164" s="7">
        <v>166.886</v>
      </c>
      <c r="V164" s="7">
        <v>-0.35399999999999998</v>
      </c>
      <c r="W164" s="7">
        <v>-0.14399999999999999</v>
      </c>
      <c r="X164" s="7">
        <v>0.64200000000000002</v>
      </c>
      <c r="Y164" t="b">
        <v>1</v>
      </c>
      <c r="Z164">
        <v>79</v>
      </c>
      <c r="AA164">
        <f t="shared" si="30"/>
        <v>6.0391483306884703</v>
      </c>
      <c r="AB164">
        <f t="shared" si="34"/>
        <v>42.288940872738664</v>
      </c>
      <c r="AC164" t="e">
        <f t="shared" si="35"/>
        <v>#VALUE!</v>
      </c>
      <c r="AE164" s="2">
        <f t="shared" si="38"/>
        <v>3.1347699999969336E-2</v>
      </c>
      <c r="AF164" s="2">
        <f t="shared" si="39"/>
        <v>5.1190780000001723</v>
      </c>
      <c r="AG164">
        <v>2915.1173539000001</v>
      </c>
      <c r="AH164">
        <v>243.805577142857</v>
      </c>
      <c r="AI164">
        <v>149.57164571428501</v>
      </c>
      <c r="AJ164" s="2">
        <f t="shared" si="36"/>
        <v>122.93186285714221</v>
      </c>
      <c r="AK164" s="2">
        <f t="shared" si="31"/>
        <v>134.30569579287328</v>
      </c>
      <c r="AL164" s="2">
        <f t="shared" si="40"/>
        <v>11.373832935731073</v>
      </c>
    </row>
    <row r="165" spans="1:38" x14ac:dyDescent="0.3">
      <c r="A165">
        <f t="shared" si="29"/>
        <v>0</v>
      </c>
      <c r="B165" s="2">
        <f t="shared" si="32"/>
        <v>15.630299999884301</v>
      </c>
      <c r="C165" s="2" t="e">
        <f t="shared" si="37"/>
        <v>#VALUE!</v>
      </c>
      <c r="D165" s="2">
        <f t="shared" si="33"/>
        <v>2.4200561000002381</v>
      </c>
      <c r="E165" s="2"/>
      <c r="F165">
        <v>2908.0235861000001</v>
      </c>
      <c r="G165" t="s">
        <v>37</v>
      </c>
      <c r="H165" t="s">
        <v>37</v>
      </c>
      <c r="I165" t="s">
        <v>37</v>
      </c>
      <c r="J165" t="s">
        <v>37</v>
      </c>
      <c r="K165" t="s">
        <v>37</v>
      </c>
      <c r="L165" t="s">
        <v>37</v>
      </c>
      <c r="M165" t="s">
        <v>37</v>
      </c>
      <c r="N165">
        <v>0</v>
      </c>
      <c r="O165">
        <v>0</v>
      </c>
      <c r="P165">
        <v>0</v>
      </c>
      <c r="Q165">
        <v>0</v>
      </c>
      <c r="R165">
        <v>4.6241264343261701E-2</v>
      </c>
      <c r="S165">
        <v>-4.9162559509277302E-2</v>
      </c>
      <c r="T165">
        <v>0</v>
      </c>
      <c r="U165" s="7">
        <v>166.864</v>
      </c>
      <c r="V165" s="7">
        <v>0.216</v>
      </c>
      <c r="W165" s="7">
        <v>0.83799999999999997</v>
      </c>
      <c r="X165" s="7">
        <v>0.64300000000000002</v>
      </c>
      <c r="Y165" t="b">
        <v>1</v>
      </c>
      <c r="Z165">
        <v>79</v>
      </c>
      <c r="AA165">
        <f t="shared" si="30"/>
        <v>4.6241264343261701</v>
      </c>
      <c r="AB165">
        <f t="shared" si="34"/>
        <v>42.383334572891123</v>
      </c>
      <c r="AC165" t="e">
        <f t="shared" si="35"/>
        <v>#VALUE!</v>
      </c>
      <c r="AE165" s="2">
        <f t="shared" si="38"/>
        <v>3.1229899999743793E-2</v>
      </c>
      <c r="AF165" s="2">
        <f t="shared" si="39"/>
        <v>5.1503078999999161</v>
      </c>
      <c r="AG165">
        <v>2915.1485837999999</v>
      </c>
      <c r="AH165">
        <v>244.501937142857</v>
      </c>
      <c r="AI165">
        <v>151.553085714285</v>
      </c>
      <c r="AJ165" s="2">
        <f t="shared" si="36"/>
        <v>124.9133028571422</v>
      </c>
      <c r="AK165" s="2">
        <f t="shared" si="31"/>
        <v>135.96407597359357</v>
      </c>
      <c r="AL165" s="2">
        <f t="shared" si="40"/>
        <v>11.050773116451367</v>
      </c>
    </row>
    <row r="166" spans="1:38" x14ac:dyDescent="0.3">
      <c r="A166">
        <f t="shared" si="29"/>
        <v>0</v>
      </c>
      <c r="B166" s="2">
        <f t="shared" si="32"/>
        <v>15.281200000117678</v>
      </c>
      <c r="C166" s="2" t="e">
        <f t="shared" si="37"/>
        <v>#VALUE!</v>
      </c>
      <c r="D166" s="2">
        <f t="shared" si="33"/>
        <v>2.4353373000003558</v>
      </c>
      <c r="E166" s="2"/>
      <c r="F166">
        <v>2908.0388673000002</v>
      </c>
      <c r="G166" t="s">
        <v>37</v>
      </c>
      <c r="H166" t="s">
        <v>37</v>
      </c>
      <c r="I166" t="s">
        <v>37</v>
      </c>
      <c r="J166" t="s">
        <v>37</v>
      </c>
      <c r="K166" t="s">
        <v>37</v>
      </c>
      <c r="L166" t="s">
        <v>37</v>
      </c>
      <c r="M166" t="s">
        <v>37</v>
      </c>
      <c r="N166">
        <v>0</v>
      </c>
      <c r="O166">
        <v>0</v>
      </c>
      <c r="P166">
        <v>0</v>
      </c>
      <c r="Q166">
        <v>0</v>
      </c>
      <c r="R166">
        <v>4.6241264343261701E-2</v>
      </c>
      <c r="S166">
        <v>-4.9162559509277302E-2</v>
      </c>
      <c r="T166">
        <v>0</v>
      </c>
      <c r="U166" s="7">
        <v>166.864</v>
      </c>
      <c r="V166" s="7">
        <v>0.216</v>
      </c>
      <c r="W166" s="7">
        <v>0.83799999999999997</v>
      </c>
      <c r="X166" s="7">
        <v>0.64300000000000002</v>
      </c>
      <c r="Y166" t="b">
        <v>1</v>
      </c>
      <c r="Z166">
        <v>79</v>
      </c>
      <c r="AA166">
        <f t="shared" si="30"/>
        <v>4.6241264343261701</v>
      </c>
      <c r="AB166">
        <f t="shared" si="34"/>
        <v>42.45399677375989</v>
      </c>
      <c r="AC166" t="e">
        <f t="shared" si="35"/>
        <v>#VALUE!</v>
      </c>
      <c r="AE166" s="2">
        <f t="shared" si="38"/>
        <v>3.0569500000183325E-2</v>
      </c>
      <c r="AF166" s="2">
        <f t="shared" si="39"/>
        <v>5.1808774000000994</v>
      </c>
      <c r="AG166">
        <v>2915.1791533000001</v>
      </c>
      <c r="AH166">
        <v>245.193377142857</v>
      </c>
      <c r="AI166">
        <v>153.565965714285</v>
      </c>
      <c r="AJ166" s="2">
        <f t="shared" si="36"/>
        <v>126.92618285714219</v>
      </c>
      <c r="AK166" s="2">
        <f t="shared" si="31"/>
        <v>137.5912480875601</v>
      </c>
      <c r="AL166" s="2">
        <f t="shared" si="40"/>
        <v>10.665065230417909</v>
      </c>
    </row>
    <row r="167" spans="1:38" x14ac:dyDescent="0.3">
      <c r="A167">
        <f t="shared" si="29"/>
        <v>0</v>
      </c>
      <c r="B167" s="2">
        <f t="shared" si="32"/>
        <v>15.77739999993355</v>
      </c>
      <c r="C167" s="2" t="e">
        <f t="shared" si="37"/>
        <v>#VALUE!</v>
      </c>
      <c r="D167" s="2">
        <f t="shared" si="33"/>
        <v>2.4511147000002893</v>
      </c>
      <c r="E167" s="2"/>
      <c r="F167">
        <v>2908.0546447000002</v>
      </c>
      <c r="G167" t="s">
        <v>37</v>
      </c>
      <c r="H167" t="s">
        <v>37</v>
      </c>
      <c r="I167" t="s">
        <v>37</v>
      </c>
      <c r="J167" t="s">
        <v>37</v>
      </c>
      <c r="K167" t="s">
        <v>37</v>
      </c>
      <c r="L167" t="s">
        <v>37</v>
      </c>
      <c r="M167" t="s">
        <v>37</v>
      </c>
      <c r="N167">
        <v>0</v>
      </c>
      <c r="O167">
        <v>0</v>
      </c>
      <c r="P167">
        <v>0</v>
      </c>
      <c r="Q167">
        <v>0</v>
      </c>
      <c r="R167">
        <v>4.6241264343261701E-2</v>
      </c>
      <c r="S167">
        <v>-4.9162559509277302E-2</v>
      </c>
      <c r="T167">
        <v>0</v>
      </c>
      <c r="U167" s="7">
        <v>166.864</v>
      </c>
      <c r="V167" s="7">
        <v>0.216</v>
      </c>
      <c r="W167" s="7">
        <v>0.83799999999999997</v>
      </c>
      <c r="X167" s="7">
        <v>0.64300000000000002</v>
      </c>
      <c r="Y167" t="b">
        <v>1</v>
      </c>
      <c r="Z167">
        <v>79</v>
      </c>
      <c r="AA167">
        <f t="shared" si="30"/>
        <v>4.6241264343261701</v>
      </c>
      <c r="AB167">
        <f t="shared" si="34"/>
        <v>42.526953466164521</v>
      </c>
      <c r="AC167" t="e">
        <f t="shared" si="35"/>
        <v>#VALUE!</v>
      </c>
      <c r="AE167" s="2">
        <f t="shared" si="38"/>
        <v>4.6068199999808712E-2</v>
      </c>
      <c r="AF167" s="2">
        <f t="shared" si="39"/>
        <v>5.2269455999999082</v>
      </c>
      <c r="AG167">
        <v>2915.2252214999999</v>
      </c>
      <c r="AH167">
        <v>245.899577142857</v>
      </c>
      <c r="AI167">
        <v>155.531685714285</v>
      </c>
      <c r="AJ167" s="2">
        <f t="shared" si="36"/>
        <v>128.89190285714221</v>
      </c>
      <c r="AK167" s="2">
        <f t="shared" si="31"/>
        <v>140.05047128726846</v>
      </c>
      <c r="AL167" s="2">
        <f t="shared" si="40"/>
        <v>11.158568430126252</v>
      </c>
    </row>
    <row r="168" spans="1:38" x14ac:dyDescent="0.3">
      <c r="A168">
        <f t="shared" si="29"/>
        <v>0</v>
      </c>
      <c r="B168" s="2">
        <f t="shared" si="32"/>
        <v>15.599199999996927</v>
      </c>
      <c r="C168" s="2" t="e">
        <f t="shared" si="37"/>
        <v>#VALUE!</v>
      </c>
      <c r="D168" s="2">
        <f t="shared" si="33"/>
        <v>2.4667139000002862</v>
      </c>
      <c r="E168" s="2"/>
      <c r="F168">
        <v>2908.0702439000002</v>
      </c>
      <c r="G168" t="s">
        <v>37</v>
      </c>
      <c r="H168" t="s">
        <v>37</v>
      </c>
      <c r="I168" t="s">
        <v>37</v>
      </c>
      <c r="J168" t="s">
        <v>37</v>
      </c>
      <c r="K168" t="s">
        <v>37</v>
      </c>
      <c r="L168" t="s">
        <v>37</v>
      </c>
      <c r="M168" t="s">
        <v>37</v>
      </c>
      <c r="N168">
        <v>0</v>
      </c>
      <c r="O168">
        <v>0</v>
      </c>
      <c r="P168">
        <v>0</v>
      </c>
      <c r="Q168">
        <v>0</v>
      </c>
      <c r="R168">
        <v>4.6241264343261701E-2</v>
      </c>
      <c r="S168">
        <v>-4.9162559509277302E-2</v>
      </c>
      <c r="T168">
        <v>0</v>
      </c>
      <c r="U168" s="7">
        <v>166.864</v>
      </c>
      <c r="V168" s="7">
        <v>0.216</v>
      </c>
      <c r="W168" s="7">
        <v>0.83799999999999997</v>
      </c>
      <c r="X168" s="7">
        <v>0.64300000000000002</v>
      </c>
      <c r="Y168" t="b">
        <v>1</v>
      </c>
      <c r="Z168">
        <v>79</v>
      </c>
      <c r="AA168">
        <f t="shared" si="30"/>
        <v>4.6241264343261701</v>
      </c>
      <c r="AB168">
        <f t="shared" si="34"/>
        <v>42.59908613923885</v>
      </c>
      <c r="AC168" t="e">
        <f t="shared" si="35"/>
        <v>#VALUE!</v>
      </c>
      <c r="AE168" s="2">
        <f t="shared" si="38"/>
        <v>1.5468300000065938E-2</v>
      </c>
      <c r="AF168" s="2">
        <f t="shared" si="39"/>
        <v>5.2424138999999741</v>
      </c>
      <c r="AG168">
        <v>2915.2406897999999</v>
      </c>
      <c r="AH168">
        <v>246.58405714285701</v>
      </c>
      <c r="AI168">
        <v>157.988165714285</v>
      </c>
      <c r="AJ168" s="2">
        <f t="shared" si="36"/>
        <v>131.34838285714221</v>
      </c>
      <c r="AK168" s="2">
        <f t="shared" si="31"/>
        <v>140.87808026296551</v>
      </c>
      <c r="AL168" s="2">
        <f t="shared" si="40"/>
        <v>9.5296974058232991</v>
      </c>
    </row>
    <row r="169" spans="1:38" x14ac:dyDescent="0.3">
      <c r="A169">
        <f t="shared" si="29"/>
        <v>0</v>
      </c>
      <c r="B169" s="2">
        <f t="shared" si="32"/>
        <v>15.345499999966705</v>
      </c>
      <c r="C169" s="2" t="e">
        <f t="shared" si="37"/>
        <v>#VALUE!</v>
      </c>
      <c r="D169" s="2">
        <f t="shared" si="33"/>
        <v>2.4820594000002529</v>
      </c>
      <c r="E169" s="2"/>
      <c r="F169">
        <v>2908.0855894000001</v>
      </c>
      <c r="G169" t="s">
        <v>37</v>
      </c>
      <c r="H169" t="s">
        <v>37</v>
      </c>
      <c r="I169" t="s">
        <v>37</v>
      </c>
      <c r="J169" t="s">
        <v>37</v>
      </c>
      <c r="K169" t="s">
        <v>37</v>
      </c>
      <c r="L169" t="s">
        <v>37</v>
      </c>
      <c r="M169" t="s">
        <v>37</v>
      </c>
      <c r="N169">
        <v>0</v>
      </c>
      <c r="O169">
        <v>0</v>
      </c>
      <c r="P169">
        <v>0</v>
      </c>
      <c r="Q169">
        <v>0</v>
      </c>
      <c r="R169">
        <v>2.1640785217285099E-2</v>
      </c>
      <c r="S169">
        <v>-2.97104911804199E-2</v>
      </c>
      <c r="T169">
        <v>0</v>
      </c>
      <c r="U169" s="7">
        <v>166.786</v>
      </c>
      <c r="V169" s="7">
        <v>0.61099999999999999</v>
      </c>
      <c r="W169" s="7">
        <v>1.8560000000000001</v>
      </c>
      <c r="X169" s="7">
        <v>0.64800000000000002</v>
      </c>
      <c r="Y169" t="b">
        <v>1</v>
      </c>
      <c r="Z169">
        <v>79</v>
      </c>
      <c r="AA169">
        <f t="shared" si="30"/>
        <v>2.1640785217285097</v>
      </c>
      <c r="AB169">
        <f t="shared" si="34"/>
        <v>42.670045671436647</v>
      </c>
      <c r="AC169" t="e">
        <f t="shared" si="35"/>
        <v>#VALUE!</v>
      </c>
      <c r="AE169" s="2">
        <f t="shared" si="38"/>
        <v>4.5672199999899021E-2</v>
      </c>
      <c r="AF169" s="2">
        <f t="shared" si="39"/>
        <v>5.2880860999998731</v>
      </c>
      <c r="AG169">
        <v>2915.2863619999998</v>
      </c>
      <c r="AH169">
        <v>247.25089714285701</v>
      </c>
      <c r="AI169">
        <v>159.96436571428501</v>
      </c>
      <c r="AJ169" s="2">
        <f t="shared" si="36"/>
        <v>133.32458285714222</v>
      </c>
      <c r="AK169" s="2">
        <f t="shared" si="31"/>
        <v>143.32710558869977</v>
      </c>
      <c r="AL169" s="2">
        <f t="shared" si="40"/>
        <v>10.002522731557548</v>
      </c>
    </row>
    <row r="170" spans="1:38" x14ac:dyDescent="0.3">
      <c r="A170">
        <f t="shared" si="29"/>
        <v>0</v>
      </c>
      <c r="B170" s="2">
        <f t="shared" si="32"/>
        <v>15.591800000038347</v>
      </c>
      <c r="C170" s="2" t="e">
        <f t="shared" si="37"/>
        <v>#VALUE!</v>
      </c>
      <c r="D170" s="2">
        <f t="shared" si="33"/>
        <v>2.4976512000002913</v>
      </c>
      <c r="E170" s="2"/>
      <c r="F170">
        <v>2908.1011812000002</v>
      </c>
      <c r="G170" t="s">
        <v>37</v>
      </c>
      <c r="H170" t="s">
        <v>37</v>
      </c>
      <c r="I170" t="s">
        <v>37</v>
      </c>
      <c r="J170" t="s">
        <v>37</v>
      </c>
      <c r="K170" t="s">
        <v>37</v>
      </c>
      <c r="L170" t="s">
        <v>37</v>
      </c>
      <c r="M170" t="s">
        <v>37</v>
      </c>
      <c r="N170">
        <v>0</v>
      </c>
      <c r="O170">
        <v>0</v>
      </c>
      <c r="P170">
        <v>0</v>
      </c>
      <c r="Q170">
        <v>0</v>
      </c>
      <c r="R170">
        <v>2.1640785217285099E-2</v>
      </c>
      <c r="S170">
        <v>-2.97104911804199E-2</v>
      </c>
      <c r="T170">
        <v>0</v>
      </c>
      <c r="U170" s="7">
        <v>166.786</v>
      </c>
      <c r="V170" s="7">
        <v>0.61099999999999999</v>
      </c>
      <c r="W170" s="7">
        <v>1.8560000000000001</v>
      </c>
      <c r="X170" s="7">
        <v>0.64800000000000002</v>
      </c>
      <c r="Y170" t="b">
        <v>1</v>
      </c>
      <c r="Z170">
        <v>79</v>
      </c>
      <c r="AA170">
        <f t="shared" si="30"/>
        <v>2.1640785217285097</v>
      </c>
      <c r="AB170">
        <f t="shared" si="34"/>
        <v>42.703787550931814</v>
      </c>
      <c r="AC170" t="e">
        <f t="shared" si="35"/>
        <v>#VALUE!</v>
      </c>
      <c r="AE170" s="2">
        <f t="shared" si="38"/>
        <v>3.1191600000056496E-2</v>
      </c>
      <c r="AF170" s="2">
        <f t="shared" si="39"/>
        <v>5.3192776999999296</v>
      </c>
      <c r="AG170">
        <v>2915.3175535999999</v>
      </c>
      <c r="AH170">
        <v>247.898057142857</v>
      </c>
      <c r="AI170">
        <v>161.945805714285</v>
      </c>
      <c r="AJ170" s="2">
        <f t="shared" si="36"/>
        <v>135.30602285714221</v>
      </c>
      <c r="AK170" s="2">
        <f t="shared" si="31"/>
        <v>145.00421569463322</v>
      </c>
      <c r="AL170" s="2">
        <f t="shared" si="40"/>
        <v>9.6981928374910069</v>
      </c>
    </row>
    <row r="171" spans="1:38" x14ac:dyDescent="0.3">
      <c r="A171">
        <f t="shared" si="29"/>
        <v>0</v>
      </c>
      <c r="B171" s="2">
        <f t="shared" si="32"/>
        <v>15.214799999739625</v>
      </c>
      <c r="C171" s="2" t="e">
        <f t="shared" si="37"/>
        <v>#VALUE!</v>
      </c>
      <c r="D171" s="2">
        <f t="shared" si="33"/>
        <v>2.5128660000000309</v>
      </c>
      <c r="E171" s="2"/>
      <c r="F171">
        <v>2908.1163959999999</v>
      </c>
      <c r="G171" t="s">
        <v>37</v>
      </c>
      <c r="H171" t="s">
        <v>37</v>
      </c>
      <c r="I171" t="s">
        <v>37</v>
      </c>
      <c r="J171" t="s">
        <v>37</v>
      </c>
      <c r="K171" t="s">
        <v>37</v>
      </c>
      <c r="L171" t="s">
        <v>37</v>
      </c>
      <c r="M171" t="s">
        <v>37</v>
      </c>
      <c r="N171">
        <v>0</v>
      </c>
      <c r="O171">
        <v>0</v>
      </c>
      <c r="P171">
        <v>0</v>
      </c>
      <c r="Q171">
        <v>0</v>
      </c>
      <c r="R171">
        <v>2.1640785217285099E-2</v>
      </c>
      <c r="S171">
        <v>-2.97104911804199E-2</v>
      </c>
      <c r="T171">
        <v>0</v>
      </c>
      <c r="U171" s="7">
        <v>166.786</v>
      </c>
      <c r="V171" s="7">
        <v>0.61099999999999999</v>
      </c>
      <c r="W171" s="7">
        <v>1.8560000000000001</v>
      </c>
      <c r="X171" s="7">
        <v>0.64800000000000002</v>
      </c>
      <c r="Y171" t="b">
        <v>1</v>
      </c>
      <c r="Z171">
        <v>79</v>
      </c>
      <c r="AA171">
        <f t="shared" si="30"/>
        <v>2.1640785217285097</v>
      </c>
      <c r="AB171">
        <f t="shared" si="34"/>
        <v>42.736713572823646</v>
      </c>
      <c r="AC171" t="e">
        <f t="shared" si="35"/>
        <v>#VALUE!</v>
      </c>
      <c r="AE171" s="2">
        <f t="shared" si="38"/>
        <v>3.1109500000184198E-2</v>
      </c>
      <c r="AF171" s="2">
        <f t="shared" si="39"/>
        <v>5.3503872000001138</v>
      </c>
      <c r="AG171">
        <v>2915.3486631000001</v>
      </c>
      <c r="AH171">
        <v>248.53537714285699</v>
      </c>
      <c r="AI171">
        <v>163.92200571428501</v>
      </c>
      <c r="AJ171" s="2">
        <f t="shared" si="36"/>
        <v>137.28222285714222</v>
      </c>
      <c r="AK171" s="2">
        <f t="shared" si="31"/>
        <v>146.68052740275866</v>
      </c>
      <c r="AL171" s="2">
        <f t="shared" si="40"/>
        <v>9.3983045456164405</v>
      </c>
    </row>
    <row r="172" spans="1:38" x14ac:dyDescent="0.3">
      <c r="A172">
        <f t="shared" si="29"/>
        <v>0</v>
      </c>
      <c r="B172" s="2">
        <f t="shared" si="32"/>
        <v>16.253700000106619</v>
      </c>
      <c r="C172" s="2" t="e">
        <f t="shared" si="37"/>
        <v>#VALUE!</v>
      </c>
      <c r="D172" s="2">
        <f t="shared" si="33"/>
        <v>2.5291197000001375</v>
      </c>
      <c r="E172" s="2"/>
      <c r="F172">
        <v>2908.1326497</v>
      </c>
      <c r="G172" t="s">
        <v>37</v>
      </c>
      <c r="H172" t="s">
        <v>37</v>
      </c>
      <c r="I172" t="s">
        <v>37</v>
      </c>
      <c r="J172" t="s">
        <v>37</v>
      </c>
      <c r="K172" t="s">
        <v>37</v>
      </c>
      <c r="L172" t="s">
        <v>37</v>
      </c>
      <c r="M172" t="s">
        <v>37</v>
      </c>
      <c r="N172">
        <v>0</v>
      </c>
      <c r="O172">
        <v>0</v>
      </c>
      <c r="P172">
        <v>0</v>
      </c>
      <c r="Q172">
        <v>0</v>
      </c>
      <c r="R172">
        <v>2.1640785217285099E-2</v>
      </c>
      <c r="S172">
        <v>-2.97104911804199E-2</v>
      </c>
      <c r="T172">
        <v>0</v>
      </c>
      <c r="U172" s="7">
        <v>166.786</v>
      </c>
      <c r="V172" s="7">
        <v>0.61099999999999999</v>
      </c>
      <c r="W172" s="7">
        <v>1.8560000000000001</v>
      </c>
      <c r="X172" s="7">
        <v>0.64800000000000002</v>
      </c>
      <c r="Y172" t="b">
        <v>1</v>
      </c>
      <c r="Z172">
        <v>79</v>
      </c>
      <c r="AA172">
        <f t="shared" si="30"/>
        <v>2.1640785217285097</v>
      </c>
      <c r="AB172">
        <f t="shared" si="34"/>
        <v>42.771887855892494</v>
      </c>
      <c r="AC172" t="e">
        <f t="shared" si="35"/>
        <v>#VALUE!</v>
      </c>
      <c r="AE172" s="2">
        <f t="shared" si="38"/>
        <v>3.097170000000915E-2</v>
      </c>
      <c r="AF172" s="2">
        <f t="shared" si="39"/>
        <v>5.381358900000123</v>
      </c>
      <c r="AG172">
        <v>2915.3796348000001</v>
      </c>
      <c r="AH172">
        <v>249.14677714285699</v>
      </c>
      <c r="AI172">
        <v>165.872005714285</v>
      </c>
      <c r="AJ172" s="2">
        <f t="shared" si="36"/>
        <v>139.2322228571422</v>
      </c>
      <c r="AK172" s="2">
        <f t="shared" si="31"/>
        <v>148.35294153759111</v>
      </c>
      <c r="AL172" s="2">
        <f t="shared" si="40"/>
        <v>9.1207186804489027</v>
      </c>
    </row>
    <row r="173" spans="1:38" x14ac:dyDescent="0.3">
      <c r="A173">
        <f t="shared" si="29"/>
        <v>0</v>
      </c>
      <c r="B173" s="2">
        <f t="shared" si="32"/>
        <v>16.034400000080495</v>
      </c>
      <c r="C173" s="2" t="e">
        <f t="shared" si="37"/>
        <v>#VALUE!</v>
      </c>
      <c r="D173" s="2">
        <f t="shared" si="33"/>
        <v>2.545154100000218</v>
      </c>
      <c r="E173" s="2"/>
      <c r="F173">
        <v>2908.1486841000001</v>
      </c>
      <c r="G173" t="s">
        <v>37</v>
      </c>
      <c r="H173" t="s">
        <v>37</v>
      </c>
      <c r="I173" t="s">
        <v>37</v>
      </c>
      <c r="J173" t="s">
        <v>37</v>
      </c>
      <c r="K173" t="s">
        <v>37</v>
      </c>
      <c r="L173" t="s">
        <v>37</v>
      </c>
      <c r="M173" t="s">
        <v>37</v>
      </c>
      <c r="N173">
        <v>0</v>
      </c>
      <c r="O173">
        <v>0</v>
      </c>
      <c r="P173">
        <v>0</v>
      </c>
      <c r="Q173">
        <v>0</v>
      </c>
      <c r="R173">
        <v>1.8436088562011701E-2</v>
      </c>
      <c r="S173">
        <v>-8.5679197311401296E-3</v>
      </c>
      <c r="T173">
        <v>0</v>
      </c>
      <c r="U173" s="7">
        <v>166.74199999999999</v>
      </c>
      <c r="V173" s="7">
        <v>0.67600000000000005</v>
      </c>
      <c r="W173" s="7">
        <v>2.44</v>
      </c>
      <c r="X173" s="7">
        <v>0.65</v>
      </c>
      <c r="Y173" t="b">
        <v>1</v>
      </c>
      <c r="Z173">
        <v>79</v>
      </c>
      <c r="AA173">
        <f t="shared" si="30"/>
        <v>1.8436088562011701</v>
      </c>
      <c r="AB173">
        <f t="shared" si="34"/>
        <v>42.806587556541473</v>
      </c>
      <c r="AC173" t="e">
        <f t="shared" si="35"/>
        <v>#VALUE!</v>
      </c>
      <c r="AE173" s="2">
        <f t="shared" si="38"/>
        <v>4.6042999999826861E-2</v>
      </c>
      <c r="AF173" s="2">
        <f t="shared" si="39"/>
        <v>5.4274018999999498</v>
      </c>
      <c r="AG173">
        <v>2915.4256777999999</v>
      </c>
      <c r="AH173">
        <v>249.71867999999901</v>
      </c>
      <c r="AI173">
        <v>167.14187999999999</v>
      </c>
      <c r="AJ173" s="2">
        <f t="shared" si="36"/>
        <v>140.5020971428572</v>
      </c>
      <c r="AK173" s="2">
        <f t="shared" si="31"/>
        <v>150.84555864945446</v>
      </c>
      <c r="AL173" s="2">
        <f t="shared" si="40"/>
        <v>10.343461506597265</v>
      </c>
    </row>
    <row r="174" spans="1:38" x14ac:dyDescent="0.3">
      <c r="A174">
        <f t="shared" si="29"/>
        <v>0</v>
      </c>
      <c r="B174" s="2">
        <f t="shared" si="32"/>
        <v>15.570699999898352</v>
      </c>
      <c r="C174" s="2" t="e">
        <f t="shared" si="37"/>
        <v>#VALUE!</v>
      </c>
      <c r="D174" s="2">
        <f t="shared" si="33"/>
        <v>2.5607248000001164</v>
      </c>
      <c r="E174" s="2"/>
      <c r="F174">
        <v>2908.1642548</v>
      </c>
      <c r="G174" t="s">
        <v>37</v>
      </c>
      <c r="H174" t="s">
        <v>37</v>
      </c>
      <c r="I174" t="s">
        <v>37</v>
      </c>
      <c r="J174" t="s">
        <v>37</v>
      </c>
      <c r="K174" t="s">
        <v>37</v>
      </c>
      <c r="L174" t="s">
        <v>37</v>
      </c>
      <c r="M174" t="s">
        <v>37</v>
      </c>
      <c r="N174">
        <v>0</v>
      </c>
      <c r="O174">
        <v>0</v>
      </c>
      <c r="P174">
        <v>0</v>
      </c>
      <c r="Q174">
        <v>0</v>
      </c>
      <c r="R174">
        <v>1.8436088562011701E-2</v>
      </c>
      <c r="S174">
        <v>-8.5679197311401296E-3</v>
      </c>
      <c r="T174">
        <v>0</v>
      </c>
      <c r="U174" s="7">
        <v>166.74199999999999</v>
      </c>
      <c r="V174" s="7">
        <v>0.67600000000000005</v>
      </c>
      <c r="W174" s="7">
        <v>2.44</v>
      </c>
      <c r="X174" s="7">
        <v>0.65</v>
      </c>
      <c r="Y174" t="b">
        <v>1</v>
      </c>
      <c r="Z174">
        <v>79</v>
      </c>
      <c r="AA174">
        <f t="shared" si="30"/>
        <v>1.8436088562011701</v>
      </c>
      <c r="AB174">
        <f t="shared" si="34"/>
        <v>42.835293836958535</v>
      </c>
      <c r="AC174" t="e">
        <f t="shared" si="35"/>
        <v>#VALUE!</v>
      </c>
      <c r="AE174" s="2">
        <f t="shared" si="38"/>
        <v>7.7441700000235869E-2</v>
      </c>
      <c r="AF174" s="2">
        <f t="shared" si="39"/>
        <v>5.5048436000001857</v>
      </c>
      <c r="AG174">
        <v>2915.5031195000001</v>
      </c>
      <c r="AH174">
        <v>250.275959999999</v>
      </c>
      <c r="AI174">
        <v>169.09187999999901</v>
      </c>
      <c r="AJ174" s="2">
        <f t="shared" si="36"/>
        <v>142.45209714285622</v>
      </c>
      <c r="AK174" s="2">
        <f t="shared" si="31"/>
        <v>155.05473684314586</v>
      </c>
      <c r="AL174" s="2">
        <f t="shared" si="40"/>
        <v>12.602639700289643</v>
      </c>
    </row>
    <row r="175" spans="1:38" x14ac:dyDescent="0.3">
      <c r="A175">
        <f t="shared" si="29"/>
        <v>0</v>
      </c>
      <c r="B175" s="2">
        <f t="shared" si="32"/>
        <v>16.021400000227004</v>
      </c>
      <c r="C175" s="2" t="e">
        <f t="shared" si="37"/>
        <v>#VALUE!</v>
      </c>
      <c r="D175" s="2">
        <f t="shared" si="33"/>
        <v>2.5767462000003434</v>
      </c>
      <c r="E175" s="2"/>
      <c r="F175">
        <v>2908.1802762000002</v>
      </c>
      <c r="G175" t="s">
        <v>37</v>
      </c>
      <c r="H175" t="s">
        <v>37</v>
      </c>
      <c r="I175" t="s">
        <v>37</v>
      </c>
      <c r="J175" t="s">
        <v>37</v>
      </c>
      <c r="K175" t="s">
        <v>37</v>
      </c>
      <c r="L175" t="s">
        <v>37</v>
      </c>
      <c r="M175" t="s">
        <v>37</v>
      </c>
      <c r="N175">
        <v>0</v>
      </c>
      <c r="O175">
        <v>0</v>
      </c>
      <c r="P175">
        <v>0</v>
      </c>
      <c r="Q175">
        <v>0</v>
      </c>
      <c r="R175">
        <v>1.8436088562011701E-2</v>
      </c>
      <c r="S175">
        <v>-8.5679197311401296E-3</v>
      </c>
      <c r="T175">
        <v>0</v>
      </c>
      <c r="U175" s="7">
        <v>166.74199999999999</v>
      </c>
      <c r="V175" s="7">
        <v>0.67600000000000005</v>
      </c>
      <c r="W175" s="7">
        <v>2.44</v>
      </c>
      <c r="X175" s="7">
        <v>0.65</v>
      </c>
      <c r="Y175" t="b">
        <v>1</v>
      </c>
      <c r="Z175">
        <v>79</v>
      </c>
      <c r="AA175">
        <f t="shared" si="30"/>
        <v>1.8436088562011701</v>
      </c>
      <c r="AB175">
        <f t="shared" si="34"/>
        <v>42.864831031887697</v>
      </c>
      <c r="AC175" t="e">
        <f t="shared" si="35"/>
        <v>#VALUE!</v>
      </c>
      <c r="AE175" s="2">
        <f t="shared" si="38"/>
        <v>1.6216699999858974E-2</v>
      </c>
      <c r="AF175" s="2">
        <f t="shared" si="39"/>
        <v>5.5210603000000447</v>
      </c>
      <c r="AG175">
        <v>2915.5193362</v>
      </c>
      <c r="AH175">
        <v>250.823399999999</v>
      </c>
      <c r="AI175">
        <v>171.03664000000001</v>
      </c>
      <c r="AJ175" s="2">
        <f t="shared" si="36"/>
        <v>144.39685714285721</v>
      </c>
      <c r="AK175" s="2">
        <f t="shared" si="31"/>
        <v>155.93875350040287</v>
      </c>
      <c r="AL175" s="2">
        <f t="shared" si="40"/>
        <v>11.541896357545653</v>
      </c>
    </row>
    <row r="176" spans="1:38" x14ac:dyDescent="0.3">
      <c r="A176">
        <f t="shared" si="29"/>
        <v>0</v>
      </c>
      <c r="B176" s="2">
        <f t="shared" si="32"/>
        <v>15.505699999721401</v>
      </c>
      <c r="C176" s="2" t="e">
        <f t="shared" si="37"/>
        <v>#VALUE!</v>
      </c>
      <c r="D176" s="2">
        <f t="shared" si="33"/>
        <v>2.5922519000000648</v>
      </c>
      <c r="E176" s="2"/>
      <c r="F176">
        <v>2908.1957818999999</v>
      </c>
      <c r="G176" t="s">
        <v>37</v>
      </c>
      <c r="H176" t="s">
        <v>37</v>
      </c>
      <c r="I176" t="s">
        <v>37</v>
      </c>
      <c r="J176" t="s">
        <v>37</v>
      </c>
      <c r="K176" t="s">
        <v>37</v>
      </c>
      <c r="L176" t="s">
        <v>37</v>
      </c>
      <c r="M176" t="s">
        <v>37</v>
      </c>
      <c r="N176">
        <v>0</v>
      </c>
      <c r="O176">
        <v>0</v>
      </c>
      <c r="P176">
        <v>0</v>
      </c>
      <c r="Q176">
        <v>0</v>
      </c>
      <c r="R176">
        <v>1.8436088562011701E-2</v>
      </c>
      <c r="S176">
        <v>-8.5679197311401296E-3</v>
      </c>
      <c r="T176">
        <v>0</v>
      </c>
      <c r="U176" s="7">
        <v>166.74199999999999</v>
      </c>
      <c r="V176" s="7">
        <v>0.67600000000000005</v>
      </c>
      <c r="W176" s="7">
        <v>2.44</v>
      </c>
      <c r="X176" s="7">
        <v>0.65</v>
      </c>
      <c r="Y176" t="b">
        <v>1</v>
      </c>
      <c r="Z176">
        <v>79</v>
      </c>
      <c r="AA176">
        <f t="shared" si="30"/>
        <v>1.8436088562011701</v>
      </c>
      <c r="AB176">
        <f t="shared" si="34"/>
        <v>42.893417477728782</v>
      </c>
      <c r="AC176" t="e">
        <f t="shared" si="35"/>
        <v>#VALUE!</v>
      </c>
      <c r="AE176" s="2">
        <f t="shared" si="38"/>
        <v>3.1674800000018877E-2</v>
      </c>
      <c r="AF176" s="2">
        <f t="shared" si="39"/>
        <v>5.5527351000000635</v>
      </c>
      <c r="AG176">
        <v>2915.551011</v>
      </c>
      <c r="AH176">
        <v>251.356079999999</v>
      </c>
      <c r="AI176">
        <v>172.97615999999999</v>
      </c>
      <c r="AJ176" s="2">
        <f t="shared" si="36"/>
        <v>146.3363771428572</v>
      </c>
      <c r="AK176" s="2">
        <f t="shared" si="31"/>
        <v>157.66796509990084</v>
      </c>
      <c r="AL176" s="2">
        <f t="shared" si="40"/>
        <v>11.331587957043638</v>
      </c>
    </row>
    <row r="177" spans="1:38" x14ac:dyDescent="0.3">
      <c r="A177">
        <f t="shared" si="29"/>
        <v>0</v>
      </c>
      <c r="B177" s="2">
        <f t="shared" si="32"/>
        <v>15.127699999993638</v>
      </c>
      <c r="C177" s="2" t="e">
        <f t="shared" si="37"/>
        <v>#VALUE!</v>
      </c>
      <c r="D177" s="2">
        <f t="shared" si="33"/>
        <v>2.6073796000000584</v>
      </c>
      <c r="E177" s="2"/>
      <c r="F177">
        <v>2908.2109095999999</v>
      </c>
      <c r="G177" t="s">
        <v>37</v>
      </c>
      <c r="H177" t="s">
        <v>37</v>
      </c>
      <c r="I177" t="s">
        <v>37</v>
      </c>
      <c r="J177" t="s">
        <v>37</v>
      </c>
      <c r="K177" t="s">
        <v>37</v>
      </c>
      <c r="L177" t="s">
        <v>37</v>
      </c>
      <c r="M177" t="s">
        <v>37</v>
      </c>
      <c r="N177">
        <v>0</v>
      </c>
      <c r="O177">
        <v>0</v>
      </c>
      <c r="P177">
        <v>0</v>
      </c>
      <c r="Q177">
        <v>0</v>
      </c>
      <c r="R177">
        <v>1.47084369659423E-2</v>
      </c>
      <c r="S177">
        <v>2.12279911041259E-2</v>
      </c>
      <c r="T177">
        <v>0</v>
      </c>
      <c r="U177" s="7">
        <v>166.643</v>
      </c>
      <c r="V177" s="7">
        <v>0.64600000000000002</v>
      </c>
      <c r="W177" s="7">
        <v>2.4369999999999998</v>
      </c>
      <c r="X177" s="7">
        <v>0.65700000000000003</v>
      </c>
      <c r="Y177" t="b">
        <v>1</v>
      </c>
      <c r="Z177">
        <v>79</v>
      </c>
      <c r="AA177">
        <f t="shared" si="30"/>
        <v>1.47084369659423</v>
      </c>
      <c r="AB177">
        <f t="shared" si="34"/>
        <v>42.921307039422722</v>
      </c>
      <c r="AC177" t="e">
        <f t="shared" si="35"/>
        <v>#VALUE!</v>
      </c>
      <c r="AE177" s="2">
        <f t="shared" si="38"/>
        <v>1.5472799999770359E-2</v>
      </c>
      <c r="AF177" s="2">
        <f t="shared" si="39"/>
        <v>5.5682078999998339</v>
      </c>
      <c r="AG177">
        <v>2915.5664837999998</v>
      </c>
      <c r="AH177">
        <v>251.888759999999</v>
      </c>
      <c r="AI177">
        <v>174.91567999999901</v>
      </c>
      <c r="AJ177" s="2">
        <f t="shared" si="36"/>
        <v>148.27589714285622</v>
      </c>
      <c r="AK177" s="2">
        <f t="shared" si="31"/>
        <v>158.51387011893536</v>
      </c>
      <c r="AL177" s="2">
        <f t="shared" si="40"/>
        <v>10.237972976079135</v>
      </c>
    </row>
    <row r="178" spans="1:38" x14ac:dyDescent="0.3">
      <c r="A178">
        <f t="shared" si="29"/>
        <v>0</v>
      </c>
      <c r="B178" s="2">
        <f t="shared" si="32"/>
        <v>16.219200000250567</v>
      </c>
      <c r="C178" s="2" t="e">
        <f t="shared" si="37"/>
        <v>#VALUE!</v>
      </c>
      <c r="D178" s="2">
        <f t="shared" si="33"/>
        <v>2.623598800000309</v>
      </c>
      <c r="E178" s="2"/>
      <c r="F178">
        <v>2908.2271288000002</v>
      </c>
      <c r="G178" t="s">
        <v>37</v>
      </c>
      <c r="H178" t="s">
        <v>37</v>
      </c>
      <c r="I178" t="s">
        <v>37</v>
      </c>
      <c r="J178" t="s">
        <v>37</v>
      </c>
      <c r="K178" t="s">
        <v>37</v>
      </c>
      <c r="L178" t="s">
        <v>37</v>
      </c>
      <c r="M178" t="s">
        <v>37</v>
      </c>
      <c r="N178">
        <v>0</v>
      </c>
      <c r="O178">
        <v>0</v>
      </c>
      <c r="P178">
        <v>0</v>
      </c>
      <c r="Q178">
        <v>0</v>
      </c>
      <c r="R178">
        <v>1.47084369659423E-2</v>
      </c>
      <c r="S178">
        <v>2.12279911041259E-2</v>
      </c>
      <c r="T178">
        <v>0</v>
      </c>
      <c r="U178" s="7">
        <v>166.643</v>
      </c>
      <c r="V178" s="7">
        <v>0.64600000000000002</v>
      </c>
      <c r="W178" s="7">
        <v>2.4369999999999998</v>
      </c>
      <c r="X178" s="7">
        <v>0.65700000000000003</v>
      </c>
      <c r="Y178" t="b">
        <v>1</v>
      </c>
      <c r="Z178">
        <v>79</v>
      </c>
      <c r="AA178">
        <f t="shared" si="30"/>
        <v>1.47084369659423</v>
      </c>
      <c r="AB178">
        <f t="shared" si="34"/>
        <v>42.945162947506894</v>
      </c>
      <c r="AC178" t="e">
        <f t="shared" si="35"/>
        <v>#VALUE!</v>
      </c>
      <c r="AE178" s="2">
        <f t="shared" si="38"/>
        <v>3.1388600000354927E-2</v>
      </c>
      <c r="AF178" s="2">
        <f t="shared" si="39"/>
        <v>5.5995965000001888</v>
      </c>
      <c r="AG178">
        <v>2915.5978724000001</v>
      </c>
      <c r="AH178">
        <v>252.41376</v>
      </c>
      <c r="AI178">
        <v>177.16316</v>
      </c>
      <c r="AJ178" s="2">
        <f t="shared" si="36"/>
        <v>150.52337714285721</v>
      </c>
      <c r="AK178" s="2">
        <f t="shared" si="31"/>
        <v>160.23229224176055</v>
      </c>
      <c r="AL178" s="2">
        <f t="shared" si="40"/>
        <v>9.7089150989033328</v>
      </c>
    </row>
    <row r="179" spans="1:38" x14ac:dyDescent="0.3">
      <c r="A179">
        <f t="shared" si="29"/>
        <v>0</v>
      </c>
      <c r="B179" s="2">
        <f t="shared" si="32"/>
        <v>15.018499999769119</v>
      </c>
      <c r="C179" s="2" t="e">
        <f t="shared" si="37"/>
        <v>#VALUE!</v>
      </c>
      <c r="D179" s="2">
        <f t="shared" si="33"/>
        <v>2.6386173000000781</v>
      </c>
      <c r="E179" s="2"/>
      <c r="F179">
        <v>2908.2421472999999</v>
      </c>
      <c r="G179">
        <v>185.25</v>
      </c>
      <c r="H179">
        <v>39</v>
      </c>
      <c r="I179">
        <v>179.96100000000001</v>
      </c>
      <c r="J179">
        <v>43.323</v>
      </c>
      <c r="K179">
        <v>179.96100000000001</v>
      </c>
      <c r="L179">
        <v>43.323</v>
      </c>
      <c r="M179" t="s">
        <v>37</v>
      </c>
      <c r="N179">
        <v>0</v>
      </c>
      <c r="O179">
        <v>0</v>
      </c>
      <c r="P179">
        <v>0</v>
      </c>
      <c r="Q179">
        <v>0</v>
      </c>
      <c r="R179">
        <v>1.47084369659423E-2</v>
      </c>
      <c r="S179">
        <v>2.12279911041259E-2</v>
      </c>
      <c r="T179">
        <v>0</v>
      </c>
      <c r="U179" s="7">
        <v>166.643</v>
      </c>
      <c r="V179" s="7">
        <v>0.64600000000000002</v>
      </c>
      <c r="W179" s="7">
        <v>2.4369999999999998</v>
      </c>
      <c r="X179" s="7">
        <v>0.65700000000000003</v>
      </c>
      <c r="Y179" t="b">
        <v>1</v>
      </c>
      <c r="Z179">
        <v>79</v>
      </c>
      <c r="AA179">
        <f t="shared" si="30"/>
        <v>1.47084369659423</v>
      </c>
      <c r="AB179">
        <f t="shared" ref="AB179:AB242" si="41">AB178+(AA178*(D179-D178))</f>
        <v>42.967252813563853</v>
      </c>
      <c r="AC179" t="e">
        <f t="shared" si="35"/>
        <v>#VALUE!</v>
      </c>
      <c r="AE179" s="2">
        <f t="shared" si="38"/>
        <v>3.0779899999743066E-2</v>
      </c>
      <c r="AF179" s="2">
        <f t="shared" si="39"/>
        <v>5.6303763999999319</v>
      </c>
      <c r="AG179">
        <v>2915.6286522999999</v>
      </c>
      <c r="AH179">
        <v>252.92184</v>
      </c>
      <c r="AI179">
        <v>179.10792000000001</v>
      </c>
      <c r="AJ179" s="2">
        <f t="shared" si="36"/>
        <v>152.46813714285722</v>
      </c>
      <c r="AK179" s="2">
        <f t="shared" si="31"/>
        <v>161.92046019096279</v>
      </c>
      <c r="AL179" s="2">
        <f t="shared" si="40"/>
        <v>9.4523230481055691</v>
      </c>
    </row>
    <row r="180" spans="1:38" x14ac:dyDescent="0.3">
      <c r="A180">
        <f t="shared" si="29"/>
        <v>0</v>
      </c>
      <c r="B180" s="2">
        <f t="shared" si="32"/>
        <v>14.674000000013621</v>
      </c>
      <c r="C180" s="2">
        <f t="shared" si="37"/>
        <v>-0.52400000000000091</v>
      </c>
      <c r="D180" s="2">
        <f t="shared" si="33"/>
        <v>2.6532913000000917</v>
      </c>
      <c r="E180" s="2"/>
      <c r="F180">
        <v>2908.2568213</v>
      </c>
      <c r="G180">
        <v>185.25</v>
      </c>
      <c r="H180">
        <v>39</v>
      </c>
      <c r="I180">
        <v>179.59200000000001</v>
      </c>
      <c r="J180">
        <v>42.798999999999999</v>
      </c>
      <c r="K180">
        <v>179.59200000000001</v>
      </c>
      <c r="L180">
        <v>42.798999999999999</v>
      </c>
      <c r="M180" t="s">
        <v>37</v>
      </c>
      <c r="N180">
        <v>0</v>
      </c>
      <c r="O180">
        <v>0</v>
      </c>
      <c r="P180">
        <v>0</v>
      </c>
      <c r="Q180">
        <v>0</v>
      </c>
      <c r="R180">
        <v>1.47084369659423E-2</v>
      </c>
      <c r="S180">
        <v>2.12279911041259E-2</v>
      </c>
      <c r="T180">
        <v>0</v>
      </c>
      <c r="U180" s="7">
        <v>166.643</v>
      </c>
      <c r="V180" s="7">
        <v>0.64600000000000002</v>
      </c>
      <c r="W180" s="7">
        <v>2.4369999999999998</v>
      </c>
      <c r="X180" s="7">
        <v>0.65700000000000003</v>
      </c>
      <c r="Y180" t="b">
        <v>1</v>
      </c>
      <c r="Z180">
        <v>79</v>
      </c>
      <c r="AA180">
        <f t="shared" si="30"/>
        <v>1.47084369659423</v>
      </c>
      <c r="AB180">
        <f t="shared" si="41"/>
        <v>42.988835973967696</v>
      </c>
      <c r="AC180" t="e">
        <f t="shared" si="35"/>
        <v>#VALUE!</v>
      </c>
      <c r="AE180" s="2">
        <f t="shared" si="38"/>
        <v>4.5829500000309054E-2</v>
      </c>
      <c r="AF180" s="2">
        <f t="shared" si="39"/>
        <v>5.6762059000002409</v>
      </c>
      <c r="AG180">
        <v>2915.6744818000002</v>
      </c>
      <c r="AH180">
        <v>253.41515999999999</v>
      </c>
      <c r="AI180">
        <v>181.04743999999999</v>
      </c>
      <c r="AJ180" s="2">
        <f t="shared" si="36"/>
        <v>154.4076571428572</v>
      </c>
      <c r="AK180" s="2">
        <f t="shared" si="31"/>
        <v>164.43957015667925</v>
      </c>
      <c r="AL180" s="2">
        <f t="shared" si="40"/>
        <v>10.031913013822049</v>
      </c>
    </row>
    <row r="181" spans="1:38" x14ac:dyDescent="0.3">
      <c r="A181">
        <f t="shared" si="29"/>
        <v>0</v>
      </c>
      <c r="B181" s="2">
        <f t="shared" si="32"/>
        <v>16.036299999996118</v>
      </c>
      <c r="C181" s="2">
        <f t="shared" si="37"/>
        <v>-1.0480000000000018</v>
      </c>
      <c r="D181" s="2">
        <f t="shared" si="33"/>
        <v>2.6693276000000878</v>
      </c>
      <c r="E181" s="2"/>
      <c r="F181">
        <v>2908.2728576</v>
      </c>
      <c r="G181">
        <v>175.5</v>
      </c>
      <c r="H181">
        <v>39</v>
      </c>
      <c r="I181">
        <v>182.01900000000001</v>
      </c>
      <c r="J181">
        <v>41.750999999999998</v>
      </c>
      <c r="K181">
        <v>182.01900000000001</v>
      </c>
      <c r="L181">
        <v>41.750999999999998</v>
      </c>
      <c r="M181" t="s">
        <v>37</v>
      </c>
      <c r="N181">
        <v>0</v>
      </c>
      <c r="O181">
        <v>0</v>
      </c>
      <c r="P181">
        <v>0</v>
      </c>
      <c r="Q181">
        <v>0</v>
      </c>
      <c r="R181">
        <v>1.47084369659423E-2</v>
      </c>
      <c r="S181">
        <v>2.12279911041259E-2</v>
      </c>
      <c r="T181">
        <v>0</v>
      </c>
      <c r="U181" s="7">
        <v>166.643</v>
      </c>
      <c r="V181" s="7">
        <v>0.64600000000000002</v>
      </c>
      <c r="W181" s="7">
        <v>2.4369999999999998</v>
      </c>
      <c r="X181" s="7">
        <v>0.65700000000000003</v>
      </c>
      <c r="Y181" t="b">
        <v>1</v>
      </c>
      <c r="Z181">
        <v>79</v>
      </c>
      <c r="AA181">
        <f t="shared" si="30"/>
        <v>1.47084369659423</v>
      </c>
      <c r="AB181">
        <f t="shared" si="41"/>
        <v>43.012422864739385</v>
      </c>
      <c r="AC181" t="e">
        <f t="shared" si="35"/>
        <v>#VALUE!</v>
      </c>
      <c r="AE181" s="2">
        <f t="shared" si="38"/>
        <v>3.0716999999640393E-2</v>
      </c>
      <c r="AF181" s="2">
        <f t="shared" si="39"/>
        <v>5.7069228999998813</v>
      </c>
      <c r="AG181">
        <v>2915.7051987999998</v>
      </c>
      <c r="AH181">
        <v>253.88879999999901</v>
      </c>
      <c r="AI181">
        <v>182.98696000000001</v>
      </c>
      <c r="AJ181" s="2">
        <f t="shared" si="36"/>
        <v>156.34717714285722</v>
      </c>
      <c r="AK181" s="2">
        <f t="shared" si="31"/>
        <v>166.13162087321575</v>
      </c>
      <c r="AL181" s="2">
        <f t="shared" si="40"/>
        <v>9.7844437303585323</v>
      </c>
    </row>
    <row r="182" spans="1:38" x14ac:dyDescent="0.3">
      <c r="A182">
        <f t="shared" si="29"/>
        <v>0</v>
      </c>
      <c r="B182" s="2">
        <f t="shared" si="32"/>
        <v>14.89979999996649</v>
      </c>
      <c r="C182" s="2">
        <f t="shared" si="37"/>
        <v>-0.52400000000000091</v>
      </c>
      <c r="D182" s="2">
        <f t="shared" si="33"/>
        <v>2.6842274000000543</v>
      </c>
      <c r="E182" s="2"/>
      <c r="F182">
        <v>2908.2877573999999</v>
      </c>
      <c r="G182">
        <v>175.5</v>
      </c>
      <c r="H182">
        <v>39</v>
      </c>
      <c r="I182">
        <v>181.65</v>
      </c>
      <c r="J182">
        <v>41.226999999999997</v>
      </c>
      <c r="K182">
        <v>181.65</v>
      </c>
      <c r="L182">
        <v>41.226999999999997</v>
      </c>
      <c r="M182" t="s">
        <v>37</v>
      </c>
      <c r="N182">
        <v>0</v>
      </c>
      <c r="O182">
        <v>0</v>
      </c>
      <c r="P182">
        <v>0</v>
      </c>
      <c r="Q182">
        <v>0</v>
      </c>
      <c r="R182">
        <v>1.09472951889038E-2</v>
      </c>
      <c r="S182">
        <v>5.9706336975097599E-2</v>
      </c>
      <c r="T182">
        <v>0</v>
      </c>
      <c r="U182" s="7">
        <v>166.5</v>
      </c>
      <c r="V182" s="7">
        <v>0.46500000000000002</v>
      </c>
      <c r="W182" s="7">
        <v>1.8520000000000001</v>
      </c>
      <c r="X182" s="7">
        <v>0.66200000000000003</v>
      </c>
      <c r="Y182" t="b">
        <v>1</v>
      </c>
      <c r="Z182">
        <v>79</v>
      </c>
      <c r="AA182">
        <f t="shared" si="30"/>
        <v>1.0947295188903801</v>
      </c>
      <c r="AB182">
        <f t="shared" si="41"/>
        <v>43.034338141649847</v>
      </c>
      <c r="AC182" t="e">
        <f t="shared" si="35"/>
        <v>#VALUE!</v>
      </c>
      <c r="AE182" s="2">
        <f t="shared" si="38"/>
        <v>3.1481400000302528E-2</v>
      </c>
      <c r="AF182" s="2">
        <f t="shared" si="39"/>
        <v>5.7384043000001839</v>
      </c>
      <c r="AG182">
        <v>2915.7366802000001</v>
      </c>
      <c r="AH182">
        <v>254.34768</v>
      </c>
      <c r="AI182">
        <v>184.92124000000001</v>
      </c>
      <c r="AJ182" s="2">
        <f t="shared" si="36"/>
        <v>158.28145714285722</v>
      </c>
      <c r="AK182" s="2">
        <f t="shared" si="31"/>
        <v>167.86874315671128</v>
      </c>
      <c r="AL182" s="2">
        <f t="shared" si="40"/>
        <v>9.5872860138540545</v>
      </c>
    </row>
    <row r="183" spans="1:38" x14ac:dyDescent="0.3">
      <c r="A183">
        <f t="shared" si="29"/>
        <v>0</v>
      </c>
      <c r="B183" s="2">
        <f t="shared" si="32"/>
        <v>16.116199999942182</v>
      </c>
      <c r="C183" s="2">
        <f t="shared" si="37"/>
        <v>-0.26199999999999335</v>
      </c>
      <c r="D183" s="2">
        <f t="shared" si="33"/>
        <v>2.7003435999999965</v>
      </c>
      <c r="E183" s="2"/>
      <c r="F183">
        <v>2908.3038735999999</v>
      </c>
      <c r="G183">
        <v>175.5</v>
      </c>
      <c r="H183">
        <v>39</v>
      </c>
      <c r="I183">
        <v>181.035</v>
      </c>
      <c r="J183">
        <v>40.965000000000003</v>
      </c>
      <c r="K183">
        <v>181.035</v>
      </c>
      <c r="L183">
        <v>40.965000000000003</v>
      </c>
      <c r="M183" t="s">
        <v>37</v>
      </c>
      <c r="N183">
        <v>0</v>
      </c>
      <c r="O183">
        <v>0</v>
      </c>
      <c r="P183">
        <v>0</v>
      </c>
      <c r="Q183">
        <v>0</v>
      </c>
      <c r="R183">
        <v>1.09472951889038E-2</v>
      </c>
      <c r="S183">
        <v>5.9706336975097599E-2</v>
      </c>
      <c r="T183">
        <v>0</v>
      </c>
      <c r="U183" s="7">
        <v>166.5</v>
      </c>
      <c r="V183" s="7">
        <v>0.46500000000000002</v>
      </c>
      <c r="W183" s="7">
        <v>1.8520000000000001</v>
      </c>
      <c r="X183" s="7">
        <v>0.66200000000000003</v>
      </c>
      <c r="Y183" t="b">
        <v>1</v>
      </c>
      <c r="Z183">
        <v>79</v>
      </c>
      <c r="AA183">
        <f t="shared" si="30"/>
        <v>1.0947295188903801</v>
      </c>
      <c r="AB183">
        <f t="shared" si="41"/>
        <v>43.051981021522124</v>
      </c>
      <c r="AC183">
        <f t="shared" si="35"/>
        <v>-16.256934016761598</v>
      </c>
      <c r="AE183" s="2">
        <f t="shared" si="38"/>
        <v>3.1715599999643018E-2</v>
      </c>
      <c r="AF183" s="2">
        <f t="shared" si="39"/>
        <v>5.7701198999998269</v>
      </c>
      <c r="AG183">
        <v>2915.7683957999998</v>
      </c>
      <c r="AH183">
        <v>254.79671999999999</v>
      </c>
      <c r="AI183">
        <v>186.8398</v>
      </c>
      <c r="AJ183" s="2">
        <f t="shared" si="36"/>
        <v>160.20001714285721</v>
      </c>
      <c r="AK183" s="2">
        <f t="shared" si="31"/>
        <v>169.62177219318053</v>
      </c>
      <c r="AL183" s="2">
        <f t="shared" si="40"/>
        <v>9.4217550503233269</v>
      </c>
    </row>
    <row r="184" spans="1:38" x14ac:dyDescent="0.3">
      <c r="A184">
        <f t="shared" si="29"/>
        <v>0</v>
      </c>
      <c r="B184" s="2">
        <f t="shared" si="32"/>
        <v>15.335699999923236</v>
      </c>
      <c r="C184" s="2">
        <f t="shared" si="37"/>
        <v>-0.13100000000000023</v>
      </c>
      <c r="D184" s="2">
        <f t="shared" si="33"/>
        <v>2.7156792999999197</v>
      </c>
      <c r="E184" s="2"/>
      <c r="F184">
        <v>2908.3192092999998</v>
      </c>
      <c r="G184">
        <v>175.5</v>
      </c>
      <c r="H184">
        <v>39</v>
      </c>
      <c r="I184">
        <v>180.54300000000001</v>
      </c>
      <c r="J184">
        <v>40.834000000000003</v>
      </c>
      <c r="K184">
        <v>180.54300000000001</v>
      </c>
      <c r="L184">
        <v>40.834000000000003</v>
      </c>
      <c r="M184" t="s">
        <v>37</v>
      </c>
      <c r="N184">
        <v>0</v>
      </c>
      <c r="O184">
        <v>0</v>
      </c>
      <c r="P184">
        <v>0</v>
      </c>
      <c r="Q184">
        <v>0</v>
      </c>
      <c r="R184">
        <v>1.09472951889038E-2</v>
      </c>
      <c r="S184">
        <v>5.9706336975097599E-2</v>
      </c>
      <c r="T184">
        <v>0</v>
      </c>
      <c r="U184" s="7">
        <v>166.5</v>
      </c>
      <c r="V184" s="7">
        <v>0.46500000000000002</v>
      </c>
      <c r="W184" s="7">
        <v>1.8520000000000001</v>
      </c>
      <c r="X184" s="7">
        <v>0.66200000000000003</v>
      </c>
      <c r="Y184" t="b">
        <v>1</v>
      </c>
      <c r="Z184">
        <v>79</v>
      </c>
      <c r="AA184">
        <f t="shared" si="30"/>
        <v>1.0947295188903801</v>
      </c>
      <c r="AB184">
        <f t="shared" si="41"/>
        <v>43.068769465004884</v>
      </c>
      <c r="AC184">
        <f t="shared" si="35"/>
        <v>-8.5421597971175736</v>
      </c>
      <c r="AE184" s="2">
        <f t="shared" si="38"/>
        <v>3.0517700000018522E-2</v>
      </c>
      <c r="AF184" s="2">
        <f t="shared" si="39"/>
        <v>5.8006375999998454</v>
      </c>
      <c r="AG184">
        <v>2915.7989134999998</v>
      </c>
      <c r="AH184">
        <v>255.23952</v>
      </c>
      <c r="AI184">
        <v>188.73740000000001</v>
      </c>
      <c r="AJ184" s="2">
        <f t="shared" si="36"/>
        <v>162.09761714285722</v>
      </c>
      <c r="AK184" s="2">
        <f t="shared" si="31"/>
        <v>171.31136934012505</v>
      </c>
      <c r="AL184" s="2">
        <f t="shared" si="40"/>
        <v>9.2137521972678371</v>
      </c>
    </row>
    <row r="185" spans="1:38" x14ac:dyDescent="0.3">
      <c r="A185">
        <f t="shared" si="29"/>
        <v>0</v>
      </c>
      <c r="B185" s="2">
        <f t="shared" si="32"/>
        <v>14.994700000443117</v>
      </c>
      <c r="C185" s="2">
        <f t="shared" si="37"/>
        <v>0.13100000000000023</v>
      </c>
      <c r="D185" s="2">
        <f t="shared" si="33"/>
        <v>2.7306740000003629</v>
      </c>
      <c r="E185" s="2"/>
      <c r="F185">
        <v>2908.3342040000002</v>
      </c>
      <c r="G185">
        <v>175.5</v>
      </c>
      <c r="H185">
        <v>39</v>
      </c>
      <c r="I185">
        <v>180.297</v>
      </c>
      <c r="J185">
        <v>40.965000000000003</v>
      </c>
      <c r="K185">
        <v>180.297</v>
      </c>
      <c r="L185">
        <v>40.965000000000003</v>
      </c>
      <c r="M185" t="s">
        <v>37</v>
      </c>
      <c r="N185">
        <v>0</v>
      </c>
      <c r="O185">
        <v>0</v>
      </c>
      <c r="P185">
        <v>0</v>
      </c>
      <c r="Q185">
        <v>0</v>
      </c>
      <c r="R185">
        <v>1.09472951889038E-2</v>
      </c>
      <c r="S185">
        <v>5.9706336975097599E-2</v>
      </c>
      <c r="T185">
        <v>0</v>
      </c>
      <c r="U185" s="7">
        <v>166.5</v>
      </c>
      <c r="V185" s="7">
        <v>0.46500000000000002</v>
      </c>
      <c r="W185" s="7">
        <v>1.8520000000000001</v>
      </c>
      <c r="X185" s="7">
        <v>0.66200000000000003</v>
      </c>
      <c r="Y185" t="b">
        <v>1</v>
      </c>
      <c r="Z185">
        <v>79</v>
      </c>
      <c r="AA185">
        <f t="shared" si="30"/>
        <v>1.0947295188903801</v>
      </c>
      <c r="AB185">
        <f t="shared" si="41"/>
        <v>43.085184605722276</v>
      </c>
      <c r="AC185">
        <f t="shared" si="35"/>
        <v>8.736420201546478</v>
      </c>
      <c r="AE185" s="2">
        <f t="shared" si="38"/>
        <v>3.0422100000123464E-2</v>
      </c>
      <c r="AF185" s="2">
        <f t="shared" si="39"/>
        <v>5.8310596999999689</v>
      </c>
      <c r="AG185">
        <v>2915.8293355999999</v>
      </c>
      <c r="AH185">
        <v>255.68723999999901</v>
      </c>
      <c r="AI185">
        <v>190.64024000000001</v>
      </c>
      <c r="AJ185" s="2">
        <f t="shared" si="36"/>
        <v>164.00045714285721</v>
      </c>
      <c r="AK185" s="2">
        <f t="shared" si="31"/>
        <v>172.99834268268549</v>
      </c>
      <c r="AL185" s="2">
        <f t="shared" si="40"/>
        <v>8.9978855398282747</v>
      </c>
    </row>
    <row r="186" spans="1:38" x14ac:dyDescent="0.3">
      <c r="A186">
        <f t="shared" si="29"/>
        <v>0</v>
      </c>
      <c r="B186" s="2">
        <f t="shared" si="32"/>
        <v>16.178499999568885</v>
      </c>
      <c r="C186" s="2">
        <f t="shared" si="37"/>
        <v>0.26199999999999335</v>
      </c>
      <c r="D186" s="2">
        <f t="shared" si="33"/>
        <v>2.7468524999999318</v>
      </c>
      <c r="E186" s="2"/>
      <c r="F186">
        <v>2908.3503824999998</v>
      </c>
      <c r="G186">
        <v>175.5</v>
      </c>
      <c r="H186">
        <v>39</v>
      </c>
      <c r="I186">
        <v>180.54300000000001</v>
      </c>
      <c r="J186">
        <v>41.226999999999997</v>
      </c>
      <c r="K186">
        <v>180.54300000000001</v>
      </c>
      <c r="L186">
        <v>41.226999999999997</v>
      </c>
      <c r="M186" t="s">
        <v>37</v>
      </c>
      <c r="N186">
        <v>0</v>
      </c>
      <c r="O186">
        <v>0</v>
      </c>
      <c r="P186">
        <v>0</v>
      </c>
      <c r="Q186">
        <v>0</v>
      </c>
      <c r="R186">
        <v>1.03622999191284E-2</v>
      </c>
      <c r="S186">
        <v>8.4521522521972606E-2</v>
      </c>
      <c r="T186">
        <v>0</v>
      </c>
      <c r="U186" s="7">
        <v>166.346</v>
      </c>
      <c r="V186" s="7">
        <v>0.157</v>
      </c>
      <c r="W186" s="7">
        <v>0.871</v>
      </c>
      <c r="X186" s="7">
        <v>0.66800000000000004</v>
      </c>
      <c r="Y186" t="b">
        <v>1</v>
      </c>
      <c r="Z186">
        <v>79</v>
      </c>
      <c r="AA186">
        <f t="shared" si="30"/>
        <v>1.0362299919128399</v>
      </c>
      <c r="AB186">
        <f t="shared" si="41"/>
        <v>43.102895687243169</v>
      </c>
      <c r="AC186">
        <f t="shared" si="35"/>
        <v>16.194331984236793</v>
      </c>
      <c r="AE186" s="2">
        <f t="shared" si="38"/>
        <v>2.2518700000091485E-2</v>
      </c>
      <c r="AF186" s="2">
        <f t="shared" si="39"/>
        <v>5.8535784000000604</v>
      </c>
      <c r="AG186">
        <v>2915.8518543</v>
      </c>
      <c r="AH186">
        <v>256.13627999999898</v>
      </c>
      <c r="AI186">
        <v>192.56404000000001</v>
      </c>
      <c r="AJ186" s="2">
        <f t="shared" si="36"/>
        <v>165.92425714285721</v>
      </c>
      <c r="AK186" s="2">
        <f t="shared" si="31"/>
        <v>174.24874565047168</v>
      </c>
      <c r="AL186" s="2">
        <f t="shared" si="40"/>
        <v>8.3244885076144612</v>
      </c>
    </row>
    <row r="187" spans="1:38" x14ac:dyDescent="0.3">
      <c r="A187">
        <f t="shared" si="29"/>
        <v>0</v>
      </c>
      <c r="B187" s="2">
        <f t="shared" si="32"/>
        <v>14.804900000399357</v>
      </c>
      <c r="C187" s="2">
        <f t="shared" si="37"/>
        <v>0.26200000000000045</v>
      </c>
      <c r="D187" s="2">
        <f t="shared" si="33"/>
        <v>2.7616574000003311</v>
      </c>
      <c r="E187" s="2"/>
      <c r="F187">
        <v>2908.3651874000002</v>
      </c>
      <c r="G187">
        <v>175.5</v>
      </c>
      <c r="H187">
        <v>39</v>
      </c>
      <c r="I187">
        <v>181.035</v>
      </c>
      <c r="J187">
        <v>41.488999999999997</v>
      </c>
      <c r="K187">
        <v>181.035</v>
      </c>
      <c r="L187">
        <v>41.488999999999997</v>
      </c>
      <c r="M187" t="s">
        <v>37</v>
      </c>
      <c r="N187">
        <v>0</v>
      </c>
      <c r="O187">
        <v>0</v>
      </c>
      <c r="P187">
        <v>0</v>
      </c>
      <c r="Q187">
        <v>0</v>
      </c>
      <c r="R187">
        <v>1.03622999191284E-2</v>
      </c>
      <c r="S187">
        <v>8.4521522521972606E-2</v>
      </c>
      <c r="T187">
        <v>0</v>
      </c>
      <c r="U187" s="7">
        <v>166.346</v>
      </c>
      <c r="V187" s="7">
        <v>0.157</v>
      </c>
      <c r="W187" s="7">
        <v>0.871</v>
      </c>
      <c r="X187" s="7">
        <v>0.66800000000000004</v>
      </c>
      <c r="Y187" t="b">
        <v>1</v>
      </c>
      <c r="Z187">
        <v>79</v>
      </c>
      <c r="AA187">
        <f t="shared" si="30"/>
        <v>1.0362299919128399</v>
      </c>
      <c r="AB187">
        <f t="shared" si="41"/>
        <v>43.118236968650855</v>
      </c>
      <c r="AC187">
        <f t="shared" si="35"/>
        <v>17.696843612110388</v>
      </c>
      <c r="AE187" s="2">
        <f t="shared" si="38"/>
        <v>5.5542399999922054E-2</v>
      </c>
      <c r="AF187" s="2">
        <f t="shared" si="39"/>
        <v>5.9091207999999824</v>
      </c>
      <c r="AG187">
        <v>2915.9073966999999</v>
      </c>
      <c r="AH187">
        <v>256.60575999999998</v>
      </c>
      <c r="AI187">
        <v>194.96268000000001</v>
      </c>
      <c r="AJ187" s="2">
        <f t="shared" si="36"/>
        <v>168.32289714285722</v>
      </c>
      <c r="AK187" s="2">
        <f t="shared" si="31"/>
        <v>177.33889676056708</v>
      </c>
      <c r="AL187" s="2">
        <f t="shared" si="40"/>
        <v>9.0159996177098662</v>
      </c>
    </row>
    <row r="188" spans="1:38" x14ac:dyDescent="0.3">
      <c r="A188">
        <f t="shared" si="29"/>
        <v>0</v>
      </c>
      <c r="B188" s="2">
        <f t="shared" si="32"/>
        <v>15.342400000008638</v>
      </c>
      <c r="C188" s="2">
        <f t="shared" si="37"/>
        <v>0.26200000000000045</v>
      </c>
      <c r="D188" s="2">
        <f t="shared" si="33"/>
        <v>2.7769998000003397</v>
      </c>
      <c r="E188" s="2"/>
      <c r="F188">
        <v>2908.3805298000002</v>
      </c>
      <c r="G188">
        <v>175.5</v>
      </c>
      <c r="H188">
        <v>39</v>
      </c>
      <c r="I188">
        <v>181.89599999999999</v>
      </c>
      <c r="J188">
        <v>41.750999999999998</v>
      </c>
      <c r="K188">
        <v>181.89599999999999</v>
      </c>
      <c r="L188">
        <v>41.750999999999998</v>
      </c>
      <c r="M188" t="s">
        <v>37</v>
      </c>
      <c r="N188">
        <v>0</v>
      </c>
      <c r="O188">
        <v>0</v>
      </c>
      <c r="P188">
        <v>0</v>
      </c>
      <c r="Q188">
        <v>0</v>
      </c>
      <c r="R188">
        <v>1.03622999191284E-2</v>
      </c>
      <c r="S188">
        <v>8.4521522521972606E-2</v>
      </c>
      <c r="T188">
        <v>0</v>
      </c>
      <c r="U188" s="7">
        <v>166.346</v>
      </c>
      <c r="V188" s="7">
        <v>0.157</v>
      </c>
      <c r="W188" s="7">
        <v>0.871</v>
      </c>
      <c r="X188" s="7">
        <v>0.66800000000000004</v>
      </c>
      <c r="Y188" t="b">
        <v>1</v>
      </c>
      <c r="Z188">
        <v>79</v>
      </c>
      <c r="AA188">
        <f t="shared" si="30"/>
        <v>1.0362299919128399</v>
      </c>
      <c r="AB188">
        <f t="shared" si="41"/>
        <v>43.13413522367879</v>
      </c>
      <c r="AC188">
        <f t="shared" si="35"/>
        <v>17.076858900814276</v>
      </c>
      <c r="AE188" s="2">
        <f t="shared" si="38"/>
        <v>2.9624300000250514E-2</v>
      </c>
      <c r="AF188" s="2">
        <f t="shared" si="39"/>
        <v>5.9387451000002329</v>
      </c>
      <c r="AG188">
        <v>2915.9370210000002</v>
      </c>
      <c r="AH188">
        <v>257.05659999999898</v>
      </c>
      <c r="AI188">
        <v>197.22819999999999</v>
      </c>
      <c r="AJ188" s="2">
        <f t="shared" si="36"/>
        <v>170.5884171428572</v>
      </c>
      <c r="AK188" s="2">
        <f t="shared" si="31"/>
        <v>178.9905133928354</v>
      </c>
      <c r="AL188" s="2">
        <f t="shared" si="40"/>
        <v>8.4020962499782001</v>
      </c>
    </row>
    <row r="189" spans="1:38" x14ac:dyDescent="0.3">
      <c r="A189">
        <f t="shared" si="29"/>
        <v>0</v>
      </c>
      <c r="B189" s="2">
        <f t="shared" si="32"/>
        <v>5.7749999996303814</v>
      </c>
      <c r="C189" s="2">
        <f t="shared" si="37"/>
        <v>1.179000000000002</v>
      </c>
      <c r="D189" s="2">
        <f t="shared" si="33"/>
        <v>2.7827747999999701</v>
      </c>
      <c r="E189" s="2"/>
      <c r="F189">
        <v>2908.3863047999998</v>
      </c>
      <c r="G189">
        <v>185.25</v>
      </c>
      <c r="H189">
        <v>39</v>
      </c>
      <c r="I189">
        <v>179.96100000000001</v>
      </c>
      <c r="J189">
        <v>42.93</v>
      </c>
      <c r="K189">
        <v>179.96100000000001</v>
      </c>
      <c r="L189">
        <v>42.93</v>
      </c>
      <c r="M189" t="s">
        <v>37</v>
      </c>
      <c r="N189">
        <v>0</v>
      </c>
      <c r="O189">
        <v>0</v>
      </c>
      <c r="P189">
        <v>0</v>
      </c>
      <c r="Q189">
        <v>0</v>
      </c>
      <c r="R189">
        <v>1.03622999191284E-2</v>
      </c>
      <c r="S189">
        <v>8.4521522521972606E-2</v>
      </c>
      <c r="T189">
        <v>0</v>
      </c>
      <c r="U189" s="7">
        <v>166.346</v>
      </c>
      <c r="V189" s="7">
        <v>0.157</v>
      </c>
      <c r="W189" s="7">
        <v>0.871</v>
      </c>
      <c r="X189" s="7">
        <v>0.66800000000000004</v>
      </c>
      <c r="Y189" t="b">
        <v>1</v>
      </c>
      <c r="Z189">
        <v>79</v>
      </c>
      <c r="AA189">
        <f t="shared" si="30"/>
        <v>1.0362299919128399</v>
      </c>
      <c r="AB189">
        <f t="shared" si="41"/>
        <v>43.140119451881702</v>
      </c>
      <c r="AC189" t="b">
        <f t="shared" si="35"/>
        <v>0</v>
      </c>
      <c r="AE189" s="2">
        <f t="shared" si="38"/>
        <v>3.132919999961814E-2</v>
      </c>
      <c r="AF189" s="2">
        <f t="shared" si="39"/>
        <v>5.9700742999998511</v>
      </c>
      <c r="AG189">
        <v>2915.9683501999998</v>
      </c>
      <c r="AH189">
        <v>257.48103999999898</v>
      </c>
      <c r="AI189">
        <v>199.10484</v>
      </c>
      <c r="AJ189" s="2">
        <f t="shared" si="36"/>
        <v>172.46505714285721</v>
      </c>
      <c r="AK189" s="2">
        <f t="shared" si="31"/>
        <v>180.73973314328512</v>
      </c>
      <c r="AL189" s="2">
        <f t="shared" si="40"/>
        <v>8.2746760004279167</v>
      </c>
    </row>
    <row r="190" spans="1:38" x14ac:dyDescent="0.3">
      <c r="A190">
        <f t="shared" si="29"/>
        <v>0</v>
      </c>
      <c r="B190" s="2">
        <f t="shared" si="32"/>
        <v>9.6786000003703521</v>
      </c>
      <c r="C190" s="2">
        <f t="shared" si="37"/>
        <v>0.39300000000000068</v>
      </c>
      <c r="D190" s="2">
        <f t="shared" si="33"/>
        <v>2.7924534000003405</v>
      </c>
      <c r="E190" s="2"/>
      <c r="F190">
        <v>2908.3959834000002</v>
      </c>
      <c r="G190">
        <v>185.25</v>
      </c>
      <c r="H190">
        <v>39</v>
      </c>
      <c r="I190">
        <v>180.57599999999999</v>
      </c>
      <c r="J190">
        <v>43.323</v>
      </c>
      <c r="K190">
        <v>180.57599999999999</v>
      </c>
      <c r="L190">
        <v>43.323</v>
      </c>
      <c r="M190" t="s">
        <v>37</v>
      </c>
      <c r="N190">
        <v>0</v>
      </c>
      <c r="O190">
        <v>0</v>
      </c>
      <c r="P190">
        <v>0</v>
      </c>
      <c r="Q190">
        <v>0</v>
      </c>
      <c r="R190">
        <v>1.03622999191284E-2</v>
      </c>
      <c r="S190">
        <v>8.4521522521972606E-2</v>
      </c>
      <c r="T190">
        <v>0</v>
      </c>
      <c r="U190" s="7">
        <v>166.346</v>
      </c>
      <c r="V190" s="7">
        <v>0.157</v>
      </c>
      <c r="W190" s="7">
        <v>0.871</v>
      </c>
      <c r="X190" s="7">
        <v>0.66800000000000004</v>
      </c>
      <c r="Y190" t="b">
        <v>1</v>
      </c>
      <c r="Z190">
        <v>79</v>
      </c>
      <c r="AA190">
        <f t="shared" si="30"/>
        <v>1.0362299919128399</v>
      </c>
      <c r="AB190">
        <f t="shared" si="41"/>
        <v>43.150148707481812</v>
      </c>
      <c r="AC190">
        <f t="shared" si="35"/>
        <v>40.605046182811826</v>
      </c>
      <c r="AE190" s="2">
        <f t="shared" si="38"/>
        <v>3.1074100000296312E-2</v>
      </c>
      <c r="AF190" s="2">
        <f t="shared" si="39"/>
        <v>6.0011484000001474</v>
      </c>
      <c r="AG190">
        <v>2915.9994243000001</v>
      </c>
      <c r="AH190">
        <v>257.88087999999902</v>
      </c>
      <c r="AI190">
        <v>200.99196000000001</v>
      </c>
      <c r="AJ190" s="2">
        <f t="shared" si="36"/>
        <v>174.35217714285722</v>
      </c>
      <c r="AK190" s="2">
        <f t="shared" si="31"/>
        <v>182.47725811664083</v>
      </c>
      <c r="AL190" s="2">
        <f t="shared" si="40"/>
        <v>8.1250809737836107</v>
      </c>
    </row>
    <row r="191" spans="1:38" x14ac:dyDescent="0.3">
      <c r="A191">
        <f t="shared" si="29"/>
        <v>0</v>
      </c>
      <c r="B191" s="2">
        <f t="shared" si="32"/>
        <v>15.526099999988219</v>
      </c>
      <c r="C191" s="2">
        <f t="shared" si="37"/>
        <v>0.39300000000000068</v>
      </c>
      <c r="D191" s="2">
        <f t="shared" si="33"/>
        <v>2.8079795000003287</v>
      </c>
      <c r="E191" s="2"/>
      <c r="F191">
        <v>2908.4115095000002</v>
      </c>
      <c r="G191">
        <v>185.25</v>
      </c>
      <c r="H191">
        <v>39</v>
      </c>
      <c r="I191">
        <v>181.191</v>
      </c>
      <c r="J191">
        <v>43.716000000000001</v>
      </c>
      <c r="K191">
        <v>181.191</v>
      </c>
      <c r="L191">
        <v>43.716000000000001</v>
      </c>
      <c r="M191" t="s">
        <v>37</v>
      </c>
      <c r="N191">
        <v>0</v>
      </c>
      <c r="O191">
        <v>0</v>
      </c>
      <c r="P191">
        <v>0</v>
      </c>
      <c r="Q191">
        <v>0</v>
      </c>
      <c r="R191">
        <v>1.5206049919128399E-2</v>
      </c>
      <c r="S191">
        <v>6.4850662231445297E-2</v>
      </c>
      <c r="T191">
        <v>0</v>
      </c>
      <c r="U191" s="7">
        <v>166.05199999999999</v>
      </c>
      <c r="V191" s="7">
        <v>-0.13800000000000001</v>
      </c>
      <c r="W191" s="7">
        <v>-0.156</v>
      </c>
      <c r="X191" s="7">
        <v>0.67700000000000005</v>
      </c>
      <c r="Y191" t="b">
        <v>1</v>
      </c>
      <c r="Z191">
        <v>79</v>
      </c>
      <c r="AA191">
        <f t="shared" si="30"/>
        <v>1.5206049919128399</v>
      </c>
      <c r="AB191">
        <f t="shared" si="41"/>
        <v>43.166237317959236</v>
      </c>
      <c r="AC191">
        <f t="shared" si="35"/>
        <v>25.312216203702082</v>
      </c>
      <c r="AE191" s="2">
        <f t="shared" si="38"/>
        <v>3.075330000001486E-2</v>
      </c>
      <c r="AF191" s="2">
        <f t="shared" si="39"/>
        <v>6.0319017000001622</v>
      </c>
      <c r="AG191">
        <v>2916.0301776000001</v>
      </c>
      <c r="AH191">
        <v>258.25611999999899</v>
      </c>
      <c r="AI191">
        <v>202.88955999999999</v>
      </c>
      <c r="AJ191" s="2">
        <f t="shared" si="36"/>
        <v>176.2497771428572</v>
      </c>
      <c r="AK191" s="2">
        <f t="shared" si="31"/>
        <v>184.19930272251401</v>
      </c>
      <c r="AL191" s="2">
        <f t="shared" si="40"/>
        <v>7.9495255796568074</v>
      </c>
    </row>
    <row r="192" spans="1:38" x14ac:dyDescent="0.3">
      <c r="A192">
        <f t="shared" si="29"/>
        <v>0</v>
      </c>
      <c r="B192" s="2">
        <f t="shared" si="32"/>
        <v>15.813999999863881</v>
      </c>
      <c r="C192" s="2">
        <f t="shared" si="37"/>
        <v>0.52400000000000091</v>
      </c>
      <c r="D192" s="2">
        <f t="shared" si="33"/>
        <v>2.8237935000001926</v>
      </c>
      <c r="E192" s="2"/>
      <c r="F192">
        <v>2908.4273235000001</v>
      </c>
      <c r="G192">
        <v>185.25</v>
      </c>
      <c r="H192">
        <v>39</v>
      </c>
      <c r="I192">
        <v>181.68299999999999</v>
      </c>
      <c r="J192">
        <v>44.24</v>
      </c>
      <c r="K192">
        <v>181.68299999999999</v>
      </c>
      <c r="L192">
        <v>44.24</v>
      </c>
      <c r="M192" t="s">
        <v>37</v>
      </c>
      <c r="N192">
        <v>0</v>
      </c>
      <c r="O192">
        <v>0</v>
      </c>
      <c r="P192">
        <v>0</v>
      </c>
      <c r="Q192">
        <v>0</v>
      </c>
      <c r="R192">
        <v>1.5206049919128399E-2</v>
      </c>
      <c r="S192">
        <v>6.4850662231445297E-2</v>
      </c>
      <c r="T192">
        <v>0</v>
      </c>
      <c r="U192" s="7">
        <v>166.05199999999999</v>
      </c>
      <c r="V192" s="7">
        <v>-0.13800000000000001</v>
      </c>
      <c r="W192" s="7">
        <v>-0.156</v>
      </c>
      <c r="X192" s="7">
        <v>0.67700000000000005</v>
      </c>
      <c r="Y192" t="b">
        <v>1</v>
      </c>
      <c r="Z192">
        <v>79</v>
      </c>
      <c r="AA192">
        <f t="shared" si="30"/>
        <v>1.5206049919128399</v>
      </c>
      <c r="AB192">
        <f t="shared" si="41"/>
        <v>43.190284165301136</v>
      </c>
      <c r="AC192">
        <f t="shared" si="35"/>
        <v>33.135196661471561</v>
      </c>
      <c r="AE192" s="2">
        <f t="shared" si="38"/>
        <v>3.1048800000007759E-2</v>
      </c>
      <c r="AF192" s="2">
        <f t="shared" si="39"/>
        <v>6.06295050000017</v>
      </c>
      <c r="AG192">
        <v>2916.0612264000001</v>
      </c>
      <c r="AH192">
        <v>258.61167999999901</v>
      </c>
      <c r="AI192">
        <v>204.79764</v>
      </c>
      <c r="AJ192" s="2">
        <f t="shared" si="36"/>
        <v>178.15785714285721</v>
      </c>
      <c r="AK192" s="2">
        <f t="shared" si="31"/>
        <v>185.94033291531034</v>
      </c>
      <c r="AL192" s="2">
        <f t="shared" si="40"/>
        <v>7.7824757724531253</v>
      </c>
    </row>
    <row r="193" spans="1:38" x14ac:dyDescent="0.3">
      <c r="A193">
        <f t="shared" si="29"/>
        <v>0</v>
      </c>
      <c r="B193" s="2">
        <f t="shared" si="32"/>
        <v>15.514299999722425</v>
      </c>
      <c r="C193" s="2">
        <f t="shared" si="37"/>
        <v>0.52400000000000091</v>
      </c>
      <c r="D193" s="2">
        <f t="shared" si="33"/>
        <v>2.839307799999915</v>
      </c>
      <c r="E193" s="2"/>
      <c r="F193">
        <v>2908.4428377999998</v>
      </c>
      <c r="G193">
        <v>185.25</v>
      </c>
      <c r="H193">
        <v>39</v>
      </c>
      <c r="I193">
        <v>182.17500000000001</v>
      </c>
      <c r="J193">
        <v>44.764000000000003</v>
      </c>
      <c r="K193">
        <v>182.17500000000001</v>
      </c>
      <c r="L193">
        <v>44.764000000000003</v>
      </c>
      <c r="M193" t="s">
        <v>37</v>
      </c>
      <c r="N193">
        <v>0</v>
      </c>
      <c r="O193">
        <v>0</v>
      </c>
      <c r="P193">
        <v>0</v>
      </c>
      <c r="Q193">
        <v>0</v>
      </c>
      <c r="R193">
        <v>1.5206049919128399E-2</v>
      </c>
      <c r="S193">
        <v>6.4850662231445297E-2</v>
      </c>
      <c r="T193">
        <v>0</v>
      </c>
      <c r="U193" s="7">
        <v>166.05199999999999</v>
      </c>
      <c r="V193" s="7">
        <v>-0.13800000000000001</v>
      </c>
      <c r="W193" s="7">
        <v>-0.156</v>
      </c>
      <c r="X193" s="7">
        <v>0.67700000000000005</v>
      </c>
      <c r="Y193" t="b">
        <v>1</v>
      </c>
      <c r="Z193">
        <v>79</v>
      </c>
      <c r="AA193">
        <f t="shared" si="30"/>
        <v>1.5206049919128399</v>
      </c>
      <c r="AB193">
        <f t="shared" si="41"/>
        <v>43.213875287326751</v>
      </c>
      <c r="AC193">
        <f t="shared" si="35"/>
        <v>33.77529118357748</v>
      </c>
      <c r="AE193" s="2">
        <f t="shared" si="38"/>
        <v>3.105039999991277E-2</v>
      </c>
      <c r="AF193" s="2">
        <f t="shared" si="39"/>
        <v>6.0940009000000828</v>
      </c>
      <c r="AG193">
        <v>2916.0922768</v>
      </c>
      <c r="AH193">
        <v>258.94771428571403</v>
      </c>
      <c r="AI193">
        <v>206.21363428571399</v>
      </c>
      <c r="AJ193" s="2">
        <f t="shared" si="36"/>
        <v>179.5738514285712</v>
      </c>
      <c r="AK193" s="2">
        <f t="shared" si="31"/>
        <v>187.6838631048588</v>
      </c>
      <c r="AL193" s="2">
        <f t="shared" si="40"/>
        <v>8.1100116762875984</v>
      </c>
    </row>
    <row r="194" spans="1:38" x14ac:dyDescent="0.3">
      <c r="A194">
        <f t="shared" si="29"/>
        <v>0</v>
      </c>
      <c r="B194" s="2">
        <f t="shared" si="32"/>
        <v>15.684300000430085</v>
      </c>
      <c r="C194" s="2">
        <f t="shared" si="37"/>
        <v>0.26199999999989387</v>
      </c>
      <c r="D194" s="2">
        <f t="shared" si="33"/>
        <v>2.8549921000003451</v>
      </c>
      <c r="E194" s="2"/>
      <c r="F194">
        <v>2908.4585221000002</v>
      </c>
      <c r="G194">
        <v>185.25</v>
      </c>
      <c r="H194">
        <v>39</v>
      </c>
      <c r="I194">
        <v>182.42099999999999</v>
      </c>
      <c r="J194">
        <v>45.025999999999897</v>
      </c>
      <c r="K194">
        <v>182.42099999999999</v>
      </c>
      <c r="L194">
        <v>45.025999999999897</v>
      </c>
      <c r="M194" t="s">
        <v>37</v>
      </c>
      <c r="N194">
        <v>0</v>
      </c>
      <c r="O194">
        <v>0</v>
      </c>
      <c r="P194">
        <v>0</v>
      </c>
      <c r="Q194">
        <v>0</v>
      </c>
      <c r="R194">
        <v>1.5206049919128399E-2</v>
      </c>
      <c r="S194">
        <v>6.4850662231445297E-2</v>
      </c>
      <c r="T194">
        <v>0</v>
      </c>
      <c r="U194" s="7">
        <v>166.05199999999999</v>
      </c>
      <c r="V194" s="7">
        <v>-0.13800000000000001</v>
      </c>
      <c r="W194" s="7">
        <v>-0.156</v>
      </c>
      <c r="X194" s="7">
        <v>0.67700000000000005</v>
      </c>
      <c r="Y194" t="b">
        <v>1</v>
      </c>
      <c r="Z194">
        <v>79</v>
      </c>
      <c r="AA194">
        <f t="shared" si="30"/>
        <v>1.5206049919128399</v>
      </c>
      <c r="AB194">
        <f t="shared" si="41"/>
        <v>43.237724912202061</v>
      </c>
      <c r="AC194">
        <f t="shared" si="35"/>
        <v>16.70460269139901</v>
      </c>
      <c r="AE194" s="2">
        <f t="shared" si="38"/>
        <v>4.6915599999920232E-2</v>
      </c>
      <c r="AF194" s="2">
        <f t="shared" si="39"/>
        <v>6.140916500000003</v>
      </c>
      <c r="AG194">
        <v>2916.1391924</v>
      </c>
      <c r="AH194">
        <v>259.27867428571398</v>
      </c>
      <c r="AI194">
        <v>208.168874285714</v>
      </c>
      <c r="AJ194" s="2">
        <f t="shared" si="36"/>
        <v>181.52909142857121</v>
      </c>
      <c r="AK194" s="2">
        <f t="shared" si="31"/>
        <v>190.32273372212313</v>
      </c>
      <c r="AL194" s="2">
        <f t="shared" si="40"/>
        <v>8.7936422935519261</v>
      </c>
    </row>
    <row r="195" spans="1:38" x14ac:dyDescent="0.3">
      <c r="A195">
        <f t="shared" si="29"/>
        <v>0</v>
      </c>
      <c r="B195" s="2">
        <f t="shared" si="32"/>
        <v>15.71269999976721</v>
      </c>
      <c r="C195" s="2">
        <f t="shared" si="37"/>
        <v>0.26200000000009993</v>
      </c>
      <c r="D195" s="2">
        <f t="shared" si="33"/>
        <v>2.8707048000001123</v>
      </c>
      <c r="E195" s="2"/>
      <c r="F195">
        <v>2908.4742348</v>
      </c>
      <c r="G195">
        <v>185.25</v>
      </c>
      <c r="H195">
        <v>39</v>
      </c>
      <c r="I195">
        <v>182.667</v>
      </c>
      <c r="J195">
        <v>45.287999999999997</v>
      </c>
      <c r="K195">
        <v>182.667</v>
      </c>
      <c r="L195">
        <v>45.287999999999997</v>
      </c>
      <c r="M195" t="s">
        <v>37</v>
      </c>
      <c r="N195">
        <v>0</v>
      </c>
      <c r="O195">
        <v>0</v>
      </c>
      <c r="P195">
        <v>0</v>
      </c>
      <c r="Q195">
        <v>0</v>
      </c>
      <c r="R195">
        <v>1.4251164436340299E-2</v>
      </c>
      <c r="S195">
        <v>5.92550354003906E-2</v>
      </c>
      <c r="T195">
        <v>0</v>
      </c>
      <c r="U195" s="7">
        <v>165.88</v>
      </c>
      <c r="V195" s="7">
        <v>-0.13700000000000001</v>
      </c>
      <c r="W195" s="7">
        <v>-0.55100000000000005</v>
      </c>
      <c r="X195" s="7">
        <v>0.68500000000000005</v>
      </c>
      <c r="Y195" t="b">
        <v>1</v>
      </c>
      <c r="Z195">
        <v>79</v>
      </c>
      <c r="AA195">
        <f t="shared" si="30"/>
        <v>1.42511644363403</v>
      </c>
      <c r="AB195">
        <f t="shared" si="41"/>
        <v>43.261617722258137</v>
      </c>
      <c r="AC195">
        <f t="shared" si="35"/>
        <v>16.674409872522325</v>
      </c>
      <c r="AE195" s="2">
        <f t="shared" si="38"/>
        <v>3.1336300000020856E-2</v>
      </c>
      <c r="AF195" s="2">
        <f t="shared" si="39"/>
        <v>6.1722528000000239</v>
      </c>
      <c r="AG195">
        <v>2916.1705287</v>
      </c>
      <c r="AH195">
        <v>259.60963428571398</v>
      </c>
      <c r="AI195">
        <v>210.134594285714</v>
      </c>
      <c r="AJ195" s="2">
        <f t="shared" si="36"/>
        <v>183.49481142857121</v>
      </c>
      <c r="AK195" s="2">
        <f t="shared" si="31"/>
        <v>192.08825994480264</v>
      </c>
      <c r="AL195" s="2">
        <f t="shared" si="40"/>
        <v>8.5934485162314331</v>
      </c>
    </row>
    <row r="196" spans="1:38" x14ac:dyDescent="0.3">
      <c r="A196">
        <f t="shared" si="29"/>
        <v>0</v>
      </c>
      <c r="B196" s="2">
        <f t="shared" si="32"/>
        <v>15.298799999982293</v>
      </c>
      <c r="C196" s="2">
        <f t="shared" si="37"/>
        <v>0.26200000000000045</v>
      </c>
      <c r="D196" s="2">
        <f t="shared" si="33"/>
        <v>2.8860036000000946</v>
      </c>
      <c r="E196" s="2"/>
      <c r="F196">
        <v>2908.4895336</v>
      </c>
      <c r="G196">
        <v>185.25</v>
      </c>
      <c r="H196">
        <v>39</v>
      </c>
      <c r="I196">
        <v>182.42099999999999</v>
      </c>
      <c r="J196">
        <v>45.55</v>
      </c>
      <c r="K196">
        <v>182.42099999999999</v>
      </c>
      <c r="L196">
        <v>45.55</v>
      </c>
      <c r="M196" t="s">
        <v>37</v>
      </c>
      <c r="N196">
        <v>0</v>
      </c>
      <c r="O196">
        <v>0</v>
      </c>
      <c r="P196">
        <v>0</v>
      </c>
      <c r="Q196">
        <v>0</v>
      </c>
      <c r="R196">
        <v>1.4251164436340299E-2</v>
      </c>
      <c r="S196">
        <v>5.92550354003906E-2</v>
      </c>
      <c r="T196">
        <v>0</v>
      </c>
      <c r="U196" s="7">
        <v>165.88</v>
      </c>
      <c r="V196" s="7">
        <v>-0.13700000000000001</v>
      </c>
      <c r="W196" s="7">
        <v>-0.55100000000000005</v>
      </c>
      <c r="X196" s="7">
        <v>0.68500000000000005</v>
      </c>
      <c r="Y196" t="b">
        <v>1</v>
      </c>
      <c r="Z196">
        <v>79</v>
      </c>
      <c r="AA196">
        <f t="shared" si="30"/>
        <v>1.42511644363403</v>
      </c>
      <c r="AB196">
        <f t="shared" si="41"/>
        <v>43.28342029370598</v>
      </c>
      <c r="AC196">
        <f t="shared" si="35"/>
        <v>17.125526185080115</v>
      </c>
      <c r="AE196" s="2">
        <f t="shared" si="38"/>
        <v>1.5381700000034471E-2</v>
      </c>
      <c r="AF196" s="2">
        <f t="shared" si="39"/>
        <v>6.1876345000000583</v>
      </c>
      <c r="AG196">
        <v>2916.1859104</v>
      </c>
      <c r="AH196">
        <v>259.93567428571401</v>
      </c>
      <c r="AI196">
        <v>212.11603428571399</v>
      </c>
      <c r="AJ196" s="2">
        <f t="shared" si="36"/>
        <v>185.4762514285712</v>
      </c>
      <c r="AK196" s="2">
        <f t="shared" si="31"/>
        <v>192.95573344484544</v>
      </c>
      <c r="AL196" s="2">
        <f t="shared" si="40"/>
        <v>7.4794820162742326</v>
      </c>
    </row>
    <row r="197" spans="1:38" x14ac:dyDescent="0.3">
      <c r="A197">
        <f t="shared" si="29"/>
        <v>0</v>
      </c>
      <c r="B197" s="2">
        <f t="shared" si="32"/>
        <v>15.855499999815947</v>
      </c>
      <c r="C197" s="2">
        <f t="shared" si="37"/>
        <v>0.26200000000000045</v>
      </c>
      <c r="D197" s="2">
        <f t="shared" si="33"/>
        <v>2.9018590999999105</v>
      </c>
      <c r="E197" s="2"/>
      <c r="F197">
        <v>2908.5053890999998</v>
      </c>
      <c r="G197">
        <v>185.25</v>
      </c>
      <c r="H197">
        <v>39</v>
      </c>
      <c r="I197">
        <v>182.17500000000001</v>
      </c>
      <c r="J197">
        <v>45.811999999999998</v>
      </c>
      <c r="K197">
        <v>182.17500000000001</v>
      </c>
      <c r="L197">
        <v>45.811999999999998</v>
      </c>
      <c r="M197" t="s">
        <v>37</v>
      </c>
      <c r="N197">
        <v>0</v>
      </c>
      <c r="O197">
        <v>0</v>
      </c>
      <c r="P197">
        <v>0</v>
      </c>
      <c r="Q197">
        <v>0</v>
      </c>
      <c r="R197">
        <v>1.4251164436340299E-2</v>
      </c>
      <c r="S197">
        <v>5.92550354003906E-2</v>
      </c>
      <c r="T197">
        <v>0</v>
      </c>
      <c r="U197" s="7">
        <v>165.88</v>
      </c>
      <c r="V197" s="7">
        <v>-0.13700000000000001</v>
      </c>
      <c r="W197" s="7">
        <v>-0.55100000000000005</v>
      </c>
      <c r="X197" s="7">
        <v>0.68500000000000005</v>
      </c>
      <c r="Y197" t="b">
        <v>1</v>
      </c>
      <c r="Z197">
        <v>79</v>
      </c>
      <c r="AA197">
        <f t="shared" si="30"/>
        <v>1.42511644363403</v>
      </c>
      <c r="AB197">
        <f t="shared" si="41"/>
        <v>43.306016227477755</v>
      </c>
      <c r="AC197">
        <f t="shared" si="35"/>
        <v>16.524234492954609</v>
      </c>
      <c r="AE197" s="2">
        <f t="shared" si="38"/>
        <v>4.7103100000185805E-2</v>
      </c>
      <c r="AF197" s="2">
        <f t="shared" si="39"/>
        <v>6.2347376000002441</v>
      </c>
      <c r="AG197">
        <v>2916.2330135000002</v>
      </c>
      <c r="AH197">
        <v>260.26171428571399</v>
      </c>
      <c r="AI197">
        <v>214.113194285714</v>
      </c>
      <c r="AJ197" s="2">
        <f t="shared" si="36"/>
        <v>187.47341142857121</v>
      </c>
      <c r="AK197" s="2">
        <f t="shared" si="31"/>
        <v>195.61560240221303</v>
      </c>
      <c r="AL197" s="2">
        <f t="shared" si="40"/>
        <v>8.1421909736418172</v>
      </c>
    </row>
    <row r="198" spans="1:38" x14ac:dyDescent="0.3">
      <c r="A198">
        <f t="shared" si="29"/>
        <v>0</v>
      </c>
      <c r="B198" s="2">
        <f t="shared" si="32"/>
        <v>15.50150000002759</v>
      </c>
      <c r="C198" s="2">
        <f t="shared" si="37"/>
        <v>-0.13100000000000023</v>
      </c>
      <c r="D198" s="2">
        <f t="shared" si="33"/>
        <v>2.9173605999999381</v>
      </c>
      <c r="E198" s="2"/>
      <c r="F198">
        <v>2908.5208905999998</v>
      </c>
      <c r="G198">
        <v>185.25</v>
      </c>
      <c r="H198">
        <v>39</v>
      </c>
      <c r="I198">
        <v>181.929</v>
      </c>
      <c r="J198">
        <v>45.680999999999997</v>
      </c>
      <c r="K198">
        <v>181.929</v>
      </c>
      <c r="L198">
        <v>45.680999999999997</v>
      </c>
      <c r="M198" t="s">
        <v>37</v>
      </c>
      <c r="N198">
        <v>0</v>
      </c>
      <c r="O198">
        <v>0</v>
      </c>
      <c r="P198">
        <v>0</v>
      </c>
      <c r="Q198">
        <v>0</v>
      </c>
      <c r="R198">
        <v>1.4251164436340299E-2</v>
      </c>
      <c r="S198">
        <v>5.92550354003906E-2</v>
      </c>
      <c r="T198">
        <v>0</v>
      </c>
      <c r="U198" s="7">
        <v>165.88</v>
      </c>
      <c r="V198" s="7">
        <v>-0.13700000000000001</v>
      </c>
      <c r="W198" s="7">
        <v>-0.55100000000000005</v>
      </c>
      <c r="X198" s="7">
        <v>0.68500000000000005</v>
      </c>
      <c r="Y198" t="b">
        <v>1</v>
      </c>
      <c r="Z198">
        <v>79</v>
      </c>
      <c r="AA198">
        <f t="shared" si="30"/>
        <v>1.42511644363403</v>
      </c>
      <c r="AB198">
        <f t="shared" si="41"/>
        <v>43.328107670028785</v>
      </c>
      <c r="AC198">
        <f t="shared" si="35"/>
        <v>-8.4507950843316504</v>
      </c>
      <c r="AE198" s="2">
        <f t="shared" si="38"/>
        <v>3.0969899999945483E-2</v>
      </c>
      <c r="AF198" s="2">
        <f t="shared" si="39"/>
        <v>6.2657075000001896</v>
      </c>
      <c r="AG198">
        <v>2916.2639834000001</v>
      </c>
      <c r="AH198">
        <v>260.57791428571397</v>
      </c>
      <c r="AI198">
        <v>216.12083428571401</v>
      </c>
      <c r="AJ198" s="2">
        <f t="shared" si="36"/>
        <v>189.48105142857122</v>
      </c>
      <c r="AK198" s="2">
        <f t="shared" si="31"/>
        <v>197.3672077239973</v>
      </c>
      <c r="AL198" s="2">
        <f t="shared" si="40"/>
        <v>7.8861562954260762</v>
      </c>
    </row>
    <row r="199" spans="1:38" x14ac:dyDescent="0.3">
      <c r="A199">
        <f t="shared" ref="A199:A262" si="42">N199*10000</f>
        <v>0</v>
      </c>
      <c r="B199" s="2">
        <f t="shared" si="32"/>
        <v>15.849100000195904</v>
      </c>
      <c r="C199" s="2">
        <f t="shared" si="37"/>
        <v>-0.26200000000000045</v>
      </c>
      <c r="D199" s="2">
        <f t="shared" si="33"/>
        <v>2.933209700000134</v>
      </c>
      <c r="E199" s="2"/>
      <c r="F199">
        <v>2908.5367397</v>
      </c>
      <c r="G199">
        <v>185.25</v>
      </c>
      <c r="H199">
        <v>39</v>
      </c>
      <c r="I199">
        <v>181.80600000000001</v>
      </c>
      <c r="J199">
        <v>45.418999999999997</v>
      </c>
      <c r="K199">
        <v>181.80600000000001</v>
      </c>
      <c r="L199">
        <v>45.418999999999997</v>
      </c>
      <c r="M199" t="s">
        <v>37</v>
      </c>
      <c r="N199">
        <v>0</v>
      </c>
      <c r="O199">
        <v>0</v>
      </c>
      <c r="P199">
        <v>0</v>
      </c>
      <c r="Q199">
        <v>0</v>
      </c>
      <c r="R199">
        <v>-1.03422498703002E-2</v>
      </c>
      <c r="S199">
        <v>6.04132995605468E-2</v>
      </c>
      <c r="T199">
        <v>0</v>
      </c>
      <c r="U199" s="7">
        <v>165.82499999999999</v>
      </c>
      <c r="V199" s="7">
        <v>0.13700000000000001</v>
      </c>
      <c r="W199" s="7">
        <v>-0.44700000000000001</v>
      </c>
      <c r="X199" s="7">
        <v>0.69399999999999995</v>
      </c>
      <c r="Y199" t="b">
        <v>1</v>
      </c>
      <c r="Z199">
        <v>79</v>
      </c>
      <c r="AA199">
        <f t="shared" ref="AA199:AA262" si="43">R199*100</f>
        <v>-1.03422498703002</v>
      </c>
      <c r="AB199">
        <f t="shared" si="41"/>
        <v>43.350694483055868</v>
      </c>
      <c r="AC199">
        <f t="shared" si="35"/>
        <v>-16.530907117550019</v>
      </c>
      <c r="AE199" s="2">
        <f t="shared" si="38"/>
        <v>3.0881499999850348E-2</v>
      </c>
      <c r="AF199" s="2">
        <f t="shared" si="39"/>
        <v>6.29658900000004</v>
      </c>
      <c r="AG199">
        <v>2916.2948649</v>
      </c>
      <c r="AH199">
        <v>260.87949142857099</v>
      </c>
      <c r="AI199">
        <v>218.02036000000001</v>
      </c>
      <c r="AJ199" s="2">
        <f t="shared" si="36"/>
        <v>191.38057714285722</v>
      </c>
      <c r="AK199" s="2">
        <f t="shared" ref="AK199:AK208" si="44">IF(AF199&lt;$AK$3,0,$AK$1*((AF199-$AK$3)-$AK$2+($AK$2*(EXP(-1*(AF199-$AK$3)/$AK$2)))))</f>
        <v>199.11595397470907</v>
      </c>
      <c r="AL199" s="2">
        <f t="shared" si="40"/>
        <v>7.7353768318518519</v>
      </c>
    </row>
    <row r="200" spans="1:38" x14ac:dyDescent="0.3">
      <c r="A200">
        <f t="shared" si="42"/>
        <v>0</v>
      </c>
      <c r="B200" s="2">
        <f t="shared" ref="B200:B263" si="45">(F200-F199)*1000</f>
        <v>15.353100000083941</v>
      </c>
      <c r="C200" s="2">
        <f t="shared" si="37"/>
        <v>-0.39300000000010016</v>
      </c>
      <c r="D200" s="2">
        <f t="shared" ref="D200:D263" si="46">F200-$F$7</f>
        <v>2.948562800000218</v>
      </c>
      <c r="E200" s="2"/>
      <c r="F200">
        <v>2908.5520928000001</v>
      </c>
      <c r="G200">
        <v>185.25</v>
      </c>
      <c r="H200">
        <v>39</v>
      </c>
      <c r="I200">
        <v>181.80600000000001</v>
      </c>
      <c r="J200">
        <v>45.025999999999897</v>
      </c>
      <c r="K200">
        <v>181.80600000000001</v>
      </c>
      <c r="L200">
        <v>45.025999999999897</v>
      </c>
      <c r="M200" t="s">
        <v>37</v>
      </c>
      <c r="N200">
        <v>0</v>
      </c>
      <c r="O200">
        <v>0</v>
      </c>
      <c r="P200">
        <v>0</v>
      </c>
      <c r="Q200">
        <v>0</v>
      </c>
      <c r="R200">
        <v>-1.03422498703002E-2</v>
      </c>
      <c r="S200">
        <v>6.04132995605468E-2</v>
      </c>
      <c r="T200">
        <v>0</v>
      </c>
      <c r="U200" s="7">
        <v>165.82499999999999</v>
      </c>
      <c r="V200" s="7">
        <v>0.13700000000000001</v>
      </c>
      <c r="W200" s="7">
        <v>-0.44700000000000001</v>
      </c>
      <c r="X200" s="7">
        <v>0.69399999999999995</v>
      </c>
      <c r="Y200" t="b">
        <v>1</v>
      </c>
      <c r="Z200">
        <v>79</v>
      </c>
      <c r="AA200">
        <f t="shared" si="43"/>
        <v>-1.03422498703002</v>
      </c>
      <c r="AB200">
        <f t="shared" si="41"/>
        <v>43.334815923407412</v>
      </c>
      <c r="AC200">
        <f t="shared" ref="AC200:AC263" si="47">IF((L200-L199)/(D200-D199)&lt;100,IF((L200-L199)/(D200-D199)&gt;(-1*20),(L200-L199)/(D200-D199),AC199))</f>
        <v>-16.530907117550019</v>
      </c>
      <c r="AE200" s="2">
        <f t="shared" si="38"/>
        <v>3.1784899999820482E-2</v>
      </c>
      <c r="AF200" s="2">
        <f t="shared" si="39"/>
        <v>6.3283738999998604</v>
      </c>
      <c r="AG200">
        <v>2916.3266497999998</v>
      </c>
      <c r="AH200">
        <v>261.17601142857097</v>
      </c>
      <c r="AI200">
        <v>220.05420000000001</v>
      </c>
      <c r="AJ200" s="2">
        <f t="shared" ref="AJ200:AJ208" si="48">AI200-$AI$4</f>
        <v>193.41441714285722</v>
      </c>
      <c r="AK200" s="2">
        <f t="shared" si="44"/>
        <v>200.91805276438245</v>
      </c>
      <c r="AL200" s="2">
        <f t="shared" si="40"/>
        <v>7.503635621525234</v>
      </c>
    </row>
    <row r="201" spans="1:38" x14ac:dyDescent="0.3">
      <c r="A201">
        <f t="shared" si="42"/>
        <v>0</v>
      </c>
      <c r="B201" s="2">
        <f t="shared" si="45"/>
        <v>15.679000000091037</v>
      </c>
      <c r="C201" s="2">
        <f t="shared" ref="C201:C264" si="49">L201-L200</f>
        <v>-0.52399999999989433</v>
      </c>
      <c r="D201" s="2">
        <f t="shared" si="46"/>
        <v>2.964241800000309</v>
      </c>
      <c r="E201" s="2"/>
      <c r="F201">
        <v>2908.5677718000002</v>
      </c>
      <c r="G201">
        <v>185.25</v>
      </c>
      <c r="H201">
        <v>39</v>
      </c>
      <c r="I201">
        <v>182.05199999999999</v>
      </c>
      <c r="J201">
        <v>44.502000000000002</v>
      </c>
      <c r="K201">
        <v>182.05199999999999</v>
      </c>
      <c r="L201">
        <v>44.502000000000002</v>
      </c>
      <c r="M201" t="s">
        <v>37</v>
      </c>
      <c r="N201">
        <v>0</v>
      </c>
      <c r="O201">
        <v>0</v>
      </c>
      <c r="P201">
        <v>0</v>
      </c>
      <c r="Q201">
        <v>0</v>
      </c>
      <c r="R201">
        <v>-1.03422498703002E-2</v>
      </c>
      <c r="S201">
        <v>6.04132995605468E-2</v>
      </c>
      <c r="T201">
        <v>0</v>
      </c>
      <c r="U201" s="7">
        <v>165.82499999999999</v>
      </c>
      <c r="V201" s="7">
        <v>0.13700000000000001</v>
      </c>
      <c r="W201" s="7">
        <v>-0.44700000000000001</v>
      </c>
      <c r="X201" s="7">
        <v>0.69399999999999995</v>
      </c>
      <c r="Y201" t="b">
        <v>1</v>
      </c>
      <c r="Z201">
        <v>79</v>
      </c>
      <c r="AA201">
        <f t="shared" si="43"/>
        <v>-1.03422498703002</v>
      </c>
      <c r="AB201">
        <f t="shared" si="41"/>
        <v>43.318600309835674</v>
      </c>
      <c r="AC201">
        <f t="shared" si="47"/>
        <v>-16.530907117550019</v>
      </c>
      <c r="AE201" s="2">
        <f t="shared" si="38"/>
        <v>3.179790000012872E-2</v>
      </c>
      <c r="AF201" s="2">
        <f t="shared" si="39"/>
        <v>6.3601717999999892</v>
      </c>
      <c r="AG201">
        <v>2916.3584476999999</v>
      </c>
      <c r="AH201">
        <v>261.47253142857102</v>
      </c>
      <c r="AI201">
        <v>222.10375999999999</v>
      </c>
      <c r="AJ201" s="2">
        <f t="shared" si="48"/>
        <v>195.4639771428572</v>
      </c>
      <c r="AK201" s="2">
        <f t="shared" si="44"/>
        <v>202.72307929815096</v>
      </c>
      <c r="AL201" s="2">
        <f t="shared" si="40"/>
        <v>7.2591021552937605</v>
      </c>
    </row>
    <row r="202" spans="1:38" x14ac:dyDescent="0.3">
      <c r="A202">
        <f t="shared" si="42"/>
        <v>0</v>
      </c>
      <c r="B202" s="2">
        <f t="shared" si="45"/>
        <v>15.304900000046473</v>
      </c>
      <c r="C202" s="2">
        <f t="shared" si="49"/>
        <v>-0.26200000000000045</v>
      </c>
      <c r="D202" s="2">
        <f t="shared" si="46"/>
        <v>2.9795467000003555</v>
      </c>
      <c r="E202" s="2"/>
      <c r="F202">
        <v>2908.5830767000002</v>
      </c>
      <c r="G202">
        <v>185.25</v>
      </c>
      <c r="H202">
        <v>39</v>
      </c>
      <c r="I202">
        <v>182.54400000000001</v>
      </c>
      <c r="J202">
        <v>44.24</v>
      </c>
      <c r="K202">
        <v>182.54400000000001</v>
      </c>
      <c r="L202">
        <v>44.24</v>
      </c>
      <c r="M202" t="s">
        <v>37</v>
      </c>
      <c r="N202">
        <v>0</v>
      </c>
      <c r="O202">
        <v>0</v>
      </c>
      <c r="P202">
        <v>0</v>
      </c>
      <c r="Q202">
        <v>0</v>
      </c>
      <c r="R202">
        <v>-1.03422498703002E-2</v>
      </c>
      <c r="S202">
        <v>6.04132995605468E-2</v>
      </c>
      <c r="T202">
        <v>0</v>
      </c>
      <c r="U202" s="7">
        <v>165.82499999999999</v>
      </c>
      <c r="V202" s="7">
        <v>0.13700000000000001</v>
      </c>
      <c r="W202" s="7">
        <v>-0.44700000000000001</v>
      </c>
      <c r="X202" s="7">
        <v>0.69399999999999995</v>
      </c>
      <c r="Y202" t="b">
        <v>1</v>
      </c>
      <c r="Z202">
        <v>79</v>
      </c>
      <c r="AA202">
        <f t="shared" si="43"/>
        <v>-1.03422498703002</v>
      </c>
      <c r="AB202">
        <f t="shared" si="41"/>
        <v>43.30277159983163</v>
      </c>
      <c r="AC202">
        <f t="shared" si="47"/>
        <v>-17.118700546831725</v>
      </c>
      <c r="AE202" s="2">
        <f t="shared" si="38"/>
        <v>3.1254699999863078E-2</v>
      </c>
      <c r="AF202" s="2">
        <f t="shared" si="39"/>
        <v>6.3914264999998522</v>
      </c>
      <c r="AG202">
        <v>2916.3897023999998</v>
      </c>
      <c r="AH202">
        <v>261.76413142857098</v>
      </c>
      <c r="AI202">
        <v>224.16904</v>
      </c>
      <c r="AJ202" s="2">
        <f t="shared" si="48"/>
        <v>197.5292571428572</v>
      </c>
      <c r="AK202" s="2">
        <f t="shared" si="44"/>
        <v>204.49937003027676</v>
      </c>
      <c r="AL202" s="2">
        <f t="shared" si="40"/>
        <v>6.9701128874195604</v>
      </c>
    </row>
    <row r="203" spans="1:38" x14ac:dyDescent="0.3">
      <c r="A203">
        <f t="shared" si="42"/>
        <v>0</v>
      </c>
      <c r="B203" s="2">
        <f t="shared" si="45"/>
        <v>15.296699999908014</v>
      </c>
      <c r="C203" s="2">
        <f t="shared" si="49"/>
        <v>-0.81220000000010373</v>
      </c>
      <c r="D203" s="2">
        <f t="shared" si="46"/>
        <v>2.9948434000002635</v>
      </c>
      <c r="E203" s="2"/>
      <c r="F203">
        <v>2908.5983734000001</v>
      </c>
      <c r="G203">
        <v>185.25</v>
      </c>
      <c r="H203">
        <v>39</v>
      </c>
      <c r="I203">
        <v>182.79</v>
      </c>
      <c r="J203">
        <v>43.847000000000001</v>
      </c>
      <c r="K203">
        <v>181.47071999999901</v>
      </c>
      <c r="L203">
        <v>43.427799999999898</v>
      </c>
      <c r="M203" t="s">
        <v>37</v>
      </c>
      <c r="N203">
        <v>0</v>
      </c>
      <c r="O203">
        <v>0</v>
      </c>
      <c r="P203">
        <v>0</v>
      </c>
      <c r="Q203">
        <v>0</v>
      </c>
      <c r="R203">
        <v>-1.03422498703002E-2</v>
      </c>
      <c r="S203">
        <v>6.04132995605468E-2</v>
      </c>
      <c r="T203">
        <v>0</v>
      </c>
      <c r="U203" s="7">
        <v>165.82499999999999</v>
      </c>
      <c r="V203" s="7">
        <v>0.13700000000000001</v>
      </c>
      <c r="W203" s="7">
        <v>-0.44700000000000001</v>
      </c>
      <c r="X203" s="7">
        <v>0.69399999999999995</v>
      </c>
      <c r="Y203" t="b">
        <v>1</v>
      </c>
      <c r="Z203">
        <v>79</v>
      </c>
      <c r="AA203">
        <f t="shared" si="43"/>
        <v>-1.03422498703002</v>
      </c>
      <c r="AB203">
        <f t="shared" si="41"/>
        <v>43.286951370472622</v>
      </c>
      <c r="AC203">
        <f t="shared" si="47"/>
        <v>-17.118700546831725</v>
      </c>
      <c r="AE203" s="2">
        <f t="shared" si="38"/>
        <v>4.6444500000234257E-2</v>
      </c>
      <c r="AF203" s="2">
        <f t="shared" si="39"/>
        <v>6.4378710000000865</v>
      </c>
      <c r="AG203">
        <v>2916.4361469</v>
      </c>
      <c r="AH203">
        <v>262.05081142857102</v>
      </c>
      <c r="AI203">
        <v>225.45132000000001</v>
      </c>
      <c r="AJ203" s="2">
        <f t="shared" si="48"/>
        <v>198.81153714285722</v>
      </c>
      <c r="AK203" s="2">
        <f t="shared" si="44"/>
        <v>207.14270833772281</v>
      </c>
      <c r="AL203" s="2">
        <f t="shared" si="40"/>
        <v>8.3311711948655898</v>
      </c>
    </row>
    <row r="204" spans="1:38" x14ac:dyDescent="0.3">
      <c r="A204">
        <f t="shared" si="42"/>
        <v>0</v>
      </c>
      <c r="B204" s="2">
        <f t="shared" si="45"/>
        <v>15.422599999965314</v>
      </c>
      <c r="C204" s="2">
        <f t="shared" si="49"/>
        <v>1.5720000000001733E-2</v>
      </c>
      <c r="D204" s="2">
        <f t="shared" si="46"/>
        <v>3.0102660000002288</v>
      </c>
      <c r="E204" s="2"/>
      <c r="F204">
        <v>2908.6137960000001</v>
      </c>
      <c r="G204">
        <v>185.25</v>
      </c>
      <c r="H204">
        <v>39</v>
      </c>
      <c r="I204">
        <v>183.036</v>
      </c>
      <c r="J204">
        <v>43.716000000000001</v>
      </c>
      <c r="K204">
        <v>181.59371999999999</v>
      </c>
      <c r="L204">
        <v>43.4435199999999</v>
      </c>
      <c r="M204" t="s">
        <v>37</v>
      </c>
      <c r="N204">
        <v>0</v>
      </c>
      <c r="O204">
        <v>0</v>
      </c>
      <c r="P204">
        <v>0</v>
      </c>
      <c r="Q204">
        <v>0</v>
      </c>
      <c r="R204">
        <v>-7.1470823287963798E-3</v>
      </c>
      <c r="S204">
        <v>7.8280860900878907E-2</v>
      </c>
      <c r="T204">
        <v>0</v>
      </c>
      <c r="U204" s="7">
        <v>165.821</v>
      </c>
      <c r="V204" s="7">
        <v>0.372</v>
      </c>
      <c r="W204" s="7">
        <v>-0.12</v>
      </c>
      <c r="X204" s="7">
        <v>0.70899999999999996</v>
      </c>
      <c r="Y204" t="b">
        <v>1</v>
      </c>
      <c r="Z204">
        <v>79</v>
      </c>
      <c r="AA204">
        <f t="shared" si="43"/>
        <v>-0.71470823287963803</v>
      </c>
      <c r="AB204">
        <f t="shared" si="41"/>
        <v>43.27100093218769</v>
      </c>
      <c r="AC204">
        <f t="shared" si="47"/>
        <v>1.0192833893141939</v>
      </c>
      <c r="AE204" s="2">
        <f t="shared" si="38"/>
        <v>3.0900499999916065E-2</v>
      </c>
      <c r="AF204" s="2">
        <f t="shared" si="39"/>
        <v>6.4687715000000026</v>
      </c>
      <c r="AG204">
        <v>2916.4670474</v>
      </c>
      <c r="AH204">
        <v>262.33257142857099</v>
      </c>
      <c r="AI204">
        <v>226.75980000000001</v>
      </c>
      <c r="AJ204" s="2">
        <f t="shared" si="48"/>
        <v>200.12001714285722</v>
      </c>
      <c r="AK204" s="2">
        <f t="shared" si="44"/>
        <v>208.90382498096085</v>
      </c>
      <c r="AL204" s="2">
        <f t="shared" si="40"/>
        <v>8.7838078381036269</v>
      </c>
    </row>
    <row r="205" spans="1:38" x14ac:dyDescent="0.3">
      <c r="A205">
        <f t="shared" si="42"/>
        <v>0</v>
      </c>
      <c r="B205" s="2">
        <f t="shared" si="45"/>
        <v>15.376599999854079</v>
      </c>
      <c r="C205" s="2">
        <f t="shared" si="49"/>
        <v>2.096000000000231E-2</v>
      </c>
      <c r="D205" s="2">
        <f t="shared" si="46"/>
        <v>3.0256426000000829</v>
      </c>
      <c r="E205" s="2"/>
      <c r="F205">
        <v>2908.6291725999999</v>
      </c>
      <c r="G205">
        <v>185.25</v>
      </c>
      <c r="H205">
        <v>39</v>
      </c>
      <c r="I205">
        <v>183.036</v>
      </c>
      <c r="J205">
        <v>43.323</v>
      </c>
      <c r="K205">
        <v>181.73148</v>
      </c>
      <c r="L205">
        <v>43.464479999999902</v>
      </c>
      <c r="M205" t="s">
        <v>37</v>
      </c>
      <c r="N205">
        <v>0</v>
      </c>
      <c r="O205">
        <v>0</v>
      </c>
      <c r="P205">
        <v>0</v>
      </c>
      <c r="Q205">
        <v>0</v>
      </c>
      <c r="R205">
        <v>-7.1470823287963798E-3</v>
      </c>
      <c r="S205">
        <v>7.8280860900878907E-2</v>
      </c>
      <c r="T205">
        <v>0</v>
      </c>
      <c r="U205" s="7">
        <v>165.821</v>
      </c>
      <c r="V205" s="7">
        <v>0.372</v>
      </c>
      <c r="W205" s="7">
        <v>-0.12</v>
      </c>
      <c r="X205" s="7">
        <v>0.70899999999999996</v>
      </c>
      <c r="Y205" t="b">
        <v>1</v>
      </c>
      <c r="Z205">
        <v>79</v>
      </c>
      <c r="AA205">
        <f t="shared" si="43"/>
        <v>-0.71470823287963803</v>
      </c>
      <c r="AB205">
        <f t="shared" si="41"/>
        <v>43.260011149574098</v>
      </c>
      <c r="AC205">
        <f t="shared" si="47"/>
        <v>1.3631101804170764</v>
      </c>
      <c r="AE205" s="2">
        <f t="shared" si="38"/>
        <v>3.0534399999851303E-2</v>
      </c>
      <c r="AF205" s="2">
        <f t="shared" si="39"/>
        <v>6.4993058999998539</v>
      </c>
      <c r="AG205">
        <v>2916.4975817999998</v>
      </c>
      <c r="AH205">
        <v>262.61849142857102</v>
      </c>
      <c r="AI205">
        <v>228.38692</v>
      </c>
      <c r="AJ205" s="2">
        <f t="shared" si="48"/>
        <v>201.74713714285721</v>
      </c>
      <c r="AK205" s="2">
        <f t="shared" si="44"/>
        <v>210.64596113564983</v>
      </c>
      <c r="AL205" s="2">
        <f t="shared" si="40"/>
        <v>8.8988239927926145</v>
      </c>
    </row>
    <row r="206" spans="1:38" x14ac:dyDescent="0.3">
      <c r="A206">
        <f t="shared" si="42"/>
        <v>0</v>
      </c>
      <c r="B206" s="2">
        <f t="shared" si="45"/>
        <v>15.717600000243692</v>
      </c>
      <c r="C206" s="2">
        <f t="shared" si="49"/>
        <v>4.7160000000097568E-2</v>
      </c>
      <c r="D206" s="2">
        <f t="shared" si="46"/>
        <v>3.0413602000003266</v>
      </c>
      <c r="E206" s="2"/>
      <c r="F206">
        <v>2908.6448902000002</v>
      </c>
      <c r="G206">
        <v>185.25</v>
      </c>
      <c r="H206">
        <v>39</v>
      </c>
      <c r="I206">
        <v>182.79</v>
      </c>
      <c r="J206">
        <v>42.93</v>
      </c>
      <c r="K206">
        <v>181.76231999999999</v>
      </c>
      <c r="L206">
        <v>43.51164</v>
      </c>
      <c r="M206" t="s">
        <v>37</v>
      </c>
      <c r="N206">
        <v>0</v>
      </c>
      <c r="O206">
        <v>0</v>
      </c>
      <c r="P206">
        <v>0</v>
      </c>
      <c r="Q206">
        <v>0</v>
      </c>
      <c r="R206">
        <v>-7.1470823287963798E-3</v>
      </c>
      <c r="S206">
        <v>7.8280860900878907E-2</v>
      </c>
      <c r="T206">
        <v>0</v>
      </c>
      <c r="U206" s="7">
        <v>165.821</v>
      </c>
      <c r="V206" s="7">
        <v>0.372</v>
      </c>
      <c r="W206" s="7">
        <v>-0.12</v>
      </c>
      <c r="X206" s="7">
        <v>0.70899999999999996</v>
      </c>
      <c r="Y206" t="b">
        <v>1</v>
      </c>
      <c r="Z206">
        <v>79</v>
      </c>
      <c r="AA206">
        <f t="shared" si="43"/>
        <v>-0.71470823287963803</v>
      </c>
      <c r="AB206">
        <f t="shared" si="41"/>
        <v>43.248777651452812</v>
      </c>
      <c r="AC206">
        <f t="shared" si="47"/>
        <v>3.000458085163535</v>
      </c>
      <c r="AE206" s="2">
        <f t="shared" si="38"/>
        <v>3.0968100000336563E-2</v>
      </c>
      <c r="AF206" s="2">
        <f t="shared" si="39"/>
        <v>6.5302740000001904</v>
      </c>
      <c r="AG206">
        <v>2916.5285499000001</v>
      </c>
      <c r="AH206">
        <v>262.90301142857101</v>
      </c>
      <c r="AI206">
        <v>230.26476</v>
      </c>
      <c r="AJ206" s="2">
        <f t="shared" si="48"/>
        <v>203.6249771428572</v>
      </c>
      <c r="AK206" s="2">
        <f t="shared" si="44"/>
        <v>212.4147240848624</v>
      </c>
      <c r="AL206" s="2">
        <f t="shared" si="40"/>
        <v>8.7897469420051948</v>
      </c>
    </row>
    <row r="207" spans="1:38" x14ac:dyDescent="0.3">
      <c r="A207">
        <f t="shared" si="42"/>
        <v>0</v>
      </c>
      <c r="B207" s="2">
        <f t="shared" si="45"/>
        <v>15.722899999673245</v>
      </c>
      <c r="C207" s="2">
        <f t="shared" si="49"/>
        <v>5.239999999999867E-2</v>
      </c>
      <c r="D207" s="2">
        <f t="shared" si="46"/>
        <v>3.0570830999999998</v>
      </c>
      <c r="E207" s="2"/>
      <c r="F207">
        <v>2908.6606130999999</v>
      </c>
      <c r="G207">
        <v>185.25</v>
      </c>
      <c r="H207">
        <v>39</v>
      </c>
      <c r="I207">
        <v>182.05199999999999</v>
      </c>
      <c r="J207">
        <v>42.536999999999999</v>
      </c>
      <c r="K207">
        <v>181.77839999999901</v>
      </c>
      <c r="L207">
        <v>43.564039999999999</v>
      </c>
      <c r="M207" t="s">
        <v>37</v>
      </c>
      <c r="N207">
        <v>0</v>
      </c>
      <c r="O207">
        <v>0</v>
      </c>
      <c r="P207">
        <v>0</v>
      </c>
      <c r="Q207">
        <v>0</v>
      </c>
      <c r="R207">
        <v>-7.1470823287963798E-3</v>
      </c>
      <c r="S207">
        <v>7.8280860900878907E-2</v>
      </c>
      <c r="T207">
        <v>0</v>
      </c>
      <c r="U207" s="7">
        <v>165.821</v>
      </c>
      <c r="V207" s="7">
        <v>0.372</v>
      </c>
      <c r="W207" s="7">
        <v>-0.12</v>
      </c>
      <c r="X207" s="7">
        <v>0.70899999999999996</v>
      </c>
      <c r="Y207" t="b">
        <v>1</v>
      </c>
      <c r="Z207">
        <v>79</v>
      </c>
      <c r="AA207">
        <f t="shared" si="43"/>
        <v>-0.71470823287963803</v>
      </c>
      <c r="AB207">
        <f t="shared" si="41"/>
        <v>43.237540365378301</v>
      </c>
      <c r="AC207">
        <f t="shared" si="47"/>
        <v>3.3327185189174804</v>
      </c>
      <c r="AE207" s="2">
        <f t="shared" si="38"/>
        <v>3.115559999969264E-2</v>
      </c>
      <c r="AF207" s="2">
        <f t="shared" si="39"/>
        <v>6.5614295999998831</v>
      </c>
      <c r="AG207">
        <v>2916.5597054999998</v>
      </c>
      <c r="AH207">
        <v>263.189691428571</v>
      </c>
      <c r="AI207">
        <v>232.49771999999999</v>
      </c>
      <c r="AJ207" s="2">
        <f t="shared" si="48"/>
        <v>205.8579371428572</v>
      </c>
      <c r="AK207" s="2">
        <f t="shared" si="44"/>
        <v>214.19607729023821</v>
      </c>
      <c r="AL207" s="2">
        <f t="shared" si="40"/>
        <v>8.3381401473810115</v>
      </c>
    </row>
    <row r="208" spans="1:38" x14ac:dyDescent="0.3">
      <c r="A208">
        <f t="shared" si="42"/>
        <v>0</v>
      </c>
      <c r="B208" s="2">
        <f t="shared" si="45"/>
        <v>15.258100000210106</v>
      </c>
      <c r="C208" s="2">
        <f t="shared" si="49"/>
        <v>1.0479999999901679E-2</v>
      </c>
      <c r="D208" s="2">
        <f t="shared" si="46"/>
        <v>3.0723412000002099</v>
      </c>
      <c r="E208" s="2"/>
      <c r="F208">
        <v>2908.6758712000001</v>
      </c>
      <c r="G208">
        <v>175.5</v>
      </c>
      <c r="H208">
        <v>39</v>
      </c>
      <c r="I208">
        <v>183.126</v>
      </c>
      <c r="J208">
        <v>41.226999999999997</v>
      </c>
      <c r="K208">
        <v>181.86204000000001</v>
      </c>
      <c r="L208">
        <v>43.5745199999999</v>
      </c>
      <c r="M208" t="s">
        <v>37</v>
      </c>
      <c r="N208">
        <v>0</v>
      </c>
      <c r="O208">
        <v>0</v>
      </c>
      <c r="P208">
        <v>0</v>
      </c>
      <c r="Q208">
        <v>0</v>
      </c>
      <c r="R208">
        <v>-4.0085191726684502E-3</v>
      </c>
      <c r="S208">
        <v>8.0892959594726505E-2</v>
      </c>
      <c r="T208">
        <v>0</v>
      </c>
      <c r="U208" s="7">
        <v>165.78200000000001</v>
      </c>
      <c r="V208" s="7">
        <v>0.60799999999999998</v>
      </c>
      <c r="W208" s="7">
        <v>-0.13900000000000001</v>
      </c>
      <c r="X208" s="7">
        <v>0.72099999999999997</v>
      </c>
      <c r="Y208" t="b">
        <v>1</v>
      </c>
      <c r="Z208">
        <v>79</v>
      </c>
      <c r="AA208">
        <f t="shared" si="43"/>
        <v>-0.40085191726684499</v>
      </c>
      <c r="AB208">
        <f t="shared" si="41"/>
        <v>43.22663527569005</v>
      </c>
      <c r="AC208">
        <f t="shared" si="47"/>
        <v>0.686848296954232</v>
      </c>
      <c r="AE208" s="2">
        <f t="shared" si="38"/>
        <v>3.0608000000029278E-2</v>
      </c>
      <c r="AF208" s="2">
        <f t="shared" si="39"/>
        <v>6.5920375999999123</v>
      </c>
      <c r="AG208">
        <v>2916.5903134999999</v>
      </c>
      <c r="AH208">
        <v>263.46341142857102</v>
      </c>
      <c r="AI208">
        <v>234.36276000000001</v>
      </c>
      <c r="AJ208" s="2">
        <f t="shared" si="48"/>
        <v>207.72297714285722</v>
      </c>
      <c r="AK208" s="2">
        <f t="shared" si="44"/>
        <v>215.94792787737939</v>
      </c>
      <c r="AL208" s="2">
        <f t="shared" si="40"/>
        <v>8.2249507345221673</v>
      </c>
    </row>
    <row r="209" spans="1:38" x14ac:dyDescent="0.3">
      <c r="A209">
        <f t="shared" si="42"/>
        <v>0</v>
      </c>
      <c r="B209" s="2">
        <f t="shared" si="45"/>
        <v>15.921400000024732</v>
      </c>
      <c r="C209" s="2">
        <f t="shared" si="49"/>
        <v>-5.2399999999011015E-3</v>
      </c>
      <c r="D209" s="2">
        <f t="shared" si="46"/>
        <v>3.0882626000002347</v>
      </c>
      <c r="E209" s="2"/>
      <c r="F209">
        <v>2908.6917926000001</v>
      </c>
      <c r="G209">
        <v>175.5</v>
      </c>
      <c r="H209">
        <v>39</v>
      </c>
      <c r="I209">
        <v>181.89599999999999</v>
      </c>
      <c r="J209">
        <v>40.703000000000003</v>
      </c>
      <c r="K209">
        <v>181.91615999999999</v>
      </c>
      <c r="L209">
        <v>43.569279999999999</v>
      </c>
      <c r="M209" t="s">
        <v>37</v>
      </c>
      <c r="N209">
        <v>0</v>
      </c>
      <c r="O209">
        <v>0</v>
      </c>
      <c r="P209">
        <v>0</v>
      </c>
      <c r="Q209">
        <v>0</v>
      </c>
      <c r="R209">
        <v>-4.0085191726684502E-3</v>
      </c>
      <c r="S209">
        <v>8.0892959594726505E-2</v>
      </c>
      <c r="T209">
        <v>0</v>
      </c>
      <c r="U209" s="7">
        <v>165.78200000000001</v>
      </c>
      <c r="V209" s="7">
        <v>0.60799999999999998</v>
      </c>
      <c r="W209" s="7">
        <v>-0.13900000000000001</v>
      </c>
      <c r="X209" s="7">
        <v>0.72099999999999997</v>
      </c>
      <c r="Y209" t="b">
        <v>1</v>
      </c>
      <c r="Z209">
        <v>79</v>
      </c>
      <c r="AA209">
        <f t="shared" si="43"/>
        <v>-0.40085191726684499</v>
      </c>
      <c r="AB209">
        <f t="shared" si="41"/>
        <v>43.220253151974468</v>
      </c>
      <c r="AC209">
        <f t="shared" si="47"/>
        <v>-0.32911678620554485</v>
      </c>
      <c r="AE209" s="2"/>
      <c r="AF209" s="2"/>
      <c r="AJ209" s="2"/>
      <c r="AK209" s="2"/>
      <c r="AL209" s="2"/>
    </row>
    <row r="210" spans="1:38" x14ac:dyDescent="0.3">
      <c r="A210">
        <f t="shared" si="42"/>
        <v>0</v>
      </c>
      <c r="B210" s="2">
        <f t="shared" si="45"/>
        <v>15.679699999964214</v>
      </c>
      <c r="C210" s="2">
        <f t="shared" si="49"/>
        <v>-3.6679999999996937E-2</v>
      </c>
      <c r="D210" s="2">
        <f t="shared" si="46"/>
        <v>3.1039423000001989</v>
      </c>
      <c r="E210" s="2"/>
      <c r="F210">
        <v>2908.7074723000001</v>
      </c>
      <c r="G210">
        <v>175.5</v>
      </c>
      <c r="H210">
        <v>39</v>
      </c>
      <c r="I210">
        <v>180.78899999999999</v>
      </c>
      <c r="J210">
        <v>40.048000000000002</v>
      </c>
      <c r="K210">
        <v>181.93583999999899</v>
      </c>
      <c r="L210">
        <v>43.532600000000002</v>
      </c>
      <c r="M210" t="s">
        <v>37</v>
      </c>
      <c r="N210">
        <v>0</v>
      </c>
      <c r="O210">
        <v>0</v>
      </c>
      <c r="P210">
        <v>0</v>
      </c>
      <c r="Q210">
        <v>0</v>
      </c>
      <c r="R210">
        <v>-4.0085191726684502E-3</v>
      </c>
      <c r="S210">
        <v>8.0892959594726505E-2</v>
      </c>
      <c r="T210">
        <v>0</v>
      </c>
      <c r="U210" s="7">
        <v>165.78200000000001</v>
      </c>
      <c r="V210" s="7">
        <v>0.60799999999999998</v>
      </c>
      <c r="W210" s="7">
        <v>-0.13900000000000001</v>
      </c>
      <c r="X210" s="7">
        <v>0.72099999999999997</v>
      </c>
      <c r="Y210" t="b">
        <v>1</v>
      </c>
      <c r="Z210">
        <v>79</v>
      </c>
      <c r="AA210">
        <f t="shared" si="43"/>
        <v>-0.40085191726684499</v>
      </c>
      <c r="AB210">
        <f t="shared" si="41"/>
        <v>43.213967914167313</v>
      </c>
      <c r="AC210">
        <f t="shared" si="47"/>
        <v>-2.3393304718891721</v>
      </c>
      <c r="AE210" s="2"/>
      <c r="AF210" s="2"/>
      <c r="AJ210" s="2"/>
      <c r="AK210" s="2"/>
      <c r="AL210" s="2"/>
    </row>
    <row r="211" spans="1:38" x14ac:dyDescent="0.3">
      <c r="A211">
        <f t="shared" si="42"/>
        <v>0</v>
      </c>
      <c r="B211" s="2">
        <f t="shared" si="45"/>
        <v>15.483799999856274</v>
      </c>
      <c r="C211" s="2">
        <f t="shared" si="49"/>
        <v>-5.7640000000098723E-2</v>
      </c>
      <c r="D211" s="2">
        <f t="shared" si="46"/>
        <v>3.1194261000000552</v>
      </c>
      <c r="E211" s="2"/>
      <c r="F211">
        <v>2908.7229560999999</v>
      </c>
      <c r="G211">
        <v>175.5</v>
      </c>
      <c r="H211">
        <v>39</v>
      </c>
      <c r="I211">
        <v>179.80500000000001</v>
      </c>
      <c r="J211">
        <v>39.786000000000001</v>
      </c>
      <c r="K211">
        <v>181.90631999999999</v>
      </c>
      <c r="L211">
        <v>43.474959999999903</v>
      </c>
      <c r="M211" t="s">
        <v>37</v>
      </c>
      <c r="N211">
        <v>0</v>
      </c>
      <c r="O211">
        <v>0</v>
      </c>
      <c r="P211">
        <v>0</v>
      </c>
      <c r="Q211">
        <v>0</v>
      </c>
      <c r="R211">
        <v>-4.0085191726684502E-3</v>
      </c>
      <c r="S211">
        <v>8.0892959594726505E-2</v>
      </c>
      <c r="T211">
        <v>0</v>
      </c>
      <c r="U211" s="7">
        <v>165.78200000000001</v>
      </c>
      <c r="V211" s="7">
        <v>0.60799999999999998</v>
      </c>
      <c r="W211" s="7">
        <v>-0.13900000000000001</v>
      </c>
      <c r="X211" s="7">
        <v>0.72099999999999997</v>
      </c>
      <c r="Y211" t="b">
        <v>1</v>
      </c>
      <c r="Z211">
        <v>79</v>
      </c>
      <c r="AA211">
        <f t="shared" si="43"/>
        <v>-0.40085191726684499</v>
      </c>
      <c r="AB211">
        <f t="shared" si="41"/>
        <v>43.207761203250797</v>
      </c>
      <c r="AC211">
        <f t="shared" si="47"/>
        <v>-3.722600395292742</v>
      </c>
      <c r="AE211" s="2"/>
      <c r="AF211" s="2"/>
      <c r="AJ211" s="2"/>
      <c r="AK211" s="2"/>
      <c r="AL211" s="2"/>
    </row>
    <row r="212" spans="1:38" x14ac:dyDescent="0.3">
      <c r="A212">
        <f t="shared" si="42"/>
        <v>0</v>
      </c>
      <c r="B212" s="2">
        <f t="shared" si="45"/>
        <v>15.440200000284676</v>
      </c>
      <c r="C212" s="2">
        <f t="shared" si="49"/>
        <v>-7.8600000000001558E-2</v>
      </c>
      <c r="D212" s="2">
        <f t="shared" si="46"/>
        <v>3.1348663000003398</v>
      </c>
      <c r="E212" s="2"/>
      <c r="F212">
        <v>2908.7383963000002</v>
      </c>
      <c r="G212">
        <v>175.5</v>
      </c>
      <c r="H212">
        <v>39</v>
      </c>
      <c r="I212">
        <v>178.94399999999999</v>
      </c>
      <c r="J212">
        <v>39.524000000000001</v>
      </c>
      <c r="K212">
        <v>181.82267999999999</v>
      </c>
      <c r="L212">
        <v>43.396359999999902</v>
      </c>
      <c r="M212" t="s">
        <v>37</v>
      </c>
      <c r="N212">
        <v>0</v>
      </c>
      <c r="O212">
        <v>0</v>
      </c>
      <c r="P212">
        <v>0</v>
      </c>
      <c r="Q212">
        <v>0</v>
      </c>
      <c r="R212">
        <v>-8.5444698333740198E-3</v>
      </c>
      <c r="S212">
        <v>5.8074390411376901E-2</v>
      </c>
      <c r="T212">
        <v>0</v>
      </c>
      <c r="U212" s="7">
        <v>165.83</v>
      </c>
      <c r="V212" s="7">
        <v>0.87</v>
      </c>
      <c r="W212" s="7">
        <v>-0.29899999999999999</v>
      </c>
      <c r="X212" s="7">
        <v>0.73499999999999999</v>
      </c>
      <c r="Y212" t="b">
        <v>1</v>
      </c>
      <c r="Z212">
        <v>79</v>
      </c>
      <c r="AA212">
        <f t="shared" si="43"/>
        <v>-0.85444698333740199</v>
      </c>
      <c r="AB212">
        <f t="shared" si="41"/>
        <v>43.201571969477698</v>
      </c>
      <c r="AC212">
        <f t="shared" si="47"/>
        <v>-5.0906076345223754</v>
      </c>
      <c r="AE212" s="2"/>
      <c r="AF212" s="2"/>
      <c r="AJ212" s="2"/>
      <c r="AK212" s="2"/>
      <c r="AL212" s="2"/>
    </row>
    <row r="213" spans="1:38" x14ac:dyDescent="0.3">
      <c r="A213">
        <f t="shared" si="42"/>
        <v>0</v>
      </c>
      <c r="B213" s="2">
        <f t="shared" si="45"/>
        <v>16.042899999774818</v>
      </c>
      <c r="C213" s="2">
        <f t="shared" si="49"/>
        <v>-9.9560000000003868E-2</v>
      </c>
      <c r="D213" s="2">
        <f t="shared" si="46"/>
        <v>3.1509092000001147</v>
      </c>
      <c r="E213" s="2"/>
      <c r="F213">
        <v>2908.7544392</v>
      </c>
      <c r="G213">
        <v>175.5</v>
      </c>
      <c r="H213">
        <v>39</v>
      </c>
      <c r="I213">
        <v>178.452</v>
      </c>
      <c r="J213">
        <v>39.262</v>
      </c>
      <c r="K213">
        <v>181.68492000000001</v>
      </c>
      <c r="L213">
        <v>43.296799999999898</v>
      </c>
      <c r="M213" t="s">
        <v>37</v>
      </c>
      <c r="N213">
        <v>0</v>
      </c>
      <c r="O213">
        <v>0</v>
      </c>
      <c r="P213">
        <v>0</v>
      </c>
      <c r="Q213">
        <v>0</v>
      </c>
      <c r="R213">
        <v>-8.5444698333740198E-3</v>
      </c>
      <c r="S213">
        <v>5.8074390411376901E-2</v>
      </c>
      <c r="T213">
        <v>0</v>
      </c>
      <c r="U213" s="7">
        <v>165.83</v>
      </c>
      <c r="V213" s="7">
        <v>0.87</v>
      </c>
      <c r="W213" s="7">
        <v>-0.29899999999999999</v>
      </c>
      <c r="X213" s="7">
        <v>0.73499999999999999</v>
      </c>
      <c r="Y213" t="b">
        <v>1</v>
      </c>
      <c r="Z213">
        <v>79</v>
      </c>
      <c r="AA213">
        <f t="shared" si="43"/>
        <v>-0.85444698333740199</v>
      </c>
      <c r="AB213">
        <f t="shared" si="41"/>
        <v>43.187864161968903</v>
      </c>
      <c r="AC213">
        <f t="shared" si="47"/>
        <v>-6.2058605365240274</v>
      </c>
      <c r="AE213" s="2"/>
      <c r="AF213" s="2"/>
      <c r="AJ213" s="2"/>
      <c r="AK213" s="2"/>
      <c r="AL213" s="2"/>
    </row>
    <row r="214" spans="1:38" x14ac:dyDescent="0.3">
      <c r="A214">
        <f t="shared" si="42"/>
        <v>0</v>
      </c>
      <c r="B214" s="2">
        <f t="shared" si="45"/>
        <v>14.857699999993201</v>
      </c>
      <c r="C214" s="2">
        <f t="shared" si="49"/>
        <v>-0.14671999999999485</v>
      </c>
      <c r="D214" s="2">
        <f t="shared" si="46"/>
        <v>3.1657669000001079</v>
      </c>
      <c r="E214" s="2"/>
      <c r="F214">
        <v>2908.7692969</v>
      </c>
      <c r="G214">
        <v>175.5</v>
      </c>
      <c r="H214">
        <v>39</v>
      </c>
      <c r="I214">
        <v>178.32900000000001</v>
      </c>
      <c r="J214">
        <v>39.262</v>
      </c>
      <c r="K214">
        <v>181.61964</v>
      </c>
      <c r="L214">
        <v>43.150079999999903</v>
      </c>
      <c r="M214" t="s">
        <v>37</v>
      </c>
      <c r="N214">
        <v>0</v>
      </c>
      <c r="O214">
        <v>0</v>
      </c>
      <c r="P214">
        <v>0</v>
      </c>
      <c r="Q214">
        <v>0</v>
      </c>
      <c r="R214">
        <v>-8.5444698333740198E-3</v>
      </c>
      <c r="S214">
        <v>5.8074390411376901E-2</v>
      </c>
      <c r="T214">
        <v>0</v>
      </c>
      <c r="U214" s="7">
        <v>165.83</v>
      </c>
      <c r="V214" s="7">
        <v>0.87</v>
      </c>
      <c r="W214" s="7">
        <v>-0.29899999999999999</v>
      </c>
      <c r="X214" s="7">
        <v>0.73499999999999999</v>
      </c>
      <c r="Y214" t="b">
        <v>1</v>
      </c>
      <c r="Z214">
        <v>79</v>
      </c>
      <c r="AA214">
        <f t="shared" si="43"/>
        <v>-0.85444698333740199</v>
      </c>
      <c r="AB214">
        <f t="shared" si="41"/>
        <v>43.175169045024575</v>
      </c>
      <c r="AC214">
        <f t="shared" si="47"/>
        <v>-9.875014302352449</v>
      </c>
      <c r="AE214" s="2"/>
      <c r="AF214" s="2"/>
      <c r="AJ214" s="2"/>
      <c r="AK214" s="2"/>
      <c r="AL214" s="2"/>
    </row>
    <row r="215" spans="1:38" x14ac:dyDescent="0.3">
      <c r="A215">
        <f t="shared" si="42"/>
        <v>0</v>
      </c>
      <c r="B215" s="2">
        <f t="shared" si="45"/>
        <v>15.804199999820412</v>
      </c>
      <c r="C215" s="2">
        <f t="shared" si="49"/>
        <v>-0.16767999999990479</v>
      </c>
      <c r="D215" s="2">
        <f t="shared" si="46"/>
        <v>3.1815710999999283</v>
      </c>
      <c r="E215" s="2"/>
      <c r="F215">
        <v>2908.7851010999998</v>
      </c>
      <c r="G215">
        <v>175.5</v>
      </c>
      <c r="H215">
        <v>39</v>
      </c>
      <c r="I215">
        <v>178.452</v>
      </c>
      <c r="J215">
        <v>39.131</v>
      </c>
      <c r="K215">
        <v>181.53468000000001</v>
      </c>
      <c r="L215">
        <v>42.982399999999998</v>
      </c>
      <c r="M215" t="s">
        <v>37</v>
      </c>
      <c r="N215">
        <v>0</v>
      </c>
      <c r="O215">
        <v>0</v>
      </c>
      <c r="P215">
        <v>0</v>
      </c>
      <c r="Q215">
        <v>0</v>
      </c>
      <c r="R215">
        <v>-8.5444698333740198E-3</v>
      </c>
      <c r="S215">
        <v>5.8074390411376901E-2</v>
      </c>
      <c r="T215">
        <v>0</v>
      </c>
      <c r="U215" s="7">
        <v>165.83</v>
      </c>
      <c r="V215" s="7">
        <v>0.87</v>
      </c>
      <c r="W215" s="7">
        <v>-0.29899999999999999</v>
      </c>
      <c r="X215" s="7">
        <v>0.73499999999999999</v>
      </c>
      <c r="Y215" t="b">
        <v>1</v>
      </c>
      <c r="Z215">
        <v>79</v>
      </c>
      <c r="AA215">
        <f t="shared" si="43"/>
        <v>-0.85444698333740199</v>
      </c>
      <c r="AB215">
        <f t="shared" si="41"/>
        <v>43.161665194010666</v>
      </c>
      <c r="AC215">
        <f t="shared" si="47"/>
        <v>-10.609837891308018</v>
      </c>
      <c r="AE215" s="2"/>
      <c r="AF215" s="2"/>
      <c r="AJ215" s="2"/>
      <c r="AK215" s="2"/>
      <c r="AL215" s="2"/>
    </row>
    <row r="216" spans="1:38" x14ac:dyDescent="0.3">
      <c r="A216">
        <f t="shared" si="42"/>
        <v>0</v>
      </c>
      <c r="B216" s="2">
        <f t="shared" si="45"/>
        <v>15.78700000027311</v>
      </c>
      <c r="C216" s="2">
        <f t="shared" si="49"/>
        <v>-0.1833999999999989</v>
      </c>
      <c r="D216" s="2">
        <f t="shared" si="46"/>
        <v>3.1973581000002014</v>
      </c>
      <c r="E216" s="2"/>
      <c r="F216">
        <v>2908.8008881000001</v>
      </c>
      <c r="G216">
        <v>175.5</v>
      </c>
      <c r="H216">
        <v>39</v>
      </c>
      <c r="I216">
        <v>178.94399999999999</v>
      </c>
      <c r="J216">
        <v>39.131</v>
      </c>
      <c r="K216">
        <v>181.44479999999999</v>
      </c>
      <c r="L216">
        <v>42.798999999999999</v>
      </c>
      <c r="M216" t="s">
        <v>37</v>
      </c>
      <c r="N216">
        <v>0</v>
      </c>
      <c r="O216">
        <v>0</v>
      </c>
      <c r="P216">
        <v>0</v>
      </c>
      <c r="Q216">
        <v>0</v>
      </c>
      <c r="R216">
        <v>-2.2141351699829101E-2</v>
      </c>
      <c r="S216">
        <v>1.9595252990722602E-2</v>
      </c>
      <c r="T216">
        <v>0</v>
      </c>
      <c r="U216" s="7">
        <v>165.67699999999999</v>
      </c>
      <c r="V216" s="7">
        <v>1.042</v>
      </c>
      <c r="W216" s="7">
        <v>-0.379</v>
      </c>
      <c r="X216" s="7">
        <v>0.745</v>
      </c>
      <c r="Y216" t="b">
        <v>1</v>
      </c>
      <c r="Z216">
        <v>79</v>
      </c>
      <c r="AA216">
        <f t="shared" si="43"/>
        <v>-2.2141351699829102</v>
      </c>
      <c r="AB216">
        <f t="shared" si="41"/>
        <v>43.148176039484483</v>
      </c>
      <c r="AC216">
        <f t="shared" si="47"/>
        <v>-11.61715335382442</v>
      </c>
      <c r="AE216" s="2"/>
      <c r="AF216" s="2"/>
      <c r="AJ216" s="2"/>
      <c r="AK216" s="2"/>
      <c r="AL216" s="2"/>
    </row>
    <row r="217" spans="1:38" x14ac:dyDescent="0.3">
      <c r="A217">
        <f t="shared" si="42"/>
        <v>0</v>
      </c>
      <c r="B217" s="2">
        <f t="shared" si="45"/>
        <v>15.325299999858544</v>
      </c>
      <c r="C217" s="2">
        <f t="shared" si="49"/>
        <v>-0.19912000000010011</v>
      </c>
      <c r="D217" s="2">
        <f t="shared" si="46"/>
        <v>3.2126834000000599</v>
      </c>
      <c r="E217" s="2"/>
      <c r="F217">
        <v>2908.8162133999999</v>
      </c>
      <c r="G217">
        <v>175.5</v>
      </c>
      <c r="H217">
        <v>39</v>
      </c>
      <c r="I217">
        <v>179.559</v>
      </c>
      <c r="J217">
        <v>39.262</v>
      </c>
      <c r="K217">
        <v>181.35983999999999</v>
      </c>
      <c r="L217">
        <v>42.599879999999899</v>
      </c>
      <c r="M217" t="s">
        <v>37</v>
      </c>
      <c r="N217">
        <v>0</v>
      </c>
      <c r="O217">
        <v>0</v>
      </c>
      <c r="P217">
        <v>0</v>
      </c>
      <c r="Q217">
        <v>0</v>
      </c>
      <c r="R217">
        <v>-2.2141351699829101E-2</v>
      </c>
      <c r="S217">
        <v>1.9595252990722602E-2</v>
      </c>
      <c r="T217">
        <v>0</v>
      </c>
      <c r="U217" s="7">
        <v>165.67699999999999</v>
      </c>
      <c r="V217" s="7">
        <v>1.042</v>
      </c>
      <c r="W217" s="7">
        <v>-0.379</v>
      </c>
      <c r="X217" s="7">
        <v>0.745</v>
      </c>
      <c r="Y217" t="b">
        <v>1</v>
      </c>
      <c r="Z217">
        <v>79</v>
      </c>
      <c r="AA217">
        <f t="shared" si="43"/>
        <v>-2.2141351699829102</v>
      </c>
      <c r="AB217">
        <f t="shared" si="41"/>
        <v>43.114243753764256</v>
      </c>
      <c r="AC217">
        <f t="shared" si="47"/>
        <v>-12.992894103341404</v>
      </c>
      <c r="AE217" s="2"/>
      <c r="AF217" s="2"/>
      <c r="AJ217" s="2"/>
      <c r="AK217" s="2"/>
      <c r="AL217" s="2"/>
    </row>
    <row r="218" spans="1:38" x14ac:dyDescent="0.3">
      <c r="A218">
        <f t="shared" si="42"/>
        <v>0</v>
      </c>
      <c r="B218" s="2">
        <f t="shared" si="45"/>
        <v>15.40000000022701</v>
      </c>
      <c r="C218" s="2">
        <f t="shared" si="49"/>
        <v>-0.21484000000000236</v>
      </c>
      <c r="D218" s="2">
        <f t="shared" si="46"/>
        <v>3.2280834000002869</v>
      </c>
      <c r="E218" s="2"/>
      <c r="F218">
        <v>2908.8316134000002</v>
      </c>
      <c r="G218">
        <v>175.5</v>
      </c>
      <c r="H218">
        <v>39</v>
      </c>
      <c r="I218">
        <v>180.54300000000001</v>
      </c>
      <c r="J218">
        <v>39.393000000000001</v>
      </c>
      <c r="K218">
        <v>181.29455999999999</v>
      </c>
      <c r="L218">
        <v>42.385039999999897</v>
      </c>
      <c r="M218" t="s">
        <v>37</v>
      </c>
      <c r="N218">
        <v>0</v>
      </c>
      <c r="O218">
        <v>0</v>
      </c>
      <c r="P218">
        <v>0</v>
      </c>
      <c r="Q218">
        <v>0</v>
      </c>
      <c r="R218">
        <v>-2.2141351699829101E-2</v>
      </c>
      <c r="S218">
        <v>1.9595252990722602E-2</v>
      </c>
      <c r="T218">
        <v>0</v>
      </c>
      <c r="U218" s="7">
        <v>165.67699999999999</v>
      </c>
      <c r="V218" s="7">
        <v>1.042</v>
      </c>
      <c r="W218" s="7">
        <v>-0.379</v>
      </c>
      <c r="X218" s="7">
        <v>0.745</v>
      </c>
      <c r="Y218" t="b">
        <v>1</v>
      </c>
      <c r="Z218">
        <v>79</v>
      </c>
      <c r="AA218">
        <f t="shared" si="43"/>
        <v>-2.2141351699829102</v>
      </c>
      <c r="AB218">
        <f t="shared" si="41"/>
        <v>43.080146072146015</v>
      </c>
      <c r="AC218">
        <f t="shared" si="47"/>
        <v>-13.950649350443859</v>
      </c>
      <c r="AE218" s="2"/>
      <c r="AF218" s="2"/>
      <c r="AJ218" s="2"/>
      <c r="AK218" s="2"/>
      <c r="AL218" s="2"/>
    </row>
    <row r="219" spans="1:38" x14ac:dyDescent="0.3">
      <c r="A219">
        <f t="shared" si="42"/>
        <v>0</v>
      </c>
      <c r="B219" s="2">
        <f t="shared" si="45"/>
        <v>15.7998999998199</v>
      </c>
      <c r="C219" s="2">
        <f t="shared" si="49"/>
        <v>-0.22007999999999583</v>
      </c>
      <c r="D219" s="2">
        <f t="shared" si="46"/>
        <v>3.2438833000001068</v>
      </c>
      <c r="E219" s="2"/>
      <c r="F219">
        <v>2908.8474133</v>
      </c>
      <c r="G219">
        <v>175.5</v>
      </c>
      <c r="H219">
        <v>39</v>
      </c>
      <c r="I219">
        <v>181.65</v>
      </c>
      <c r="J219">
        <v>39.524000000000001</v>
      </c>
      <c r="K219">
        <v>181.26372000000001</v>
      </c>
      <c r="L219">
        <v>42.164959999999901</v>
      </c>
      <c r="M219" t="s">
        <v>37</v>
      </c>
      <c r="N219">
        <v>0</v>
      </c>
      <c r="O219">
        <v>0</v>
      </c>
      <c r="P219">
        <v>0</v>
      </c>
      <c r="Q219">
        <v>0</v>
      </c>
      <c r="R219">
        <v>-2.2141351699829101E-2</v>
      </c>
      <c r="S219">
        <v>1.9595252990722602E-2</v>
      </c>
      <c r="T219">
        <v>0</v>
      </c>
      <c r="U219" s="7">
        <v>165.67699999999999</v>
      </c>
      <c r="V219" s="7">
        <v>1.042</v>
      </c>
      <c r="W219" s="7">
        <v>-0.379</v>
      </c>
      <c r="X219" s="7">
        <v>0.745</v>
      </c>
      <c r="Y219" t="b">
        <v>1</v>
      </c>
      <c r="Z219">
        <v>79</v>
      </c>
      <c r="AA219">
        <f t="shared" si="43"/>
        <v>-2.2141351699829102</v>
      </c>
      <c r="AB219">
        <f t="shared" si="41"/>
        <v>43.045162957874197</v>
      </c>
      <c r="AC219">
        <f t="shared" si="47"/>
        <v>-13.929202083716003</v>
      </c>
      <c r="AE219" s="2"/>
      <c r="AF219" s="2"/>
      <c r="AJ219" s="2"/>
      <c r="AK219" s="2"/>
      <c r="AL219" s="2"/>
    </row>
    <row r="220" spans="1:38" x14ac:dyDescent="0.3">
      <c r="A220">
        <f t="shared" si="42"/>
        <v>0</v>
      </c>
      <c r="B220" s="2">
        <f t="shared" si="45"/>
        <v>15.325200000006589</v>
      </c>
      <c r="C220" s="2">
        <f t="shared" si="49"/>
        <v>-0.22008000000000294</v>
      </c>
      <c r="D220" s="2">
        <f t="shared" si="46"/>
        <v>3.2592085000001134</v>
      </c>
      <c r="E220" s="2"/>
      <c r="F220">
        <v>2908.8627385</v>
      </c>
      <c r="G220">
        <v>175.5</v>
      </c>
      <c r="H220">
        <v>39</v>
      </c>
      <c r="I220">
        <v>182.75700000000001</v>
      </c>
      <c r="J220">
        <v>39.786000000000001</v>
      </c>
      <c r="K220">
        <v>181.26732000000001</v>
      </c>
      <c r="L220">
        <v>41.944879999999898</v>
      </c>
      <c r="M220" t="s">
        <v>37</v>
      </c>
      <c r="N220">
        <v>0</v>
      </c>
      <c r="O220">
        <v>0</v>
      </c>
      <c r="P220">
        <v>0</v>
      </c>
      <c r="Q220">
        <v>0</v>
      </c>
      <c r="R220">
        <v>-2.2141351699829101E-2</v>
      </c>
      <c r="S220">
        <v>1.9595252990722602E-2</v>
      </c>
      <c r="T220">
        <v>0</v>
      </c>
      <c r="U220" s="7">
        <v>165.67699999999999</v>
      </c>
      <c r="V220" s="7">
        <v>1.042</v>
      </c>
      <c r="W220" s="7">
        <v>-0.379</v>
      </c>
      <c r="X220" s="7">
        <v>0.745</v>
      </c>
      <c r="Y220" t="b">
        <v>1</v>
      </c>
      <c r="Z220">
        <v>79</v>
      </c>
      <c r="AA220">
        <f t="shared" si="43"/>
        <v>-2.2141351699829102</v>
      </c>
      <c r="AB220">
        <f t="shared" si="41"/>
        <v>43.011230893567159</v>
      </c>
      <c r="AC220">
        <f t="shared" si="47"/>
        <v>-14.360660872282796</v>
      </c>
      <c r="AE220" s="2"/>
      <c r="AF220" s="2"/>
      <c r="AJ220" s="2"/>
      <c r="AK220" s="2"/>
      <c r="AL220" s="2"/>
    </row>
    <row r="221" spans="1:38" x14ac:dyDescent="0.3">
      <c r="A221">
        <f t="shared" si="42"/>
        <v>0</v>
      </c>
      <c r="B221" s="2">
        <f t="shared" si="45"/>
        <v>15.434700000241719</v>
      </c>
      <c r="C221" s="2">
        <f t="shared" si="49"/>
        <v>-0.23055999999989751</v>
      </c>
      <c r="D221" s="2">
        <f t="shared" si="46"/>
        <v>3.2746432000003551</v>
      </c>
      <c r="E221" s="2"/>
      <c r="F221">
        <v>2908.8781732000002</v>
      </c>
      <c r="G221">
        <v>175.5</v>
      </c>
      <c r="H221">
        <v>39</v>
      </c>
      <c r="I221">
        <v>183.61799999999999</v>
      </c>
      <c r="J221">
        <v>39.786000000000001</v>
      </c>
      <c r="K221">
        <v>181.3152</v>
      </c>
      <c r="L221">
        <v>41.714320000000001</v>
      </c>
      <c r="M221" t="s">
        <v>37</v>
      </c>
      <c r="N221">
        <v>0</v>
      </c>
      <c r="O221">
        <v>0</v>
      </c>
      <c r="P221">
        <v>0</v>
      </c>
      <c r="Q221">
        <v>0</v>
      </c>
      <c r="R221">
        <v>-2.1088794708251899E-2</v>
      </c>
      <c r="S221">
        <v>6.5966849327087403E-3</v>
      </c>
      <c r="T221">
        <v>0</v>
      </c>
      <c r="U221" s="7">
        <v>165.631</v>
      </c>
      <c r="V221" s="7">
        <v>1.077</v>
      </c>
      <c r="W221" s="7">
        <v>-9.5000000000000001E-2</v>
      </c>
      <c r="X221" s="7">
        <v>0.75700000000000001</v>
      </c>
      <c r="Y221" t="b">
        <v>1</v>
      </c>
      <c r="Z221">
        <v>79</v>
      </c>
      <c r="AA221">
        <f t="shared" si="43"/>
        <v>-2.1088794708251899</v>
      </c>
      <c r="AB221">
        <f t="shared" si="41"/>
        <v>42.977056381458489</v>
      </c>
      <c r="AC221">
        <f t="shared" si="47"/>
        <v>-14.937770089233142</v>
      </c>
      <c r="AE221" s="2"/>
      <c r="AF221" s="2"/>
      <c r="AJ221" s="2"/>
      <c r="AK221" s="2"/>
      <c r="AL221" s="2"/>
    </row>
    <row r="222" spans="1:38" x14ac:dyDescent="0.3">
      <c r="A222">
        <f t="shared" si="42"/>
        <v>0</v>
      </c>
      <c r="B222" s="2">
        <f t="shared" si="45"/>
        <v>14.468199999555509</v>
      </c>
      <c r="C222" s="2">
        <f t="shared" si="49"/>
        <v>-0.24104000000009762</v>
      </c>
      <c r="D222" s="2">
        <f t="shared" si="46"/>
        <v>3.2891113999999106</v>
      </c>
      <c r="E222" s="2"/>
      <c r="F222">
        <v>2908.8926413999998</v>
      </c>
      <c r="G222">
        <v>175.5</v>
      </c>
      <c r="H222">
        <v>39</v>
      </c>
      <c r="I222">
        <v>184.233</v>
      </c>
      <c r="J222">
        <v>39.786000000000001</v>
      </c>
      <c r="K222">
        <v>181.39751999999999</v>
      </c>
      <c r="L222">
        <v>41.473279999999903</v>
      </c>
      <c r="M222" t="s">
        <v>37</v>
      </c>
      <c r="N222">
        <v>0</v>
      </c>
      <c r="O222">
        <v>0</v>
      </c>
      <c r="P222">
        <v>0</v>
      </c>
      <c r="Q222">
        <v>0</v>
      </c>
      <c r="R222">
        <v>-2.1088794708251899E-2</v>
      </c>
      <c r="S222">
        <v>6.5966849327087403E-3</v>
      </c>
      <c r="T222">
        <v>0</v>
      </c>
      <c r="U222" s="7">
        <v>165.631</v>
      </c>
      <c r="V222" s="7">
        <v>1.077</v>
      </c>
      <c r="W222" s="7">
        <v>-9.5000000000000001E-2</v>
      </c>
      <c r="X222" s="7">
        <v>0.75700000000000001</v>
      </c>
      <c r="Y222" t="b">
        <v>1</v>
      </c>
      <c r="Z222">
        <v>79</v>
      </c>
      <c r="AA222">
        <f t="shared" si="43"/>
        <v>-2.1088794708251899</v>
      </c>
      <c r="AB222">
        <f t="shared" si="41"/>
        <v>42.946544691499632</v>
      </c>
      <c r="AC222">
        <f t="shared" si="47"/>
        <v>-16.659985347693759</v>
      </c>
      <c r="AE222" s="2"/>
      <c r="AF222" s="2"/>
      <c r="AJ222" s="2"/>
      <c r="AK222" s="2"/>
      <c r="AL222" s="2"/>
    </row>
    <row r="223" spans="1:38" x14ac:dyDescent="0.3">
      <c r="A223">
        <f t="shared" si="42"/>
        <v>0</v>
      </c>
      <c r="B223" s="2">
        <f t="shared" si="45"/>
        <v>15.920700000151555</v>
      </c>
      <c r="C223" s="2">
        <f t="shared" si="49"/>
        <v>-0.24104000000000525</v>
      </c>
      <c r="D223" s="2">
        <f t="shared" si="46"/>
        <v>3.3050321000000622</v>
      </c>
      <c r="E223" s="2"/>
      <c r="F223">
        <v>2908.9085620999999</v>
      </c>
      <c r="G223">
        <v>175.5</v>
      </c>
      <c r="H223">
        <v>39</v>
      </c>
      <c r="I223">
        <v>184.602</v>
      </c>
      <c r="J223">
        <v>39.655000000000001</v>
      </c>
      <c r="K223">
        <v>181.50443999999999</v>
      </c>
      <c r="L223">
        <v>41.232239999999898</v>
      </c>
      <c r="M223" t="s">
        <v>37</v>
      </c>
      <c r="N223">
        <v>0</v>
      </c>
      <c r="O223">
        <v>0</v>
      </c>
      <c r="P223">
        <v>0</v>
      </c>
      <c r="Q223">
        <v>0</v>
      </c>
      <c r="R223">
        <v>-2.1088794708251899E-2</v>
      </c>
      <c r="S223">
        <v>6.5966849327087403E-3</v>
      </c>
      <c r="T223">
        <v>0</v>
      </c>
      <c r="U223" s="7">
        <v>165.631</v>
      </c>
      <c r="V223" s="7">
        <v>1.077</v>
      </c>
      <c r="W223" s="7">
        <v>-9.5000000000000001E-2</v>
      </c>
      <c r="X223" s="7">
        <v>0.75700000000000001</v>
      </c>
      <c r="Y223" t="b">
        <v>1</v>
      </c>
      <c r="Z223">
        <v>79</v>
      </c>
      <c r="AA223">
        <f t="shared" si="43"/>
        <v>-2.1088794708251899</v>
      </c>
      <c r="AB223">
        <f t="shared" si="41"/>
        <v>42.912969854108148</v>
      </c>
      <c r="AC223">
        <f t="shared" si="47"/>
        <v>-15.140037812263952</v>
      </c>
      <c r="AE223" s="2"/>
      <c r="AF223" s="2"/>
      <c r="AJ223" s="2"/>
      <c r="AK223" s="2"/>
      <c r="AL223" s="2"/>
    </row>
    <row r="224" spans="1:38" x14ac:dyDescent="0.3">
      <c r="A224">
        <f t="shared" si="42"/>
        <v>0</v>
      </c>
      <c r="B224" s="2">
        <f t="shared" si="45"/>
        <v>15.381100000013248</v>
      </c>
      <c r="C224" s="2">
        <f t="shared" si="49"/>
        <v>-0.24103999999999814</v>
      </c>
      <c r="D224" s="2">
        <f t="shared" si="46"/>
        <v>3.3204132000000754</v>
      </c>
      <c r="E224" s="2"/>
      <c r="F224">
        <v>2908.9239431999999</v>
      </c>
      <c r="G224">
        <v>175.5</v>
      </c>
      <c r="H224">
        <v>39</v>
      </c>
      <c r="I224">
        <v>184.84800000000001</v>
      </c>
      <c r="J224">
        <v>39.393000000000001</v>
      </c>
      <c r="K224">
        <v>181.62611999999999</v>
      </c>
      <c r="L224">
        <v>40.9911999999999</v>
      </c>
      <c r="M224" t="s">
        <v>37</v>
      </c>
      <c r="N224">
        <v>0</v>
      </c>
      <c r="O224">
        <v>0</v>
      </c>
      <c r="P224">
        <v>0</v>
      </c>
      <c r="Q224">
        <v>0</v>
      </c>
      <c r="R224">
        <v>-4.89316978454589E-2</v>
      </c>
      <c r="S224">
        <v>1.7961612701416E-2</v>
      </c>
      <c r="T224">
        <v>0</v>
      </c>
      <c r="U224" s="7">
        <v>165.631</v>
      </c>
      <c r="V224" s="7">
        <v>1.169</v>
      </c>
      <c r="W224" s="7">
        <v>0.187</v>
      </c>
      <c r="X224" s="7">
        <v>0.76800000000000002</v>
      </c>
      <c r="Y224" t="b">
        <v>1</v>
      </c>
      <c r="Z224">
        <v>79</v>
      </c>
      <c r="AA224">
        <f t="shared" si="43"/>
        <v>-4.8931697845458899</v>
      </c>
      <c r="AB224">
        <f t="shared" si="41"/>
        <v>42.880532968079407</v>
      </c>
      <c r="AC224">
        <f t="shared" si="47"/>
        <v>-15.671180864813994</v>
      </c>
      <c r="AE224" s="2"/>
      <c r="AF224" s="2"/>
      <c r="AJ224" s="2"/>
      <c r="AK224" s="2"/>
      <c r="AL224" s="2"/>
    </row>
    <row r="225" spans="1:38" x14ac:dyDescent="0.3">
      <c r="A225">
        <f t="shared" si="42"/>
        <v>0</v>
      </c>
      <c r="B225" s="2">
        <f t="shared" si="45"/>
        <v>30.511599999954342</v>
      </c>
      <c r="C225" s="2">
        <f t="shared" si="49"/>
        <v>-0.23055999999999699</v>
      </c>
      <c r="D225" s="2">
        <f t="shared" si="46"/>
        <v>3.3509248000000298</v>
      </c>
      <c r="E225" s="2"/>
      <c r="F225">
        <v>2908.9544547999999</v>
      </c>
      <c r="G225">
        <v>175.5</v>
      </c>
      <c r="H225">
        <v>39</v>
      </c>
      <c r="I225">
        <v>184.971</v>
      </c>
      <c r="J225">
        <v>39.262</v>
      </c>
      <c r="K225">
        <v>181.75272000000001</v>
      </c>
      <c r="L225">
        <v>40.760639999999903</v>
      </c>
      <c r="M225" t="s">
        <v>37</v>
      </c>
      <c r="N225">
        <v>0</v>
      </c>
      <c r="O225">
        <v>0</v>
      </c>
      <c r="P225">
        <v>0</v>
      </c>
      <c r="Q225">
        <v>0</v>
      </c>
      <c r="R225">
        <v>-4.89316978454589E-2</v>
      </c>
      <c r="S225">
        <v>1.7961612701416E-2</v>
      </c>
      <c r="T225">
        <v>0</v>
      </c>
      <c r="U225" s="7">
        <v>165.631</v>
      </c>
      <c r="V225" s="7">
        <v>1.169</v>
      </c>
      <c r="W225" s="7">
        <v>0.187</v>
      </c>
      <c r="X225" s="7">
        <v>0.76800000000000002</v>
      </c>
      <c r="Y225" t="b">
        <v>1</v>
      </c>
      <c r="Z225">
        <v>79</v>
      </c>
      <c r="AA225">
        <f t="shared" si="43"/>
        <v>-4.8931697845458899</v>
      </c>
      <c r="AB225">
        <f t="shared" si="41"/>
        <v>42.73123452888148</v>
      </c>
      <c r="AC225">
        <f t="shared" si="47"/>
        <v>-7.5564703260511417</v>
      </c>
      <c r="AE225" s="2"/>
      <c r="AF225" s="2"/>
      <c r="AJ225" s="2"/>
      <c r="AK225" s="2"/>
      <c r="AL225" s="2"/>
    </row>
    <row r="226" spans="1:38" x14ac:dyDescent="0.3">
      <c r="A226">
        <f t="shared" si="42"/>
        <v>0</v>
      </c>
      <c r="B226" s="2">
        <f t="shared" si="45"/>
        <v>30.899400000180322</v>
      </c>
      <c r="C226" s="2">
        <f t="shared" si="49"/>
        <v>-0.22007999999990346</v>
      </c>
      <c r="D226" s="2">
        <f t="shared" si="46"/>
        <v>3.3818242000002101</v>
      </c>
      <c r="E226" s="2"/>
      <c r="F226">
        <v>2908.9853542000001</v>
      </c>
      <c r="G226">
        <v>175.5</v>
      </c>
      <c r="H226">
        <v>39</v>
      </c>
      <c r="I226">
        <v>184.84800000000001</v>
      </c>
      <c r="J226">
        <v>39</v>
      </c>
      <c r="K226">
        <v>181.86456000000001</v>
      </c>
      <c r="L226">
        <v>40.540559999999999</v>
      </c>
      <c r="M226" t="s">
        <v>37</v>
      </c>
      <c r="N226">
        <v>0</v>
      </c>
      <c r="O226">
        <v>0</v>
      </c>
      <c r="P226">
        <v>0</v>
      </c>
      <c r="Q226">
        <v>0</v>
      </c>
      <c r="R226">
        <v>-5.8100093841552701E-2</v>
      </c>
      <c r="S226">
        <v>-6.6078233718872004E-3</v>
      </c>
      <c r="T226">
        <v>0</v>
      </c>
      <c r="U226" s="7">
        <v>165.631</v>
      </c>
      <c r="V226" s="7">
        <v>0.872</v>
      </c>
      <c r="W226" s="7">
        <v>0.20899999999999999</v>
      </c>
      <c r="X226" s="7">
        <v>0.77500000000000002</v>
      </c>
      <c r="Y226" t="b">
        <v>1</v>
      </c>
      <c r="Z226">
        <v>79</v>
      </c>
      <c r="AA226">
        <f t="shared" si="43"/>
        <v>-5.8100093841552702</v>
      </c>
      <c r="AB226">
        <f t="shared" si="41"/>
        <v>42.580038518439999</v>
      </c>
      <c r="AC226">
        <f t="shared" si="47"/>
        <v>-7.1224683973999214</v>
      </c>
      <c r="AE226" s="2"/>
      <c r="AF226" s="2"/>
      <c r="AJ226" s="2"/>
      <c r="AK226" s="2"/>
      <c r="AL226" s="2"/>
    </row>
    <row r="227" spans="1:38" x14ac:dyDescent="0.3">
      <c r="A227">
        <f t="shared" si="42"/>
        <v>0</v>
      </c>
      <c r="B227" s="2">
        <f t="shared" si="45"/>
        <v>31.781000000137283</v>
      </c>
      <c r="C227" s="2">
        <f t="shared" si="49"/>
        <v>-0.21484000000000236</v>
      </c>
      <c r="D227" s="2">
        <f t="shared" si="46"/>
        <v>3.4136052000003474</v>
      </c>
      <c r="E227" s="2"/>
      <c r="F227">
        <v>2909.0171352000002</v>
      </c>
      <c r="G227">
        <v>175.5</v>
      </c>
      <c r="H227">
        <v>39</v>
      </c>
      <c r="I227">
        <v>184.971</v>
      </c>
      <c r="J227">
        <v>38.869</v>
      </c>
      <c r="K227">
        <v>181.96163999999999</v>
      </c>
      <c r="L227">
        <v>40.325719999999997</v>
      </c>
      <c r="M227" t="s">
        <v>37</v>
      </c>
      <c r="N227">
        <v>0</v>
      </c>
      <c r="O227">
        <v>0</v>
      </c>
      <c r="P227">
        <v>0</v>
      </c>
      <c r="Q227">
        <v>0</v>
      </c>
      <c r="R227">
        <v>-5.8100093841552701E-2</v>
      </c>
      <c r="S227">
        <v>-6.6078233718872004E-3</v>
      </c>
      <c r="T227">
        <v>0</v>
      </c>
      <c r="U227" s="7">
        <v>165.631</v>
      </c>
      <c r="V227" s="7">
        <v>0.872</v>
      </c>
      <c r="W227" s="7">
        <v>0.20899999999999999</v>
      </c>
      <c r="X227" s="7">
        <v>0.77500000000000002</v>
      </c>
      <c r="Y227" t="b">
        <v>1</v>
      </c>
      <c r="Z227">
        <v>79</v>
      </c>
      <c r="AA227">
        <f t="shared" si="43"/>
        <v>-5.8100093841552702</v>
      </c>
      <c r="AB227">
        <f t="shared" si="41"/>
        <v>42.39539061020136</v>
      </c>
      <c r="AC227">
        <f t="shared" si="47"/>
        <v>-6.7600138447208815</v>
      </c>
      <c r="AE227" s="2"/>
      <c r="AF227" s="2"/>
      <c r="AJ227" s="2"/>
      <c r="AK227" s="2"/>
      <c r="AL227" s="2"/>
    </row>
    <row r="228" spans="1:38" x14ac:dyDescent="0.3">
      <c r="A228">
        <f t="shared" si="42"/>
        <v>0</v>
      </c>
      <c r="B228" s="2">
        <f t="shared" si="45"/>
        <v>46.645899999930407</v>
      </c>
      <c r="C228" s="2">
        <f t="shared" si="49"/>
        <v>-0.2043599999999941</v>
      </c>
      <c r="D228" s="2">
        <f t="shared" si="46"/>
        <v>3.4602511000002778</v>
      </c>
      <c r="E228" s="2"/>
      <c r="F228">
        <v>2909.0637811000001</v>
      </c>
      <c r="G228">
        <v>185.25</v>
      </c>
      <c r="H228">
        <v>39</v>
      </c>
      <c r="I228">
        <v>184.512</v>
      </c>
      <c r="J228">
        <v>38.738</v>
      </c>
      <c r="K228">
        <v>182.03052</v>
      </c>
      <c r="L228">
        <v>40.121360000000003</v>
      </c>
      <c r="M228" t="s">
        <v>37</v>
      </c>
      <c r="N228">
        <v>0</v>
      </c>
      <c r="O228">
        <v>0</v>
      </c>
      <c r="P228">
        <v>0</v>
      </c>
      <c r="Q228">
        <v>0</v>
      </c>
      <c r="R228">
        <v>-6.7943870544433599E-2</v>
      </c>
      <c r="S228">
        <v>2.5519299507141102E-4</v>
      </c>
      <c r="T228">
        <v>0</v>
      </c>
      <c r="U228" s="7">
        <v>165.61500000000001</v>
      </c>
      <c r="V228" s="7">
        <v>0.45200000000000001</v>
      </c>
      <c r="W228" s="7">
        <v>0.38200000000000001</v>
      </c>
      <c r="X228" s="7">
        <v>0.78</v>
      </c>
      <c r="Y228" t="b">
        <v>1</v>
      </c>
      <c r="Z228">
        <v>79</v>
      </c>
      <c r="AA228">
        <f t="shared" si="43"/>
        <v>-6.7943870544433596</v>
      </c>
      <c r="AB228">
        <f t="shared" si="41"/>
        <v>42.124377493469396</v>
      </c>
      <c r="AC228">
        <f t="shared" si="47"/>
        <v>-4.3810924432865264</v>
      </c>
      <c r="AE228" s="2"/>
      <c r="AF228" s="2"/>
      <c r="AJ228" s="2"/>
      <c r="AK228" s="2"/>
      <c r="AL228" s="2"/>
    </row>
    <row r="229" spans="1:38" x14ac:dyDescent="0.3">
      <c r="A229">
        <f t="shared" si="42"/>
        <v>0</v>
      </c>
      <c r="B229" s="2">
        <f t="shared" si="45"/>
        <v>31.348499999694468</v>
      </c>
      <c r="C229" s="2">
        <f t="shared" si="49"/>
        <v>-0.20960000000000178</v>
      </c>
      <c r="D229" s="2">
        <f t="shared" si="46"/>
        <v>3.4915995999999723</v>
      </c>
      <c r="E229" s="2"/>
      <c r="F229">
        <v>2909.0951295999998</v>
      </c>
      <c r="G229">
        <v>185.25</v>
      </c>
      <c r="H229">
        <v>39</v>
      </c>
      <c r="I229">
        <v>184.881</v>
      </c>
      <c r="J229">
        <v>38.475999999999999</v>
      </c>
      <c r="K229">
        <v>182.10432</v>
      </c>
      <c r="L229">
        <v>39.911760000000001</v>
      </c>
      <c r="M229" t="s">
        <v>37</v>
      </c>
      <c r="N229">
        <v>0</v>
      </c>
      <c r="O229">
        <v>0</v>
      </c>
      <c r="P229">
        <v>0</v>
      </c>
      <c r="Q229">
        <v>0</v>
      </c>
      <c r="R229">
        <v>-6.7943870544433599E-2</v>
      </c>
      <c r="S229">
        <v>2.5519299507141102E-4</v>
      </c>
      <c r="T229">
        <v>0</v>
      </c>
      <c r="U229" s="7">
        <v>165.61500000000001</v>
      </c>
      <c r="V229" s="7">
        <v>0.45200000000000001</v>
      </c>
      <c r="W229" s="7">
        <v>0.38200000000000001</v>
      </c>
      <c r="X229" s="7">
        <v>0.78</v>
      </c>
      <c r="Y229" t="b">
        <v>1</v>
      </c>
      <c r="Z229">
        <v>79</v>
      </c>
      <c r="AA229">
        <f t="shared" si="43"/>
        <v>-6.7943870544433596</v>
      </c>
      <c r="AB229">
        <f t="shared" si="41"/>
        <v>41.911383650895253</v>
      </c>
      <c r="AC229">
        <f t="shared" si="47"/>
        <v>-6.6861253330157622</v>
      </c>
      <c r="AE229" s="2"/>
      <c r="AF229" s="2"/>
      <c r="AJ229" s="2"/>
      <c r="AK229" s="2"/>
      <c r="AL229" s="2"/>
    </row>
    <row r="230" spans="1:38" x14ac:dyDescent="0.3">
      <c r="A230">
        <f t="shared" si="42"/>
        <v>0</v>
      </c>
      <c r="B230" s="2">
        <f t="shared" si="45"/>
        <v>31.410700000378711</v>
      </c>
      <c r="C230" s="2">
        <f t="shared" si="49"/>
        <v>-0.20436000000000121</v>
      </c>
      <c r="D230" s="2">
        <f t="shared" si="46"/>
        <v>3.523010300000351</v>
      </c>
      <c r="E230" s="2"/>
      <c r="F230">
        <v>2909.1265403000002</v>
      </c>
      <c r="G230">
        <v>185.25</v>
      </c>
      <c r="H230">
        <v>39</v>
      </c>
      <c r="I230">
        <v>185.25</v>
      </c>
      <c r="J230">
        <v>38.213999999999999</v>
      </c>
      <c r="K230">
        <v>182.19288</v>
      </c>
      <c r="L230">
        <v>39.7074</v>
      </c>
      <c r="M230" t="s">
        <v>37</v>
      </c>
      <c r="N230">
        <v>0</v>
      </c>
      <c r="O230">
        <v>0</v>
      </c>
      <c r="P230">
        <v>0</v>
      </c>
      <c r="Q230">
        <v>0</v>
      </c>
      <c r="R230">
        <v>-9.5603134155273398E-2</v>
      </c>
      <c r="S230">
        <v>-3.2330732345580999E-3</v>
      </c>
      <c r="T230">
        <v>0</v>
      </c>
      <c r="U230" s="7">
        <v>165.56899999999999</v>
      </c>
      <c r="V230" s="7">
        <v>9.5000000000000001E-2</v>
      </c>
      <c r="W230" s="7">
        <v>0.28999999999999998</v>
      </c>
      <c r="X230" s="7">
        <v>0.78400000000000003</v>
      </c>
      <c r="Y230" t="b">
        <v>1</v>
      </c>
      <c r="Z230">
        <v>79</v>
      </c>
      <c r="AA230">
        <f t="shared" si="43"/>
        <v>-9.5603134155273395</v>
      </c>
      <c r="AB230">
        <f t="shared" si="41"/>
        <v>41.697967197441677</v>
      </c>
      <c r="AC230">
        <f t="shared" si="47"/>
        <v>-6.5060632204165234</v>
      </c>
      <c r="AE230" s="2"/>
      <c r="AF230" s="2"/>
      <c r="AJ230" s="2"/>
      <c r="AK230" s="2"/>
      <c r="AL230" s="2"/>
    </row>
    <row r="231" spans="1:38" x14ac:dyDescent="0.3">
      <c r="A231">
        <f t="shared" si="42"/>
        <v>0</v>
      </c>
      <c r="B231" s="2">
        <f t="shared" si="45"/>
        <v>30.988199999683275</v>
      </c>
      <c r="C231" s="2">
        <f t="shared" si="49"/>
        <v>-0.19912000000000063</v>
      </c>
      <c r="D231" s="2">
        <f t="shared" si="46"/>
        <v>3.5539985000000343</v>
      </c>
      <c r="E231" s="2"/>
      <c r="F231">
        <v>2909.1575284999999</v>
      </c>
      <c r="G231">
        <v>185.25</v>
      </c>
      <c r="H231">
        <v>39</v>
      </c>
      <c r="I231">
        <v>185.49600000000001</v>
      </c>
      <c r="J231">
        <v>37.951999999999998</v>
      </c>
      <c r="K231">
        <v>182.30112</v>
      </c>
      <c r="L231">
        <v>39.508279999999999</v>
      </c>
      <c r="M231" t="s">
        <v>37</v>
      </c>
      <c r="N231">
        <v>0</v>
      </c>
      <c r="O231">
        <v>0</v>
      </c>
      <c r="P231">
        <v>0</v>
      </c>
      <c r="Q231">
        <v>0</v>
      </c>
      <c r="R231">
        <v>-9.5603134155273398E-2</v>
      </c>
      <c r="S231">
        <v>-3.2330732345580999E-3</v>
      </c>
      <c r="T231">
        <v>0</v>
      </c>
      <c r="U231" s="7">
        <v>165.56899999999999</v>
      </c>
      <c r="V231" s="7">
        <v>9.5000000000000001E-2</v>
      </c>
      <c r="W231" s="7">
        <v>0.28999999999999998</v>
      </c>
      <c r="X231" s="7">
        <v>0.78400000000000003</v>
      </c>
      <c r="Y231" t="b">
        <v>1</v>
      </c>
      <c r="Z231">
        <v>79</v>
      </c>
      <c r="AA231">
        <f t="shared" si="43"/>
        <v>-9.5603134155273395</v>
      </c>
      <c r="AB231">
        <f t="shared" si="41"/>
        <v>41.401710293261658</v>
      </c>
      <c r="AC231">
        <f t="shared" si="47"/>
        <v>-6.4256717073607312</v>
      </c>
      <c r="AE231" s="2"/>
      <c r="AF231" s="2"/>
      <c r="AJ231" s="2"/>
      <c r="AK231" s="2"/>
      <c r="AL231" s="2"/>
    </row>
    <row r="232" spans="1:38" x14ac:dyDescent="0.3">
      <c r="A232">
        <f t="shared" si="42"/>
        <v>0</v>
      </c>
      <c r="B232" s="2">
        <f t="shared" si="45"/>
        <v>31.024700000216399</v>
      </c>
      <c r="C232" s="2">
        <f t="shared" si="49"/>
        <v>-0.18863999999999947</v>
      </c>
      <c r="D232" s="2">
        <f t="shared" si="46"/>
        <v>3.5850232000002507</v>
      </c>
      <c r="E232" s="2"/>
      <c r="F232">
        <v>2909.1885532000001</v>
      </c>
      <c r="G232">
        <v>185.25</v>
      </c>
      <c r="H232">
        <v>39</v>
      </c>
      <c r="I232">
        <v>185.74199999999999</v>
      </c>
      <c r="J232">
        <v>37.820999999999998</v>
      </c>
      <c r="K232">
        <v>182.44871999999901</v>
      </c>
      <c r="L232">
        <v>39.31964</v>
      </c>
      <c r="M232" t="s">
        <v>37</v>
      </c>
      <c r="N232">
        <v>0</v>
      </c>
      <c r="O232">
        <v>0</v>
      </c>
      <c r="P232">
        <v>0</v>
      </c>
      <c r="Q232">
        <v>0</v>
      </c>
      <c r="R232">
        <v>-8.1742942810058505E-2</v>
      </c>
      <c r="S232">
        <v>-3.57123112678527E-3</v>
      </c>
      <c r="T232">
        <v>0</v>
      </c>
      <c r="U232" s="7">
        <v>165.506</v>
      </c>
      <c r="V232" s="7">
        <v>-0.54</v>
      </c>
      <c r="W232" s="7">
        <v>0.20599999999999999</v>
      </c>
      <c r="X232" s="7">
        <v>0.78900000000000003</v>
      </c>
      <c r="Y232" t="b">
        <v>1</v>
      </c>
      <c r="Z232">
        <v>79</v>
      </c>
      <c r="AA232">
        <f t="shared" si="43"/>
        <v>-8.1742942810058512</v>
      </c>
      <c r="AB232">
        <f t="shared" si="41"/>
        <v>41.105104437636875</v>
      </c>
      <c r="AC232">
        <f t="shared" si="47"/>
        <v>-6.0803166508840922</v>
      </c>
      <c r="AE232" s="2"/>
      <c r="AF232" s="2"/>
      <c r="AJ232" s="2"/>
      <c r="AK232" s="2"/>
      <c r="AL232" s="2"/>
    </row>
    <row r="233" spans="1:38" x14ac:dyDescent="0.3">
      <c r="A233">
        <f t="shared" si="42"/>
        <v>0</v>
      </c>
      <c r="B233" s="2">
        <f t="shared" si="45"/>
        <v>14.580199999727483</v>
      </c>
      <c r="C233" s="2">
        <f t="shared" si="49"/>
        <v>-0.14148000000000138</v>
      </c>
      <c r="D233" s="2">
        <f t="shared" si="46"/>
        <v>3.5996033999999781</v>
      </c>
      <c r="E233" s="2"/>
      <c r="F233">
        <v>2909.2031333999998</v>
      </c>
      <c r="G233">
        <v>185.25</v>
      </c>
      <c r="H233">
        <v>39</v>
      </c>
      <c r="I233">
        <v>185.619</v>
      </c>
      <c r="J233">
        <v>37.69</v>
      </c>
      <c r="K233">
        <v>182.548439999999</v>
      </c>
      <c r="L233">
        <v>39.178159999999998</v>
      </c>
      <c r="M233" t="s">
        <v>37</v>
      </c>
      <c r="N233">
        <v>0</v>
      </c>
      <c r="O233">
        <v>0</v>
      </c>
      <c r="P233">
        <v>0</v>
      </c>
      <c r="Q233">
        <v>0</v>
      </c>
      <c r="R233">
        <v>-8.1742942810058505E-2</v>
      </c>
      <c r="S233">
        <v>-3.57123112678527E-3</v>
      </c>
      <c r="T233">
        <v>0</v>
      </c>
      <c r="U233" s="7">
        <v>165.506</v>
      </c>
      <c r="V233" s="7">
        <v>-0.54</v>
      </c>
      <c r="W233" s="7">
        <v>0.20599999999999999</v>
      </c>
      <c r="X233" s="7">
        <v>0.78900000000000003</v>
      </c>
      <c r="Y233" t="b">
        <v>1</v>
      </c>
      <c r="Z233">
        <v>79</v>
      </c>
      <c r="AA233">
        <f t="shared" si="43"/>
        <v>-8.1742942810058512</v>
      </c>
      <c r="AB233">
        <f t="shared" si="41"/>
        <v>40.98592159216318</v>
      </c>
      <c r="AC233">
        <f t="shared" si="47"/>
        <v>-9.7035705959208904</v>
      </c>
      <c r="AE233" s="2"/>
      <c r="AF233" s="2"/>
      <c r="AJ233" s="2"/>
      <c r="AK233" s="2"/>
      <c r="AL233" s="2"/>
    </row>
    <row r="234" spans="1:38" x14ac:dyDescent="0.3">
      <c r="A234">
        <f t="shared" si="42"/>
        <v>0</v>
      </c>
      <c r="B234" s="2">
        <f t="shared" si="45"/>
        <v>48.8391000003503</v>
      </c>
      <c r="C234" s="2">
        <f t="shared" si="49"/>
        <v>-0.12051999999999907</v>
      </c>
      <c r="D234" s="2">
        <f t="shared" si="46"/>
        <v>3.6484425000003284</v>
      </c>
      <c r="E234" s="2"/>
      <c r="F234">
        <v>2909.2519725000002</v>
      </c>
      <c r="G234">
        <v>185.25</v>
      </c>
      <c r="H234">
        <v>39</v>
      </c>
      <c r="I234">
        <v>185.49600000000001</v>
      </c>
      <c r="J234">
        <v>37.69</v>
      </c>
      <c r="K234">
        <v>182.69243999999901</v>
      </c>
      <c r="L234">
        <v>39.057639999999999</v>
      </c>
      <c r="M234" t="s">
        <v>37</v>
      </c>
      <c r="N234">
        <v>0</v>
      </c>
      <c r="O234">
        <v>0</v>
      </c>
      <c r="P234">
        <v>0</v>
      </c>
      <c r="Q234">
        <v>0</v>
      </c>
      <c r="R234">
        <v>-7.4503440856933598E-2</v>
      </c>
      <c r="S234">
        <v>-1.9968589782714801E-2</v>
      </c>
      <c r="T234">
        <v>0</v>
      </c>
      <c r="U234" s="7">
        <v>165.608</v>
      </c>
      <c r="V234" s="7">
        <v>-1.036</v>
      </c>
      <c r="W234" s="7">
        <v>0.13</v>
      </c>
      <c r="X234" s="7">
        <v>0.79300000000000004</v>
      </c>
      <c r="Y234" t="b">
        <v>1</v>
      </c>
      <c r="Z234">
        <v>79</v>
      </c>
      <c r="AA234">
        <f t="shared" si="43"/>
        <v>-7.4503440856933594</v>
      </c>
      <c r="AB234">
        <f t="shared" si="41"/>
        <v>40.586696416340843</v>
      </c>
      <c r="AC234">
        <f t="shared" si="47"/>
        <v>-2.4676949411257505</v>
      </c>
      <c r="AE234" s="2"/>
      <c r="AF234" s="2"/>
      <c r="AJ234" s="2"/>
      <c r="AK234" s="2"/>
      <c r="AL234" s="2"/>
    </row>
    <row r="235" spans="1:38" x14ac:dyDescent="0.3">
      <c r="A235">
        <f t="shared" si="42"/>
        <v>0</v>
      </c>
      <c r="B235" s="2">
        <f t="shared" si="45"/>
        <v>30.779899999743066</v>
      </c>
      <c r="C235" s="2">
        <f t="shared" si="49"/>
        <v>-9.9559999999996762E-2</v>
      </c>
      <c r="D235" s="2">
        <f t="shared" si="46"/>
        <v>3.6792224000000715</v>
      </c>
      <c r="E235" s="2"/>
      <c r="F235">
        <v>2909.2827523999999</v>
      </c>
      <c r="G235">
        <v>185.25</v>
      </c>
      <c r="H235">
        <v>39</v>
      </c>
      <c r="I235">
        <v>185.25</v>
      </c>
      <c r="J235">
        <v>37.558999999999997</v>
      </c>
      <c r="K235">
        <v>182.87088</v>
      </c>
      <c r="L235">
        <v>38.958080000000002</v>
      </c>
      <c r="M235" t="s">
        <v>37</v>
      </c>
      <c r="N235">
        <v>0</v>
      </c>
      <c r="O235">
        <v>0</v>
      </c>
      <c r="P235">
        <v>0</v>
      </c>
      <c r="Q235">
        <v>0</v>
      </c>
      <c r="R235">
        <v>-7.4503440856933598E-2</v>
      </c>
      <c r="S235">
        <v>-1.9968589782714801E-2</v>
      </c>
      <c r="T235">
        <v>0</v>
      </c>
      <c r="U235" s="7">
        <v>165.608</v>
      </c>
      <c r="V235" s="7">
        <v>-1.036</v>
      </c>
      <c r="W235" s="7">
        <v>0.13</v>
      </c>
      <c r="X235" s="7">
        <v>0.79300000000000004</v>
      </c>
      <c r="Y235" t="b">
        <v>1</v>
      </c>
      <c r="Z235">
        <v>79</v>
      </c>
      <c r="AA235">
        <f t="shared" si="43"/>
        <v>-7.4503440856933594</v>
      </c>
      <c r="AB235">
        <f t="shared" si="41"/>
        <v>40.357375570419521</v>
      </c>
      <c r="AC235">
        <f t="shared" si="47"/>
        <v>-3.23457840996325</v>
      </c>
      <c r="AE235" s="2"/>
      <c r="AF235" s="2"/>
      <c r="AJ235" s="2"/>
      <c r="AK235" s="2"/>
      <c r="AL235" s="2"/>
    </row>
    <row r="236" spans="1:38" x14ac:dyDescent="0.3">
      <c r="A236">
        <f t="shared" si="42"/>
        <v>0</v>
      </c>
      <c r="B236" s="2">
        <f t="shared" si="45"/>
        <v>30.696100000113802</v>
      </c>
      <c r="C236" s="2">
        <f t="shared" si="49"/>
        <v>-8.9080000000002713E-2</v>
      </c>
      <c r="D236" s="2">
        <f t="shared" si="46"/>
        <v>3.7099185000001853</v>
      </c>
      <c r="E236" s="2"/>
      <c r="F236">
        <v>2909.3134485</v>
      </c>
      <c r="G236">
        <v>185.25</v>
      </c>
      <c r="H236">
        <v>39</v>
      </c>
      <c r="I236">
        <v>185.00399999999999</v>
      </c>
      <c r="J236">
        <v>37.558999999999997</v>
      </c>
      <c r="K236">
        <v>183.07884000000001</v>
      </c>
      <c r="L236">
        <v>38.869</v>
      </c>
      <c r="M236" t="s">
        <v>37</v>
      </c>
      <c r="N236">
        <v>0</v>
      </c>
      <c r="O236">
        <v>0</v>
      </c>
      <c r="P236">
        <v>0</v>
      </c>
      <c r="Q236">
        <v>0</v>
      </c>
      <c r="R236">
        <v>-6.6265220642089798E-2</v>
      </c>
      <c r="S236" s="5">
        <v>3.0682992190122599E-5</v>
      </c>
      <c r="T236">
        <v>0</v>
      </c>
      <c r="U236" s="7">
        <v>165.786</v>
      </c>
      <c r="V236" s="7">
        <v>-1.3220000000000001</v>
      </c>
      <c r="W236" s="7">
        <v>0.11799999999999999</v>
      </c>
      <c r="X236" s="7">
        <v>0.79800000000000004</v>
      </c>
      <c r="Y236" t="b">
        <v>1</v>
      </c>
      <c r="Z236">
        <v>79</v>
      </c>
      <c r="AA236">
        <f t="shared" si="43"/>
        <v>-6.6265220642089799</v>
      </c>
      <c r="AB236">
        <f t="shared" si="41"/>
        <v>40.12867906332982</v>
      </c>
      <c r="AC236">
        <f t="shared" si="47"/>
        <v>-2.9019973221247151</v>
      </c>
      <c r="AE236" s="2"/>
      <c r="AF236" s="2"/>
      <c r="AJ236" s="2"/>
      <c r="AK236" s="2"/>
      <c r="AL236" s="2"/>
    </row>
    <row r="237" spans="1:38" x14ac:dyDescent="0.3">
      <c r="A237">
        <f t="shared" si="42"/>
        <v>0</v>
      </c>
      <c r="B237" s="2">
        <f t="shared" si="45"/>
        <v>31.012899999950605</v>
      </c>
      <c r="C237" s="2">
        <f t="shared" si="49"/>
        <v>-7.336000000000098E-2</v>
      </c>
      <c r="D237" s="2">
        <f t="shared" si="46"/>
        <v>3.7409314000001359</v>
      </c>
      <c r="E237" s="2"/>
      <c r="F237">
        <v>2909.3444614</v>
      </c>
      <c r="G237">
        <v>185.25</v>
      </c>
      <c r="H237">
        <v>39</v>
      </c>
      <c r="I237">
        <v>184.75800000000001</v>
      </c>
      <c r="J237">
        <v>37.69</v>
      </c>
      <c r="K237">
        <v>183.31139999999999</v>
      </c>
      <c r="L237">
        <v>38.795639999999999</v>
      </c>
      <c r="M237" t="s">
        <v>37</v>
      </c>
      <c r="N237">
        <v>0</v>
      </c>
      <c r="O237">
        <v>0</v>
      </c>
      <c r="P237">
        <v>0</v>
      </c>
      <c r="Q237">
        <v>0</v>
      </c>
      <c r="R237">
        <v>-6.6265220642089798E-2</v>
      </c>
      <c r="S237" s="5">
        <v>3.0682992190122599E-5</v>
      </c>
      <c r="T237">
        <v>0</v>
      </c>
      <c r="U237" s="7">
        <v>165.786</v>
      </c>
      <c r="V237" s="7">
        <v>-1.3220000000000001</v>
      </c>
      <c r="W237" s="7">
        <v>0.11799999999999999</v>
      </c>
      <c r="X237" s="7">
        <v>0.79800000000000004</v>
      </c>
      <c r="Y237" t="b">
        <v>1</v>
      </c>
      <c r="Z237">
        <v>79</v>
      </c>
      <c r="AA237">
        <f t="shared" si="43"/>
        <v>-6.6265220642089799</v>
      </c>
      <c r="AB237">
        <f t="shared" si="41"/>
        <v>39.923171397205039</v>
      </c>
      <c r="AC237">
        <f t="shared" si="47"/>
        <v>-2.3654672732997502</v>
      </c>
      <c r="AE237" s="2"/>
      <c r="AF237" s="2"/>
      <c r="AJ237" s="2"/>
      <c r="AK237" s="2"/>
      <c r="AL237" s="2"/>
    </row>
    <row r="238" spans="1:38" x14ac:dyDescent="0.3">
      <c r="A238">
        <f t="shared" si="42"/>
        <v>0</v>
      </c>
      <c r="B238" s="2">
        <f t="shared" si="45"/>
        <v>31.58579999990252</v>
      </c>
      <c r="C238" s="2">
        <f t="shared" si="49"/>
        <v>-5.239999999999867E-2</v>
      </c>
      <c r="D238" s="2">
        <f t="shared" si="46"/>
        <v>3.7725172000000384</v>
      </c>
      <c r="E238" s="2"/>
      <c r="F238">
        <v>2909.3760471999999</v>
      </c>
      <c r="G238">
        <v>185.25</v>
      </c>
      <c r="H238">
        <v>39</v>
      </c>
      <c r="I238">
        <v>184.63499999999999</v>
      </c>
      <c r="J238">
        <v>37.951999999999998</v>
      </c>
      <c r="K238">
        <v>183.55871999999999</v>
      </c>
      <c r="L238">
        <v>38.74324</v>
      </c>
      <c r="M238" t="s">
        <v>37</v>
      </c>
      <c r="N238">
        <v>0</v>
      </c>
      <c r="O238">
        <v>0</v>
      </c>
      <c r="P238">
        <v>0</v>
      </c>
      <c r="Q238">
        <v>0</v>
      </c>
      <c r="R238">
        <v>-4.8112213134765602E-2</v>
      </c>
      <c r="S238">
        <v>-1.04753322601318E-2</v>
      </c>
      <c r="T238">
        <v>0</v>
      </c>
      <c r="U238" s="7">
        <v>165.79599999999999</v>
      </c>
      <c r="V238" s="7">
        <v>-1.5640000000000001</v>
      </c>
      <c r="W238" s="7">
        <v>-0.155</v>
      </c>
      <c r="X238" s="7">
        <v>0.8</v>
      </c>
      <c r="Y238" t="b">
        <v>1</v>
      </c>
      <c r="Z238">
        <v>79</v>
      </c>
      <c r="AA238">
        <f t="shared" si="43"/>
        <v>-4.81122131347656</v>
      </c>
      <c r="AB238">
        <f t="shared" si="41"/>
        <v>39.71386739658999</v>
      </c>
      <c r="AC238">
        <f t="shared" si="47"/>
        <v>-1.6589733361244732</v>
      </c>
      <c r="AE238" s="2"/>
      <c r="AF238" s="2"/>
      <c r="AJ238" s="2"/>
      <c r="AK238" s="2"/>
      <c r="AL238" s="2"/>
    </row>
    <row r="239" spans="1:38" x14ac:dyDescent="0.3">
      <c r="A239">
        <f t="shared" si="42"/>
        <v>0</v>
      </c>
      <c r="B239" s="2">
        <f t="shared" si="45"/>
        <v>30.901900000117166</v>
      </c>
      <c r="C239" s="2">
        <f t="shared" si="49"/>
        <v>-3.6679999999996937E-2</v>
      </c>
      <c r="D239" s="2">
        <f t="shared" si="46"/>
        <v>3.8034191000001556</v>
      </c>
      <c r="E239" s="2"/>
      <c r="F239">
        <v>2909.4069491</v>
      </c>
      <c r="G239">
        <v>185.25</v>
      </c>
      <c r="H239">
        <v>39</v>
      </c>
      <c r="I239">
        <v>184.512</v>
      </c>
      <c r="J239">
        <v>38.344999999999999</v>
      </c>
      <c r="K239">
        <v>183.80604</v>
      </c>
      <c r="L239">
        <v>38.706560000000003</v>
      </c>
      <c r="M239" t="s">
        <v>37</v>
      </c>
      <c r="N239">
        <v>0</v>
      </c>
      <c r="O239">
        <v>0</v>
      </c>
      <c r="P239">
        <v>0</v>
      </c>
      <c r="Q239">
        <v>0</v>
      </c>
      <c r="R239">
        <v>-4.8112213134765602E-2</v>
      </c>
      <c r="S239">
        <v>-1.04753322601318E-2</v>
      </c>
      <c r="T239">
        <v>0</v>
      </c>
      <c r="U239" s="7">
        <v>165.79599999999999</v>
      </c>
      <c r="V239" s="7">
        <v>-1.5640000000000001</v>
      </c>
      <c r="W239" s="7">
        <v>-0.155</v>
      </c>
      <c r="X239" s="7">
        <v>0.8</v>
      </c>
      <c r="Y239" t="b">
        <v>1</v>
      </c>
      <c r="Z239">
        <v>79</v>
      </c>
      <c r="AA239">
        <f t="shared" si="43"/>
        <v>-4.81122131347656</v>
      </c>
      <c r="AB239">
        <f t="shared" si="41"/>
        <v>39.565191516682503</v>
      </c>
      <c r="AC239">
        <f t="shared" si="47"/>
        <v>-1.1869820302265512</v>
      </c>
      <c r="AE239" s="2"/>
      <c r="AF239" s="2"/>
      <c r="AJ239" s="2"/>
      <c r="AK239" s="2"/>
      <c r="AL239" s="2"/>
    </row>
    <row r="240" spans="1:38" x14ac:dyDescent="0.3">
      <c r="A240">
        <f t="shared" si="42"/>
        <v>0</v>
      </c>
      <c r="B240" s="2">
        <f t="shared" si="45"/>
        <v>31.335300000137067</v>
      </c>
      <c r="C240" s="2">
        <f t="shared" si="49"/>
        <v>-5.2400000001000535E-3</v>
      </c>
      <c r="D240" s="2">
        <f t="shared" si="46"/>
        <v>3.8347544000002927</v>
      </c>
      <c r="E240" s="2"/>
      <c r="F240">
        <v>2909.4382844000002</v>
      </c>
      <c r="G240">
        <v>185.25</v>
      </c>
      <c r="H240">
        <v>39</v>
      </c>
      <c r="I240">
        <v>184.38900000000001</v>
      </c>
      <c r="J240">
        <v>39</v>
      </c>
      <c r="K240">
        <v>184.04352</v>
      </c>
      <c r="L240">
        <v>38.701319999999903</v>
      </c>
      <c r="M240" t="s">
        <v>37</v>
      </c>
      <c r="N240">
        <v>0</v>
      </c>
      <c r="O240">
        <v>0</v>
      </c>
      <c r="P240">
        <v>0</v>
      </c>
      <c r="Q240">
        <v>0</v>
      </c>
      <c r="R240">
        <v>-6.3324172973632797E-2</v>
      </c>
      <c r="S240">
        <v>-4.4573600769042897E-2</v>
      </c>
      <c r="T240">
        <v>0</v>
      </c>
      <c r="U240" s="7">
        <v>165.95</v>
      </c>
      <c r="V240" s="7">
        <v>-1.411</v>
      </c>
      <c r="W240" s="7">
        <v>-0.218</v>
      </c>
      <c r="X240" s="7">
        <v>0.8</v>
      </c>
      <c r="Y240" t="b">
        <v>1</v>
      </c>
      <c r="Z240">
        <v>79</v>
      </c>
      <c r="AA240">
        <f t="shared" si="43"/>
        <v>-6.3324172973632802</v>
      </c>
      <c r="AB240">
        <f t="shared" si="41"/>
        <v>39.414430453457662</v>
      </c>
      <c r="AC240">
        <f t="shared" si="47"/>
        <v>-0.16722354660964256</v>
      </c>
      <c r="AE240" s="2"/>
      <c r="AF240" s="2"/>
      <c r="AJ240" s="2"/>
      <c r="AK240" s="2"/>
      <c r="AL240" s="2"/>
    </row>
    <row r="241" spans="1:38" x14ac:dyDescent="0.3">
      <c r="A241">
        <f t="shared" si="42"/>
        <v>0</v>
      </c>
      <c r="B241" s="2">
        <f t="shared" si="45"/>
        <v>46.240299999681156</v>
      </c>
      <c r="C241" s="2">
        <f t="shared" si="49"/>
        <v>1.5720000000094103E-2</v>
      </c>
      <c r="D241" s="2">
        <f t="shared" si="46"/>
        <v>3.8809946999999738</v>
      </c>
      <c r="E241" s="2"/>
      <c r="F241">
        <v>2909.4845246999998</v>
      </c>
      <c r="G241">
        <v>185.25</v>
      </c>
      <c r="H241">
        <v>39</v>
      </c>
      <c r="I241">
        <v>184.26599999999999</v>
      </c>
      <c r="J241">
        <v>39.524000000000001</v>
      </c>
      <c r="K241">
        <v>184.25639999999899</v>
      </c>
      <c r="L241">
        <v>38.717039999999997</v>
      </c>
      <c r="M241" t="s">
        <v>37</v>
      </c>
      <c r="N241">
        <v>0</v>
      </c>
      <c r="O241">
        <v>0</v>
      </c>
      <c r="P241">
        <v>0</v>
      </c>
      <c r="Q241">
        <v>0</v>
      </c>
      <c r="R241">
        <v>-6.3324172973632797E-2</v>
      </c>
      <c r="S241">
        <v>-4.4573600769042897E-2</v>
      </c>
      <c r="T241">
        <v>0</v>
      </c>
      <c r="U241" s="7">
        <v>165.95</v>
      </c>
      <c r="V241" s="7">
        <v>-1.411</v>
      </c>
      <c r="W241" s="7">
        <v>-0.218</v>
      </c>
      <c r="X241" s="7">
        <v>0.8</v>
      </c>
      <c r="Y241" t="b">
        <v>1</v>
      </c>
      <c r="Z241">
        <v>79</v>
      </c>
      <c r="AA241">
        <f t="shared" si="43"/>
        <v>-6.3324172973632802</v>
      </c>
      <c r="AB241">
        <f t="shared" si="41"/>
        <v>39.121617577904416</v>
      </c>
      <c r="AC241">
        <f t="shared" si="47"/>
        <v>0.33996319228470617</v>
      </c>
      <c r="AE241" s="2"/>
      <c r="AF241" s="2"/>
      <c r="AJ241" s="2"/>
      <c r="AK241" s="2"/>
      <c r="AL241" s="2"/>
    </row>
    <row r="242" spans="1:38" x14ac:dyDescent="0.3">
      <c r="A242">
        <f t="shared" si="42"/>
        <v>0</v>
      </c>
      <c r="B242" s="2">
        <f t="shared" si="45"/>
        <v>30.852100000174687</v>
      </c>
      <c r="C242" s="2">
        <f t="shared" si="49"/>
        <v>3.6680000000004043E-2</v>
      </c>
      <c r="D242" s="2">
        <f t="shared" si="46"/>
        <v>3.9118468000001485</v>
      </c>
      <c r="E242" s="2"/>
      <c r="F242">
        <v>2909.5153768</v>
      </c>
      <c r="G242">
        <v>185.25</v>
      </c>
      <c r="H242">
        <v>39</v>
      </c>
      <c r="I242">
        <v>184.143</v>
      </c>
      <c r="J242">
        <v>40.179000000000002</v>
      </c>
      <c r="K242">
        <v>184.43975999999901</v>
      </c>
      <c r="L242">
        <v>38.753720000000001</v>
      </c>
      <c r="M242" t="s">
        <v>37</v>
      </c>
      <c r="N242">
        <v>0</v>
      </c>
      <c r="O242">
        <v>0</v>
      </c>
      <c r="P242">
        <v>0</v>
      </c>
      <c r="Q242">
        <v>0</v>
      </c>
      <c r="R242">
        <v>-3.2148937225341699E-2</v>
      </c>
      <c r="S242">
        <v>-3.4600471496581998E-2</v>
      </c>
      <c r="T242">
        <v>0</v>
      </c>
      <c r="U242" s="7">
        <v>166.24600000000001</v>
      </c>
      <c r="V242" s="7">
        <v>-1.657</v>
      </c>
      <c r="W242" s="7">
        <v>0.29599999999999999</v>
      </c>
      <c r="X242" s="7">
        <v>0.8</v>
      </c>
      <c r="Y242" t="b">
        <v>1</v>
      </c>
      <c r="Z242">
        <v>79</v>
      </c>
      <c r="AA242">
        <f t="shared" si="43"/>
        <v>-3.2148937225341698</v>
      </c>
      <c r="AB242">
        <f t="shared" si="41"/>
        <v>38.92624920620333</v>
      </c>
      <c r="AC242">
        <f t="shared" si="47"/>
        <v>1.1888980004536598</v>
      </c>
      <c r="AE242" s="2"/>
      <c r="AF242" s="2"/>
      <c r="AJ242" s="2"/>
      <c r="AK242" s="2"/>
      <c r="AL242" s="2"/>
    </row>
    <row r="243" spans="1:38" x14ac:dyDescent="0.3">
      <c r="A243">
        <f t="shared" si="42"/>
        <v>0</v>
      </c>
      <c r="B243" s="2">
        <f t="shared" si="45"/>
        <v>29.971500000101514</v>
      </c>
      <c r="C243" s="2">
        <f t="shared" si="49"/>
        <v>5.7639999999999247E-2</v>
      </c>
      <c r="D243" s="2">
        <f t="shared" si="46"/>
        <v>3.94181830000025</v>
      </c>
      <c r="E243" s="2"/>
      <c r="F243">
        <v>2909.5453483000001</v>
      </c>
      <c r="G243">
        <v>185.25</v>
      </c>
      <c r="H243">
        <v>39</v>
      </c>
      <c r="I243">
        <v>184.143</v>
      </c>
      <c r="J243">
        <v>40.834000000000003</v>
      </c>
      <c r="K243">
        <v>184.58376000000001</v>
      </c>
      <c r="L243">
        <v>38.811360000000001</v>
      </c>
      <c r="M243" t="s">
        <v>37</v>
      </c>
      <c r="N243">
        <v>0</v>
      </c>
      <c r="O243">
        <v>0</v>
      </c>
      <c r="P243">
        <v>0</v>
      </c>
      <c r="Q243">
        <v>0</v>
      </c>
      <c r="R243">
        <v>-3.2148937225341699E-2</v>
      </c>
      <c r="S243">
        <v>-3.4600471496581998E-2</v>
      </c>
      <c r="T243">
        <v>0</v>
      </c>
      <c r="U243" s="7">
        <v>166.24600000000001</v>
      </c>
      <c r="V243" s="7">
        <v>-1.657</v>
      </c>
      <c r="W243" s="7">
        <v>0.29599999999999999</v>
      </c>
      <c r="X243" s="7">
        <v>0.8</v>
      </c>
      <c r="Y243" t="b">
        <v>1</v>
      </c>
      <c r="Z243">
        <v>79</v>
      </c>
      <c r="AA243">
        <f t="shared" si="43"/>
        <v>-3.2148937225341698</v>
      </c>
      <c r="AB243">
        <f t="shared" ref="AB243:AB306" si="50">AB242+(AA242*(D243-D242))</f>
        <v>38.829894018998068</v>
      </c>
      <c r="AC243">
        <f t="shared" si="47"/>
        <v>1.9231603356456641</v>
      </c>
      <c r="AE243" s="2"/>
      <c r="AF243" s="2"/>
      <c r="AJ243" s="2"/>
      <c r="AK243" s="2"/>
      <c r="AL243" s="2"/>
    </row>
    <row r="244" spans="1:38" x14ac:dyDescent="0.3">
      <c r="A244">
        <f t="shared" si="42"/>
        <v>0</v>
      </c>
      <c r="B244" s="2">
        <f t="shared" si="45"/>
        <v>31.806499999674998</v>
      </c>
      <c r="C244" s="2">
        <f t="shared" si="49"/>
        <v>8.3840000000002135E-2</v>
      </c>
      <c r="D244" s="2">
        <f t="shared" si="46"/>
        <v>3.973624799999925</v>
      </c>
      <c r="E244" s="2"/>
      <c r="F244">
        <v>2909.5771547999998</v>
      </c>
      <c r="G244">
        <v>185.25</v>
      </c>
      <c r="H244">
        <v>39</v>
      </c>
      <c r="I244">
        <v>184.143</v>
      </c>
      <c r="J244">
        <v>41.62</v>
      </c>
      <c r="K244">
        <v>184.68348</v>
      </c>
      <c r="L244">
        <v>38.895200000000003</v>
      </c>
      <c r="M244" t="s">
        <v>37</v>
      </c>
      <c r="N244">
        <v>0</v>
      </c>
      <c r="O244">
        <v>0</v>
      </c>
      <c r="P244">
        <v>0</v>
      </c>
      <c r="Q244">
        <v>0</v>
      </c>
      <c r="R244">
        <v>2.3914350509643498E-2</v>
      </c>
      <c r="S244">
        <v>-2.1121803283691402E-2</v>
      </c>
      <c r="T244">
        <v>0</v>
      </c>
      <c r="U244" s="7">
        <v>166.41300000000001</v>
      </c>
      <c r="V244" s="7">
        <v>-1.67</v>
      </c>
      <c r="W244" s="7">
        <v>0.67400000000000004</v>
      </c>
      <c r="X244" s="7">
        <v>0.79900000000000004</v>
      </c>
      <c r="Y244" t="b">
        <v>1</v>
      </c>
      <c r="Z244">
        <v>79</v>
      </c>
      <c r="AA244">
        <f t="shared" si="43"/>
        <v>2.3914350509643501</v>
      </c>
      <c r="AB244">
        <f t="shared" si="50"/>
        <v>38.727639501813329</v>
      </c>
      <c r="AC244">
        <f t="shared" si="47"/>
        <v>2.6359391948456707</v>
      </c>
      <c r="AE244" s="2"/>
      <c r="AF244" s="2"/>
      <c r="AJ244" s="2"/>
      <c r="AK244" s="2"/>
      <c r="AL244" s="2"/>
    </row>
    <row r="245" spans="1:38" x14ac:dyDescent="0.3">
      <c r="A245">
        <f t="shared" si="42"/>
        <v>0</v>
      </c>
      <c r="B245" s="2">
        <f t="shared" si="45"/>
        <v>31.655100000079983</v>
      </c>
      <c r="C245" s="2">
        <f t="shared" si="49"/>
        <v>-0.20840000000000458</v>
      </c>
      <c r="D245" s="2">
        <f t="shared" si="46"/>
        <v>4.005279900000005</v>
      </c>
      <c r="E245" s="2"/>
      <c r="F245">
        <v>2909.6088098999999</v>
      </c>
      <c r="G245">
        <v>191.1</v>
      </c>
      <c r="H245">
        <v>35.1</v>
      </c>
      <c r="I245">
        <v>184.089</v>
      </c>
      <c r="J245">
        <v>34.576000000000001</v>
      </c>
      <c r="K245">
        <v>184.73676</v>
      </c>
      <c r="L245">
        <v>38.686799999999998</v>
      </c>
      <c r="M245" t="s">
        <v>37</v>
      </c>
      <c r="N245">
        <v>0</v>
      </c>
      <c r="O245">
        <v>0</v>
      </c>
      <c r="P245">
        <v>0</v>
      </c>
      <c r="Q245">
        <v>0</v>
      </c>
      <c r="R245">
        <v>2.3914350509643498E-2</v>
      </c>
      <c r="S245">
        <v>-2.1121803283691402E-2</v>
      </c>
      <c r="T245">
        <v>0</v>
      </c>
      <c r="U245" s="7">
        <v>166.41300000000001</v>
      </c>
      <c r="V245" s="7">
        <v>-1.67</v>
      </c>
      <c r="W245" s="7">
        <v>0.67400000000000004</v>
      </c>
      <c r="X245" s="7">
        <v>0.79900000000000004</v>
      </c>
      <c r="Y245" t="b">
        <v>1</v>
      </c>
      <c r="Z245">
        <v>79</v>
      </c>
      <c r="AA245">
        <f t="shared" si="43"/>
        <v>2.3914350509643501</v>
      </c>
      <c r="AB245">
        <f t="shared" si="50"/>
        <v>38.803340617495302</v>
      </c>
      <c r="AC245">
        <f t="shared" si="47"/>
        <v>-6.5834573259752149</v>
      </c>
      <c r="AE245" s="2"/>
      <c r="AF245" s="2"/>
      <c r="AJ245" s="2"/>
      <c r="AK245" s="2"/>
      <c r="AL245" s="2"/>
    </row>
    <row r="246" spans="1:38" x14ac:dyDescent="0.3">
      <c r="A246">
        <f t="shared" si="42"/>
        <v>0</v>
      </c>
      <c r="B246" s="2">
        <f t="shared" si="45"/>
        <v>45.470200000181649</v>
      </c>
      <c r="C246" s="2">
        <f t="shared" si="49"/>
        <v>-0.65200000000000102</v>
      </c>
      <c r="D246" s="2">
        <f t="shared" si="46"/>
        <v>4.0507501000001866</v>
      </c>
      <c r="E246" s="2"/>
      <c r="F246">
        <v>2909.6542801000001</v>
      </c>
      <c r="G246">
        <v>185.25</v>
      </c>
      <c r="H246">
        <v>29.25</v>
      </c>
      <c r="I246">
        <v>183.65100000000001</v>
      </c>
      <c r="J246">
        <v>23.486000000000001</v>
      </c>
      <c r="K246">
        <v>184.73808</v>
      </c>
      <c r="L246">
        <v>38.034799999999997</v>
      </c>
      <c r="M246" t="s">
        <v>37</v>
      </c>
      <c r="N246">
        <v>0</v>
      </c>
      <c r="O246">
        <v>0</v>
      </c>
      <c r="P246">
        <v>0</v>
      </c>
      <c r="Q246">
        <v>0</v>
      </c>
      <c r="R246">
        <v>1.6826833724975499E-2</v>
      </c>
      <c r="S246">
        <v>-4.8651252746581997E-2</v>
      </c>
      <c r="T246">
        <v>0</v>
      </c>
      <c r="U246" s="7">
        <v>166.61600000000001</v>
      </c>
      <c r="V246" s="7">
        <v>-0.89100000000000001</v>
      </c>
      <c r="W246" s="7">
        <v>0.81299999999999994</v>
      </c>
      <c r="X246" s="7">
        <v>0.79800000000000004</v>
      </c>
      <c r="Y246" t="b">
        <v>1</v>
      </c>
      <c r="Z246">
        <v>79</v>
      </c>
      <c r="AA246">
        <f t="shared" si="43"/>
        <v>1.6826833724975498</v>
      </c>
      <c r="AB246">
        <f t="shared" si="50"/>
        <v>38.912079647550094</v>
      </c>
      <c r="AC246">
        <f t="shared" si="47"/>
        <v>-14.33906162711834</v>
      </c>
      <c r="AE246" s="2"/>
      <c r="AF246" s="2"/>
      <c r="AJ246" s="2"/>
      <c r="AK246" s="2"/>
      <c r="AL246" s="2"/>
    </row>
    <row r="247" spans="1:38" x14ac:dyDescent="0.3">
      <c r="A247">
        <f t="shared" si="42"/>
        <v>0</v>
      </c>
      <c r="B247" s="2">
        <f t="shared" si="45"/>
        <v>16.357999999854655</v>
      </c>
      <c r="C247" s="2">
        <f t="shared" si="49"/>
        <v>-0.62579999999999814</v>
      </c>
      <c r="D247" s="2">
        <f t="shared" si="46"/>
        <v>4.0671081000000413</v>
      </c>
      <c r="E247" s="2"/>
      <c r="F247">
        <v>2909.6706380999999</v>
      </c>
      <c r="G247">
        <v>185.25</v>
      </c>
      <c r="H247">
        <v>29.25</v>
      </c>
      <c r="I247">
        <v>183.52799999999999</v>
      </c>
      <c r="J247">
        <v>24.140999999999998</v>
      </c>
      <c r="K247">
        <v>184.70988</v>
      </c>
      <c r="L247">
        <v>37.408999999999999</v>
      </c>
      <c r="M247" t="s">
        <v>37</v>
      </c>
      <c r="N247">
        <v>0</v>
      </c>
      <c r="O247">
        <v>0</v>
      </c>
      <c r="P247">
        <v>0</v>
      </c>
      <c r="Q247">
        <v>0</v>
      </c>
      <c r="R247">
        <v>1.6826833724975499E-2</v>
      </c>
      <c r="S247">
        <v>-4.8651252746581997E-2</v>
      </c>
      <c r="T247">
        <v>0</v>
      </c>
      <c r="U247" s="7">
        <v>166.61600000000001</v>
      </c>
      <c r="V247" s="7">
        <v>-0.89100000000000001</v>
      </c>
      <c r="W247" s="7">
        <v>0.81299999999999994</v>
      </c>
      <c r="X247" s="7">
        <v>0.79800000000000004</v>
      </c>
      <c r="Y247" t="b">
        <v>1</v>
      </c>
      <c r="Z247">
        <v>79</v>
      </c>
      <c r="AA247">
        <f t="shared" si="43"/>
        <v>1.6826833724975498</v>
      </c>
      <c r="AB247">
        <f t="shared" si="50"/>
        <v>38.939604982157164</v>
      </c>
      <c r="AC247">
        <f t="shared" si="47"/>
        <v>-14.33906162711834</v>
      </c>
      <c r="AE247" s="2"/>
      <c r="AF247" s="2"/>
      <c r="AJ247" s="2"/>
      <c r="AK247" s="2"/>
      <c r="AL247" s="2"/>
    </row>
    <row r="248" spans="1:38" x14ac:dyDescent="0.3">
      <c r="A248">
        <f t="shared" si="42"/>
        <v>0</v>
      </c>
      <c r="B248" s="2">
        <f t="shared" si="45"/>
        <v>45.734700000139128</v>
      </c>
      <c r="C248" s="2">
        <f t="shared" si="49"/>
        <v>-0.59960000000000235</v>
      </c>
      <c r="D248" s="2">
        <f t="shared" si="46"/>
        <v>4.1128428000001804</v>
      </c>
      <c r="E248" s="2"/>
      <c r="F248">
        <v>2909.7163728</v>
      </c>
      <c r="G248">
        <v>185.25</v>
      </c>
      <c r="H248">
        <v>29.25</v>
      </c>
      <c r="I248">
        <v>183.405</v>
      </c>
      <c r="J248">
        <v>24.664999999999999</v>
      </c>
      <c r="K248">
        <v>184.66200000000001</v>
      </c>
      <c r="L248">
        <v>36.809399999999997</v>
      </c>
      <c r="M248" t="s">
        <v>37</v>
      </c>
      <c r="N248">
        <v>0</v>
      </c>
      <c r="O248">
        <v>0</v>
      </c>
      <c r="P248">
        <v>0</v>
      </c>
      <c r="Q248">
        <v>0</v>
      </c>
      <c r="R248">
        <v>-6.22495889663696E-3</v>
      </c>
      <c r="S248">
        <v>-4.79337768554687E-2</v>
      </c>
      <c r="T248">
        <v>0</v>
      </c>
      <c r="U248" s="7">
        <v>166.834</v>
      </c>
      <c r="V248" s="7">
        <v>-0.105</v>
      </c>
      <c r="W248" s="7">
        <v>1.1659999999999999</v>
      </c>
      <c r="X248" s="7">
        <v>0.79500000000000004</v>
      </c>
      <c r="Y248" t="b">
        <v>1</v>
      </c>
      <c r="Z248">
        <v>79</v>
      </c>
      <c r="AA248">
        <f t="shared" si="43"/>
        <v>-0.62249588966369596</v>
      </c>
      <c r="AB248">
        <f t="shared" si="50"/>
        <v>39.016562001393559</v>
      </c>
      <c r="AC248">
        <f t="shared" si="47"/>
        <v>-13.110395389019242</v>
      </c>
      <c r="AE248" s="2"/>
      <c r="AF248" s="2"/>
      <c r="AJ248" s="2"/>
      <c r="AK248" s="2"/>
      <c r="AL248" s="2"/>
    </row>
    <row r="249" spans="1:38" x14ac:dyDescent="0.3">
      <c r="A249">
        <f t="shared" si="42"/>
        <v>0</v>
      </c>
      <c r="B249" s="2">
        <f t="shared" si="45"/>
        <v>32.095300000037241</v>
      </c>
      <c r="C249" s="2">
        <f t="shared" si="49"/>
        <v>-0.56815999999999889</v>
      </c>
      <c r="D249" s="2">
        <f t="shared" si="46"/>
        <v>4.1449381000002177</v>
      </c>
      <c r="E249" s="2"/>
      <c r="F249">
        <v>2909.7484681000001</v>
      </c>
      <c r="G249">
        <v>185.25</v>
      </c>
      <c r="H249">
        <v>29.25</v>
      </c>
      <c r="I249">
        <v>183.405</v>
      </c>
      <c r="J249">
        <v>25.189</v>
      </c>
      <c r="K249">
        <v>184.60427999999999</v>
      </c>
      <c r="L249">
        <v>36.241239999999998</v>
      </c>
      <c r="M249" t="s">
        <v>37</v>
      </c>
      <c r="N249">
        <v>0</v>
      </c>
      <c r="O249">
        <v>0</v>
      </c>
      <c r="P249">
        <v>0</v>
      </c>
      <c r="Q249">
        <v>0</v>
      </c>
      <c r="R249">
        <v>-6.22495889663696E-3</v>
      </c>
      <c r="S249">
        <v>-4.79337768554687E-2</v>
      </c>
      <c r="T249">
        <v>0</v>
      </c>
      <c r="U249" s="7">
        <v>166.834</v>
      </c>
      <c r="V249" s="7">
        <v>-0.105</v>
      </c>
      <c r="W249" s="7">
        <v>1.1659999999999999</v>
      </c>
      <c r="X249" s="7">
        <v>0.79500000000000004</v>
      </c>
      <c r="Y249" t="b">
        <v>1</v>
      </c>
      <c r="Z249">
        <v>79</v>
      </c>
      <c r="AA249">
        <f t="shared" si="43"/>
        <v>-0.62249588966369596</v>
      </c>
      <c r="AB249">
        <f t="shared" si="50"/>
        <v>38.996582809066012</v>
      </c>
      <c r="AC249">
        <f t="shared" si="47"/>
        <v>-17.702280396174505</v>
      </c>
      <c r="AE249" s="2"/>
      <c r="AF249" s="2"/>
      <c r="AJ249" s="2"/>
      <c r="AK249" s="2"/>
      <c r="AL249" s="2"/>
    </row>
    <row r="250" spans="1:38" x14ac:dyDescent="0.3">
      <c r="A250">
        <f t="shared" si="42"/>
        <v>0</v>
      </c>
      <c r="B250" s="2">
        <f t="shared" si="45"/>
        <v>31.451299999844196</v>
      </c>
      <c r="C250" s="2">
        <f t="shared" si="49"/>
        <v>-0.54196000000009548</v>
      </c>
      <c r="D250" s="2">
        <f t="shared" si="46"/>
        <v>4.1763894000000619</v>
      </c>
      <c r="E250" s="2"/>
      <c r="F250">
        <v>2909.7799193999999</v>
      </c>
      <c r="G250">
        <v>185.25</v>
      </c>
      <c r="H250">
        <v>29.25</v>
      </c>
      <c r="I250">
        <v>183.52799999999999</v>
      </c>
      <c r="J250">
        <v>25.713000000000001</v>
      </c>
      <c r="K250">
        <v>184.54656</v>
      </c>
      <c r="L250">
        <v>35.699279999999902</v>
      </c>
      <c r="M250" t="s">
        <v>37</v>
      </c>
      <c r="N250">
        <v>0</v>
      </c>
      <c r="O250">
        <v>0</v>
      </c>
      <c r="P250">
        <v>0</v>
      </c>
      <c r="Q250">
        <v>0</v>
      </c>
      <c r="R250">
        <v>-1.2940545082092201E-2</v>
      </c>
      <c r="S250">
        <v>-5.2677928924560503E-2</v>
      </c>
      <c r="T250">
        <v>0</v>
      </c>
      <c r="U250" s="7">
        <v>166.827</v>
      </c>
      <c r="V250" s="7">
        <v>0.38800000000000001</v>
      </c>
      <c r="W250" s="7">
        <v>1.3939999999999999</v>
      </c>
      <c r="X250" s="7">
        <v>0.79300000000000004</v>
      </c>
      <c r="Y250" t="b">
        <v>1</v>
      </c>
      <c r="Z250">
        <v>79</v>
      </c>
      <c r="AA250">
        <f t="shared" si="43"/>
        <v>-1.2940545082092201</v>
      </c>
      <c r="AB250">
        <f t="shared" si="50"/>
        <v>38.977004504091532</v>
      </c>
      <c r="AC250">
        <f t="shared" si="47"/>
        <v>-17.231720151560676</v>
      </c>
      <c r="AE250" s="2"/>
      <c r="AF250" s="2"/>
      <c r="AJ250" s="2"/>
      <c r="AK250" s="2"/>
      <c r="AL250" s="2"/>
    </row>
    <row r="251" spans="1:38" x14ac:dyDescent="0.3">
      <c r="A251">
        <f t="shared" si="42"/>
        <v>0</v>
      </c>
      <c r="B251" s="2">
        <f t="shared" si="45"/>
        <v>31.225300000187417</v>
      </c>
      <c r="C251" s="2">
        <f t="shared" si="49"/>
        <v>-0.51576000000000022</v>
      </c>
      <c r="D251" s="2">
        <f t="shared" si="46"/>
        <v>4.2076147000002493</v>
      </c>
      <c r="E251" s="2"/>
      <c r="F251">
        <v>2909.8111447000001</v>
      </c>
      <c r="G251">
        <v>185.25</v>
      </c>
      <c r="H251">
        <v>29.25</v>
      </c>
      <c r="I251">
        <v>183.52799999999999</v>
      </c>
      <c r="J251">
        <v>26.106000000000002</v>
      </c>
      <c r="K251">
        <v>184.49376000000001</v>
      </c>
      <c r="L251">
        <v>35.183519999999902</v>
      </c>
      <c r="M251" t="s">
        <v>37</v>
      </c>
      <c r="N251">
        <v>0</v>
      </c>
      <c r="O251">
        <v>0</v>
      </c>
      <c r="P251">
        <v>0</v>
      </c>
      <c r="Q251">
        <v>0</v>
      </c>
      <c r="R251">
        <v>-1.2940545082092201E-2</v>
      </c>
      <c r="S251">
        <v>-5.2677928924560503E-2</v>
      </c>
      <c r="T251">
        <v>0</v>
      </c>
      <c r="U251" s="7">
        <v>166.827</v>
      </c>
      <c r="V251" s="7">
        <v>0.38800000000000001</v>
      </c>
      <c r="W251" s="7">
        <v>1.3939999999999999</v>
      </c>
      <c r="X251" s="7">
        <v>0.79300000000000004</v>
      </c>
      <c r="Y251" t="b">
        <v>1</v>
      </c>
      <c r="Z251">
        <v>79</v>
      </c>
      <c r="AA251">
        <f t="shared" si="43"/>
        <v>-1.2940545082092201</v>
      </c>
      <c r="AB251">
        <f t="shared" si="50"/>
        <v>38.936597263856108</v>
      </c>
      <c r="AC251">
        <f t="shared" si="47"/>
        <v>-16.517375333364438</v>
      </c>
      <c r="AE251" s="2"/>
      <c r="AF251" s="2"/>
      <c r="AJ251" s="2"/>
      <c r="AK251" s="2"/>
      <c r="AL251" s="2"/>
    </row>
    <row r="252" spans="1:38" x14ac:dyDescent="0.3">
      <c r="A252">
        <f t="shared" si="42"/>
        <v>0</v>
      </c>
      <c r="B252" s="2">
        <f t="shared" si="45"/>
        <v>31.156399999872519</v>
      </c>
      <c r="C252" s="2">
        <f t="shared" si="49"/>
        <v>-0.50003999999999849</v>
      </c>
      <c r="D252" s="2">
        <f t="shared" si="46"/>
        <v>4.2387711000001218</v>
      </c>
      <c r="E252" s="2"/>
      <c r="F252">
        <v>2909.8423011</v>
      </c>
      <c r="G252">
        <v>185.25</v>
      </c>
      <c r="H252">
        <v>29.25</v>
      </c>
      <c r="I252">
        <v>183.52799999999999</v>
      </c>
      <c r="J252">
        <v>26.367999999999999</v>
      </c>
      <c r="K252">
        <v>184.43603999999999</v>
      </c>
      <c r="L252">
        <v>34.683479999999903</v>
      </c>
      <c r="M252" t="s">
        <v>37</v>
      </c>
      <c r="N252">
        <v>0</v>
      </c>
      <c r="O252">
        <v>0</v>
      </c>
      <c r="P252">
        <v>0</v>
      </c>
      <c r="Q252">
        <v>0</v>
      </c>
      <c r="R252">
        <v>2.90270471572875E-3</v>
      </c>
      <c r="S252">
        <v>-2.23875370025634E-2</v>
      </c>
      <c r="T252">
        <v>0</v>
      </c>
      <c r="U252" s="7">
        <v>167.02500000000001</v>
      </c>
      <c r="V252" s="7">
        <v>0.35299999999999998</v>
      </c>
      <c r="W252" s="7">
        <v>1.643</v>
      </c>
      <c r="X252" s="7">
        <v>0.79</v>
      </c>
      <c r="Y252" t="b">
        <v>1</v>
      </c>
      <c r="Z252">
        <v>79</v>
      </c>
      <c r="AA252">
        <f t="shared" si="43"/>
        <v>0.290270471572875</v>
      </c>
      <c r="AB252">
        <f t="shared" si="50"/>
        <v>38.896279183976702</v>
      </c>
      <c r="AC252">
        <f t="shared" si="47"/>
        <v>-16.049351016229231</v>
      </c>
      <c r="AE252" s="2"/>
      <c r="AF252" s="2"/>
      <c r="AJ252" s="2"/>
      <c r="AK252" s="2"/>
      <c r="AL252" s="2"/>
    </row>
    <row r="253" spans="1:38" x14ac:dyDescent="0.3">
      <c r="A253">
        <f t="shared" si="42"/>
        <v>0</v>
      </c>
      <c r="B253" s="2">
        <f t="shared" si="45"/>
        <v>30.862699999943288</v>
      </c>
      <c r="C253" s="2">
        <f t="shared" si="49"/>
        <v>-0.48956000000000444</v>
      </c>
      <c r="D253" s="2">
        <f t="shared" si="46"/>
        <v>4.2696338000000651</v>
      </c>
      <c r="E253" s="2"/>
      <c r="F253">
        <v>2909.8731637999999</v>
      </c>
      <c r="G253">
        <v>185.25</v>
      </c>
      <c r="H253">
        <v>29.25</v>
      </c>
      <c r="I253">
        <v>183.28200000000001</v>
      </c>
      <c r="J253">
        <v>26.498999999999999</v>
      </c>
      <c r="K253">
        <v>184.38684000000001</v>
      </c>
      <c r="L253">
        <v>34.193919999999899</v>
      </c>
      <c r="M253" t="s">
        <v>37</v>
      </c>
      <c r="N253">
        <v>0</v>
      </c>
      <c r="O253">
        <v>0</v>
      </c>
      <c r="P253">
        <v>0</v>
      </c>
      <c r="Q253">
        <v>0</v>
      </c>
      <c r="R253">
        <v>2.90270471572875E-3</v>
      </c>
      <c r="S253">
        <v>-2.23875370025634E-2</v>
      </c>
      <c r="T253">
        <v>0</v>
      </c>
      <c r="U253" s="7">
        <v>167.02500000000001</v>
      </c>
      <c r="V253" s="7">
        <v>0.35299999999999998</v>
      </c>
      <c r="W253" s="7">
        <v>1.643</v>
      </c>
      <c r="X253" s="7">
        <v>0.79</v>
      </c>
      <c r="Y253" t="b">
        <v>1</v>
      </c>
      <c r="Z253">
        <v>79</v>
      </c>
      <c r="AA253">
        <f t="shared" si="43"/>
        <v>0.290270471572875</v>
      </c>
      <c r="AB253">
        <f t="shared" si="50"/>
        <v>38.905237714459695</v>
      </c>
      <c r="AC253">
        <f t="shared" si="47"/>
        <v>-15.862513649191548</v>
      </c>
      <c r="AE253" s="2"/>
      <c r="AF253" s="2"/>
      <c r="AJ253" s="2"/>
      <c r="AK253" s="2"/>
      <c r="AL253" s="2"/>
    </row>
    <row r="254" spans="1:38" x14ac:dyDescent="0.3">
      <c r="A254">
        <f t="shared" si="42"/>
        <v>0</v>
      </c>
      <c r="B254" s="2">
        <f t="shared" si="45"/>
        <v>31.312999999954627</v>
      </c>
      <c r="C254" s="2">
        <f t="shared" si="49"/>
        <v>-0.46335999999990207</v>
      </c>
      <c r="D254" s="2">
        <f t="shared" si="46"/>
        <v>4.3009468000000197</v>
      </c>
      <c r="E254" s="2"/>
      <c r="F254">
        <v>2909.9044767999999</v>
      </c>
      <c r="G254">
        <v>185.25</v>
      </c>
      <c r="H254">
        <v>29.25</v>
      </c>
      <c r="I254">
        <v>182.54400000000001</v>
      </c>
      <c r="J254">
        <v>26.891999999999999</v>
      </c>
      <c r="K254">
        <v>184.29336000000001</v>
      </c>
      <c r="L254">
        <v>33.730559999999997</v>
      </c>
      <c r="M254" t="s">
        <v>37</v>
      </c>
      <c r="N254">
        <v>0</v>
      </c>
      <c r="O254">
        <v>0</v>
      </c>
      <c r="P254">
        <v>0</v>
      </c>
      <c r="Q254">
        <v>0</v>
      </c>
      <c r="R254">
        <v>-1.9640287399291901E-2</v>
      </c>
      <c r="S254">
        <v>-4.6125270843505803E-2</v>
      </c>
      <c r="T254">
        <v>0</v>
      </c>
      <c r="U254" s="7">
        <v>166.94499999999999</v>
      </c>
      <c r="V254" s="7">
        <v>0.222</v>
      </c>
      <c r="W254" s="7">
        <v>1.099</v>
      </c>
      <c r="X254" s="7">
        <v>0.78800000000000003</v>
      </c>
      <c r="Y254" t="b">
        <v>1</v>
      </c>
      <c r="Z254">
        <v>79</v>
      </c>
      <c r="AA254">
        <f t="shared" si="43"/>
        <v>-1.96402873992919</v>
      </c>
      <c r="AB254">
        <f t="shared" si="50"/>
        <v>38.914326953736044</v>
      </c>
      <c r="AC254">
        <f t="shared" si="47"/>
        <v>-14.79768786128999</v>
      </c>
      <c r="AE254" s="2"/>
      <c r="AF254" s="2"/>
      <c r="AJ254" s="2"/>
      <c r="AK254" s="2"/>
      <c r="AL254" s="2"/>
    </row>
    <row r="255" spans="1:38" x14ac:dyDescent="0.3">
      <c r="A255">
        <f t="shared" si="42"/>
        <v>0</v>
      </c>
      <c r="B255" s="2">
        <f t="shared" si="45"/>
        <v>32.13480000022173</v>
      </c>
      <c r="C255" s="2">
        <f t="shared" si="49"/>
        <v>-0.44763999999999982</v>
      </c>
      <c r="D255" s="2">
        <f t="shared" si="46"/>
        <v>4.3330816000002415</v>
      </c>
      <c r="E255" s="2"/>
      <c r="F255">
        <v>2909.9366116000001</v>
      </c>
      <c r="G255">
        <v>185.25</v>
      </c>
      <c r="H255">
        <v>29.25</v>
      </c>
      <c r="I255">
        <v>182.298</v>
      </c>
      <c r="J255">
        <v>27.023</v>
      </c>
      <c r="K255">
        <v>184.17527999999899</v>
      </c>
      <c r="L255">
        <v>33.282919999999997</v>
      </c>
      <c r="M255" t="s">
        <v>37</v>
      </c>
      <c r="N255">
        <v>0</v>
      </c>
      <c r="O255">
        <v>0</v>
      </c>
      <c r="P255">
        <v>0</v>
      </c>
      <c r="Q255">
        <v>0</v>
      </c>
      <c r="R255">
        <v>-1.9640287399291901E-2</v>
      </c>
      <c r="S255">
        <v>-4.6125270843505803E-2</v>
      </c>
      <c r="T255">
        <v>0</v>
      </c>
      <c r="U255" s="7">
        <v>166.94499999999999</v>
      </c>
      <c r="V255" s="7">
        <v>0.222</v>
      </c>
      <c r="W255" s="7">
        <v>1.099</v>
      </c>
      <c r="X255" s="7">
        <v>0.78800000000000003</v>
      </c>
      <c r="Y255" t="b">
        <v>1</v>
      </c>
      <c r="Z255">
        <v>79</v>
      </c>
      <c r="AA255">
        <f t="shared" si="43"/>
        <v>-1.96402873992919</v>
      </c>
      <c r="AB255">
        <f t="shared" si="50"/>
        <v>38.851213282983728</v>
      </c>
      <c r="AC255">
        <f t="shared" si="47"/>
        <v>-13.93006958179018</v>
      </c>
      <c r="AE255" s="2"/>
      <c r="AF255" s="2"/>
      <c r="AJ255" s="2"/>
      <c r="AK255" s="2"/>
      <c r="AL255" s="2"/>
    </row>
    <row r="256" spans="1:38" x14ac:dyDescent="0.3">
      <c r="A256">
        <f t="shared" si="42"/>
        <v>0</v>
      </c>
      <c r="B256" s="2">
        <f t="shared" si="45"/>
        <v>30.226099999708822</v>
      </c>
      <c r="C256" s="2">
        <f t="shared" si="49"/>
        <v>-0.32904571428579743</v>
      </c>
      <c r="D256" s="2">
        <f t="shared" si="46"/>
        <v>4.3633076999999503</v>
      </c>
      <c r="E256" s="2"/>
      <c r="F256">
        <v>2909.9668376999998</v>
      </c>
      <c r="G256">
        <v>181.07142857142799</v>
      </c>
      <c r="H256">
        <v>30.6428571428571</v>
      </c>
      <c r="I256">
        <v>181.317428571428</v>
      </c>
      <c r="J256">
        <v>29.725857142857102</v>
      </c>
      <c r="K256">
        <v>184.00813714285701</v>
      </c>
      <c r="L256">
        <v>32.9538742857142</v>
      </c>
      <c r="M256" t="s">
        <v>37</v>
      </c>
      <c r="N256">
        <v>0</v>
      </c>
      <c r="O256">
        <v>0</v>
      </c>
      <c r="P256">
        <v>0</v>
      </c>
      <c r="Q256">
        <v>0</v>
      </c>
      <c r="R256">
        <v>-2.1398469924926701E-2</v>
      </c>
      <c r="S256">
        <v>-2.17966232299804E-2</v>
      </c>
      <c r="T256">
        <v>0</v>
      </c>
      <c r="U256" s="7">
        <v>166.845</v>
      </c>
      <c r="V256" s="7">
        <v>-0.20399999999999999</v>
      </c>
      <c r="W256" s="7">
        <v>0.92700000000000005</v>
      </c>
      <c r="X256" s="7">
        <v>0.78700000000000003</v>
      </c>
      <c r="Y256" t="b">
        <v>1</v>
      </c>
      <c r="Z256">
        <v>79</v>
      </c>
      <c r="AA256">
        <f t="shared" si="43"/>
        <v>-2.1398469924926702</v>
      </c>
      <c r="AB256">
        <f t="shared" si="50"/>
        <v>38.791848353888327</v>
      </c>
      <c r="AC256">
        <f t="shared" si="47"/>
        <v>-10.886145228427328</v>
      </c>
      <c r="AE256" s="2"/>
      <c r="AF256" s="2"/>
      <c r="AJ256" s="2"/>
      <c r="AK256" s="2"/>
      <c r="AL256" s="2"/>
    </row>
    <row r="257" spans="1:38" x14ac:dyDescent="0.3">
      <c r="A257">
        <f t="shared" si="42"/>
        <v>0</v>
      </c>
      <c r="B257" s="2">
        <f t="shared" si="45"/>
        <v>31.43820000013875</v>
      </c>
      <c r="C257" s="2">
        <f t="shared" si="49"/>
        <v>-32.9538742857142</v>
      </c>
      <c r="D257" s="2">
        <f t="shared" si="46"/>
        <v>4.394745900000089</v>
      </c>
      <c r="E257" s="2"/>
      <c r="F257">
        <v>2909.9982759</v>
      </c>
      <c r="G257" t="s">
        <v>39</v>
      </c>
      <c r="H257" t="s">
        <v>44</v>
      </c>
      <c r="AA257">
        <f t="shared" si="43"/>
        <v>0</v>
      </c>
      <c r="AB257">
        <f t="shared" si="50"/>
        <v>38.724575416168648</v>
      </c>
      <c r="AC257">
        <f t="shared" si="47"/>
        <v>-10.886145228427328</v>
      </c>
      <c r="AE257" s="2"/>
      <c r="AF257" s="2"/>
      <c r="AJ257" s="2"/>
      <c r="AK257" s="2"/>
      <c r="AL257" s="2"/>
    </row>
    <row r="258" spans="1:38" x14ac:dyDescent="0.3">
      <c r="A258">
        <f t="shared" si="42"/>
        <v>500</v>
      </c>
      <c r="B258" s="2">
        <f t="shared" si="45"/>
        <v>0</v>
      </c>
      <c r="C258" s="2">
        <f t="shared" si="49"/>
        <v>32.619588571428501</v>
      </c>
      <c r="D258" s="2">
        <f t="shared" si="46"/>
        <v>4.394745900000089</v>
      </c>
      <c r="E258" s="2"/>
      <c r="F258">
        <v>2909.9982759</v>
      </c>
      <c r="G258">
        <v>181.07142857142799</v>
      </c>
      <c r="H258">
        <v>30.6428571428571</v>
      </c>
      <c r="I258">
        <v>180.948428571428</v>
      </c>
      <c r="J258">
        <v>29.463857142857101</v>
      </c>
      <c r="K258">
        <v>183.81639428571401</v>
      </c>
      <c r="L258">
        <v>32.619588571428501</v>
      </c>
      <c r="M258">
        <v>32.619588571428501</v>
      </c>
      <c r="N258">
        <v>0.05</v>
      </c>
      <c r="O258">
        <v>0</v>
      </c>
      <c r="P258">
        <v>0</v>
      </c>
      <c r="Q258">
        <v>0</v>
      </c>
      <c r="R258">
        <v>-2.1398469924926701E-2</v>
      </c>
      <c r="S258">
        <v>-2.17966232299804E-2</v>
      </c>
      <c r="T258">
        <v>0</v>
      </c>
      <c r="U258">
        <v>166.845</v>
      </c>
      <c r="V258">
        <v>-0.20399999999999999</v>
      </c>
      <c r="W258">
        <v>0.92700000000000005</v>
      </c>
      <c r="X258">
        <v>0.78700000000000003</v>
      </c>
      <c r="Y258" t="b">
        <v>1</v>
      </c>
      <c r="Z258">
        <v>79</v>
      </c>
      <c r="AA258">
        <f t="shared" si="43"/>
        <v>-2.1398469924926702</v>
      </c>
      <c r="AB258">
        <f t="shared" si="50"/>
        <v>38.724575416168648</v>
      </c>
      <c r="AC258" t="e">
        <f t="shared" si="47"/>
        <v>#DIV/0!</v>
      </c>
      <c r="AE258" s="2"/>
      <c r="AF258" s="2"/>
      <c r="AJ258" s="2"/>
      <c r="AK258" s="2"/>
      <c r="AL258" s="2"/>
    </row>
    <row r="259" spans="1:38" x14ac:dyDescent="0.3">
      <c r="A259">
        <f t="shared" si="42"/>
        <v>500</v>
      </c>
      <c r="B259" s="2">
        <f t="shared" si="45"/>
        <v>46.469800000068062</v>
      </c>
      <c r="C259" s="2">
        <f t="shared" si="49"/>
        <v>-0.35000571428570026</v>
      </c>
      <c r="D259" s="2">
        <f t="shared" si="46"/>
        <v>4.4412157000001571</v>
      </c>
      <c r="E259" s="2"/>
      <c r="F259">
        <v>2910.0447457</v>
      </c>
      <c r="G259">
        <v>181.07142857142799</v>
      </c>
      <c r="H259">
        <v>30.6428571428571</v>
      </c>
      <c r="I259">
        <v>180.45642857142801</v>
      </c>
      <c r="J259">
        <v>28.9398571428571</v>
      </c>
      <c r="K259">
        <v>183.60989142857099</v>
      </c>
      <c r="L259">
        <v>32.269582857142801</v>
      </c>
      <c r="M259">
        <v>32.310053748249302</v>
      </c>
      <c r="N259">
        <v>0.05</v>
      </c>
      <c r="O259">
        <v>0</v>
      </c>
      <c r="P259">
        <v>0</v>
      </c>
      <c r="Q259">
        <v>0</v>
      </c>
      <c r="R259">
        <v>1.35965800285339E-3</v>
      </c>
      <c r="S259">
        <v>4.0728015899658201E-2</v>
      </c>
      <c r="T259">
        <v>0</v>
      </c>
      <c r="U259">
        <v>167.11199999999999</v>
      </c>
      <c r="V259">
        <v>-0.57399999999999995</v>
      </c>
      <c r="W259">
        <v>0.86699999999999999</v>
      </c>
      <c r="X259">
        <v>0.78400000000000003</v>
      </c>
      <c r="Y259" t="b">
        <v>1</v>
      </c>
      <c r="Z259">
        <v>79</v>
      </c>
      <c r="AA259">
        <f t="shared" si="43"/>
        <v>0.135965800285339</v>
      </c>
      <c r="AB259">
        <f t="shared" si="50"/>
        <v>38.625137154396768</v>
      </c>
      <c r="AC259">
        <f t="shared" si="47"/>
        <v>-7.5318962914664498</v>
      </c>
      <c r="AE259" s="2"/>
      <c r="AF259" s="2"/>
      <c r="AJ259" s="2"/>
      <c r="AK259" s="2"/>
      <c r="AL259" s="2"/>
    </row>
    <row r="260" spans="1:38" x14ac:dyDescent="0.3">
      <c r="A260">
        <f t="shared" si="42"/>
        <v>500</v>
      </c>
      <c r="B260" s="2">
        <f t="shared" si="45"/>
        <v>31.382499999836</v>
      </c>
      <c r="C260" s="2">
        <f t="shared" si="49"/>
        <v>-0.50004000000000204</v>
      </c>
      <c r="D260" s="2">
        <f t="shared" si="46"/>
        <v>4.4725981999999931</v>
      </c>
      <c r="E260" s="2"/>
      <c r="F260">
        <v>2910.0761281999999</v>
      </c>
      <c r="G260">
        <v>175.5</v>
      </c>
      <c r="H260">
        <v>29.25</v>
      </c>
      <c r="I260">
        <v>179.68199999999999</v>
      </c>
      <c r="J260">
        <v>25.189</v>
      </c>
      <c r="K260">
        <v>183.37733142857101</v>
      </c>
      <c r="L260">
        <v>31.769542857142799</v>
      </c>
      <c r="M260">
        <v>31.8821872614329</v>
      </c>
      <c r="N260">
        <v>0.05</v>
      </c>
      <c r="O260">
        <v>0</v>
      </c>
      <c r="P260">
        <v>0</v>
      </c>
      <c r="Q260">
        <v>0</v>
      </c>
      <c r="R260">
        <v>1.35965800285339E-3</v>
      </c>
      <c r="S260">
        <v>4.0728015899658201E-2</v>
      </c>
      <c r="T260">
        <v>0</v>
      </c>
      <c r="U260">
        <v>167.11199999999999</v>
      </c>
      <c r="V260">
        <v>-0.57399999999999995</v>
      </c>
      <c r="W260">
        <v>0.86699999999999999</v>
      </c>
      <c r="X260">
        <v>0.78400000000000003</v>
      </c>
      <c r="Y260" t="b">
        <v>1</v>
      </c>
      <c r="Z260">
        <v>79</v>
      </c>
      <c r="AA260">
        <f t="shared" si="43"/>
        <v>0.135965800285339</v>
      </c>
      <c r="AB260">
        <f t="shared" si="50"/>
        <v>38.629404101124202</v>
      </c>
      <c r="AC260">
        <f t="shared" si="47"/>
        <v>-15.933721022946393</v>
      </c>
      <c r="AE260" s="2"/>
      <c r="AF260" s="2"/>
      <c r="AJ260" s="2"/>
      <c r="AK260" s="2"/>
      <c r="AL260" s="2"/>
    </row>
    <row r="261" spans="1:38" x14ac:dyDescent="0.3">
      <c r="A261">
        <f t="shared" si="42"/>
        <v>500</v>
      </c>
      <c r="B261" s="2">
        <f t="shared" si="45"/>
        <v>16.379600000163919</v>
      </c>
      <c r="C261" s="2">
        <f t="shared" si="49"/>
        <v>-0.52099999999999724</v>
      </c>
      <c r="D261" s="2">
        <f t="shared" si="46"/>
        <v>4.488977800000157</v>
      </c>
      <c r="E261" s="2"/>
      <c r="F261">
        <v>2910.0925078</v>
      </c>
      <c r="G261">
        <v>175.5</v>
      </c>
      <c r="H261">
        <v>29.25</v>
      </c>
      <c r="I261">
        <v>179.19</v>
      </c>
      <c r="J261">
        <v>24.533999999999999</v>
      </c>
      <c r="K261">
        <v>183.13493142857101</v>
      </c>
      <c r="L261">
        <v>31.248542857142802</v>
      </c>
      <c r="M261">
        <v>31.412855803096399</v>
      </c>
      <c r="N261">
        <v>0.05</v>
      </c>
      <c r="O261">
        <v>0</v>
      </c>
      <c r="P261">
        <v>0</v>
      </c>
      <c r="Q261">
        <v>0</v>
      </c>
      <c r="R261">
        <v>-1.6471740722656201E-2</v>
      </c>
      <c r="S261">
        <v>7.33036270141601E-2</v>
      </c>
      <c r="T261">
        <v>0</v>
      </c>
      <c r="U261">
        <v>167.22300000000001</v>
      </c>
      <c r="V261">
        <v>-0.221</v>
      </c>
      <c r="W261">
        <v>0.377</v>
      </c>
      <c r="X261">
        <v>0.78200000000000003</v>
      </c>
      <c r="Y261" t="b">
        <v>1</v>
      </c>
      <c r="Z261">
        <v>79</v>
      </c>
      <c r="AA261">
        <f t="shared" si="43"/>
        <v>-1.6471740722656201</v>
      </c>
      <c r="AB261">
        <f t="shared" si="50"/>
        <v>38.631631166546576</v>
      </c>
      <c r="AC261">
        <f t="shared" si="47"/>
        <v>-15.933721022946393</v>
      </c>
      <c r="AE261" s="2"/>
      <c r="AF261" s="2"/>
      <c r="AJ261" s="2"/>
      <c r="AK261" s="2"/>
      <c r="AL261" s="2"/>
    </row>
    <row r="262" spans="1:38" x14ac:dyDescent="0.3">
      <c r="A262">
        <f t="shared" si="42"/>
        <v>500</v>
      </c>
      <c r="B262" s="2">
        <f t="shared" si="45"/>
        <v>47.269799999867246</v>
      </c>
      <c r="C262" s="2">
        <f t="shared" si="49"/>
        <v>-0.54196000000000311</v>
      </c>
      <c r="D262" s="2">
        <f t="shared" si="46"/>
        <v>4.5362476000000242</v>
      </c>
      <c r="E262" s="2"/>
      <c r="F262">
        <v>2910.1397775999999</v>
      </c>
      <c r="G262">
        <v>175.5</v>
      </c>
      <c r="H262">
        <v>29.25</v>
      </c>
      <c r="I262">
        <v>178.69800000000001</v>
      </c>
      <c r="J262">
        <v>24.009999999999899</v>
      </c>
      <c r="K262">
        <v>182.88269142857101</v>
      </c>
      <c r="L262">
        <v>30.706582857142799</v>
      </c>
      <c r="M262">
        <v>31.072485701285601</v>
      </c>
      <c r="N262">
        <v>0.05</v>
      </c>
      <c r="O262">
        <v>0</v>
      </c>
      <c r="P262">
        <v>0</v>
      </c>
      <c r="Q262">
        <v>0</v>
      </c>
      <c r="R262">
        <v>-1.6471740722656201E-2</v>
      </c>
      <c r="S262">
        <v>7.33036270141601E-2</v>
      </c>
      <c r="T262">
        <v>0</v>
      </c>
      <c r="U262">
        <v>167.22300000000001</v>
      </c>
      <c r="V262">
        <v>-0.221</v>
      </c>
      <c r="W262">
        <v>0.377</v>
      </c>
      <c r="X262">
        <v>0.78200000000000003</v>
      </c>
      <c r="Y262" t="b">
        <v>1</v>
      </c>
      <c r="Z262">
        <v>79</v>
      </c>
      <c r="AA262">
        <f t="shared" si="43"/>
        <v>-1.6471740722656201</v>
      </c>
      <c r="AB262">
        <f t="shared" si="50"/>
        <v>38.553769577585612</v>
      </c>
      <c r="AC262">
        <f t="shared" si="47"/>
        <v>-11.465248425030889</v>
      </c>
      <c r="AE262" s="2"/>
      <c r="AF262" s="2"/>
      <c r="AJ262" s="2"/>
      <c r="AK262" s="2"/>
      <c r="AL262" s="2"/>
    </row>
    <row r="263" spans="1:38" x14ac:dyDescent="0.3">
      <c r="A263">
        <f t="shared" ref="A263:A326" si="51">N263*10000</f>
        <v>500</v>
      </c>
      <c r="B263" s="2">
        <f t="shared" si="45"/>
        <v>31.436199999916425</v>
      </c>
      <c r="C263" s="2">
        <f t="shared" si="49"/>
        <v>-0.40631999999999735</v>
      </c>
      <c r="D263" s="2">
        <f t="shared" si="46"/>
        <v>4.5676837999999407</v>
      </c>
      <c r="E263" s="2"/>
      <c r="F263">
        <v>2910.1712137999998</v>
      </c>
      <c r="G263">
        <v>179.4</v>
      </c>
      <c r="H263">
        <v>31.2</v>
      </c>
      <c r="I263">
        <v>178.53899999999999</v>
      </c>
      <c r="J263">
        <v>27.532</v>
      </c>
      <c r="K263">
        <v>182.633931428571</v>
      </c>
      <c r="L263">
        <v>30.300262857142801</v>
      </c>
      <c r="M263">
        <v>30.8422993691367</v>
      </c>
      <c r="N263">
        <v>0.05</v>
      </c>
      <c r="O263">
        <v>0</v>
      </c>
      <c r="P263">
        <v>0</v>
      </c>
      <c r="Q263">
        <v>0</v>
      </c>
      <c r="R263">
        <v>-4.41723442077636E-2</v>
      </c>
      <c r="S263">
        <v>6.7619293212890605E-2</v>
      </c>
      <c r="T263">
        <v>0</v>
      </c>
      <c r="U263">
        <v>167.249</v>
      </c>
      <c r="V263">
        <v>2.4E-2</v>
      </c>
      <c r="W263">
        <v>0.23300000000000001</v>
      </c>
      <c r="X263">
        <v>0.78</v>
      </c>
      <c r="Y263" t="b">
        <v>1</v>
      </c>
      <c r="Z263">
        <v>79</v>
      </c>
      <c r="AA263">
        <f t="shared" ref="AA263:AA326" si="52">R263*100</f>
        <v>-4.4172344207763601</v>
      </c>
      <c r="AB263">
        <f t="shared" si="50"/>
        <v>38.501988684015195</v>
      </c>
      <c r="AC263">
        <f t="shared" si="47"/>
        <v>-12.925226331461104</v>
      </c>
      <c r="AE263" s="2"/>
      <c r="AF263" s="2"/>
      <c r="AJ263" s="2"/>
      <c r="AK263" s="2"/>
      <c r="AL263" s="2"/>
    </row>
    <row r="264" spans="1:38" x14ac:dyDescent="0.3">
      <c r="A264">
        <f t="shared" si="51"/>
        <v>500</v>
      </c>
      <c r="B264" s="2">
        <f t="shared" ref="B264:B277" si="53">(F264-F263)*1000</f>
        <v>15.679000000091037</v>
      </c>
      <c r="C264" s="2">
        <f t="shared" si="49"/>
        <v>-0.42727999999999966</v>
      </c>
      <c r="D264" s="2">
        <f t="shared" ref="D264:D327" si="54">F264-$F$7</f>
        <v>4.5833628000000317</v>
      </c>
      <c r="E264" s="2"/>
      <c r="F264">
        <v>2910.1868927999999</v>
      </c>
      <c r="G264">
        <v>179.4</v>
      </c>
      <c r="H264">
        <v>31.2</v>
      </c>
      <c r="I264">
        <v>177.92400000000001</v>
      </c>
      <c r="J264">
        <v>27.27</v>
      </c>
      <c r="K264">
        <v>182.365491428571</v>
      </c>
      <c r="L264">
        <v>29.872982857142802</v>
      </c>
      <c r="M264">
        <v>30.515112034661399</v>
      </c>
      <c r="N264">
        <v>0.05</v>
      </c>
      <c r="O264">
        <v>0</v>
      </c>
      <c r="P264">
        <v>0</v>
      </c>
      <c r="Q264">
        <v>0</v>
      </c>
      <c r="R264">
        <v>-4.41723442077636E-2</v>
      </c>
      <c r="S264">
        <v>6.7619293212890605E-2</v>
      </c>
      <c r="T264">
        <v>0</v>
      </c>
      <c r="U264">
        <v>167.249</v>
      </c>
      <c r="V264">
        <v>2.4E-2</v>
      </c>
      <c r="W264">
        <v>0.23300000000000001</v>
      </c>
      <c r="X264">
        <v>0.78</v>
      </c>
      <c r="Y264" t="b">
        <v>1</v>
      </c>
      <c r="Z264">
        <v>79</v>
      </c>
      <c r="AA264">
        <f t="shared" si="52"/>
        <v>-4.4172344207763601</v>
      </c>
      <c r="AB264">
        <f t="shared" si="50"/>
        <v>38.43273086553144</v>
      </c>
      <c r="AC264">
        <f t="shared" ref="AC264:AC327" si="55">IF((L264-L263)/(D264-D263)&lt;100,IF((L264-L263)/(D264-D263)&gt;(-1*20),(L264-L263)/(D264-D263),AC263))</f>
        <v>-12.925226331461104</v>
      </c>
      <c r="AE264" s="2"/>
      <c r="AF264" s="2"/>
      <c r="AJ264" s="2"/>
      <c r="AK264" s="2"/>
      <c r="AL264" s="2"/>
    </row>
    <row r="265" spans="1:38" x14ac:dyDescent="0.3">
      <c r="A265">
        <f t="shared" si="51"/>
        <v>500</v>
      </c>
      <c r="B265" s="2">
        <f t="shared" si="53"/>
        <v>31.16890000001149</v>
      </c>
      <c r="C265" s="2">
        <f t="shared" ref="C265:C328" si="56">L265-L264</f>
        <v>-0.44824000000000197</v>
      </c>
      <c r="D265" s="2">
        <f t="shared" si="54"/>
        <v>4.6145317000000432</v>
      </c>
      <c r="E265" s="2"/>
      <c r="F265">
        <v>2910.2180616999999</v>
      </c>
      <c r="G265">
        <v>179.4</v>
      </c>
      <c r="H265">
        <v>31.2</v>
      </c>
      <c r="I265">
        <v>177.55500000000001</v>
      </c>
      <c r="J265">
        <v>27.138999999999999</v>
      </c>
      <c r="K265">
        <v>182.08721142857101</v>
      </c>
      <c r="L265">
        <v>29.4247428571428</v>
      </c>
      <c r="M265">
        <v>30.289550001189401</v>
      </c>
      <c r="N265">
        <v>0.05</v>
      </c>
      <c r="O265">
        <v>0</v>
      </c>
      <c r="P265">
        <v>0</v>
      </c>
      <c r="Q265">
        <v>0</v>
      </c>
      <c r="R265">
        <v>-1.32635421752929E-2</v>
      </c>
      <c r="S265">
        <v>0.10250238037109299</v>
      </c>
      <c r="T265">
        <v>0</v>
      </c>
      <c r="U265">
        <v>167.274</v>
      </c>
      <c r="V265">
        <v>4.0000000000000001E-3</v>
      </c>
      <c r="W265">
        <v>0.318</v>
      </c>
      <c r="X265">
        <v>0.77800000000000002</v>
      </c>
      <c r="Y265" t="b">
        <v>1</v>
      </c>
      <c r="Z265">
        <v>79</v>
      </c>
      <c r="AA265">
        <f t="shared" si="52"/>
        <v>-1.3263542175292899</v>
      </c>
      <c r="AB265">
        <f t="shared" si="50"/>
        <v>38.295050527593652</v>
      </c>
      <c r="AC265">
        <f t="shared" si="55"/>
        <v>-14.38100157528295</v>
      </c>
      <c r="AE265" s="2"/>
      <c r="AF265" s="2"/>
      <c r="AJ265" s="2"/>
      <c r="AK265" s="2"/>
      <c r="AL265" s="2"/>
    </row>
    <row r="266" spans="1:38" x14ac:dyDescent="0.3">
      <c r="A266">
        <f t="shared" si="51"/>
        <v>500</v>
      </c>
      <c r="B266" s="2">
        <f t="shared" si="53"/>
        <v>31.528500000149506</v>
      </c>
      <c r="C266" s="2">
        <f t="shared" si="56"/>
        <v>-0.47444000000000131</v>
      </c>
      <c r="D266" s="2">
        <f t="shared" si="54"/>
        <v>4.6460602000001927</v>
      </c>
      <c r="E266" s="2"/>
      <c r="F266">
        <v>2910.2495902000001</v>
      </c>
      <c r="G266">
        <v>179.4</v>
      </c>
      <c r="H266">
        <v>31.2</v>
      </c>
      <c r="I266">
        <v>177.309</v>
      </c>
      <c r="J266">
        <v>27.138999999999999</v>
      </c>
      <c r="K266">
        <v>181.80401142857099</v>
      </c>
      <c r="L266">
        <v>28.950302857142798</v>
      </c>
      <c r="M266">
        <v>30.071772469080599</v>
      </c>
      <c r="N266">
        <v>0.05</v>
      </c>
      <c r="O266">
        <v>0</v>
      </c>
      <c r="P266">
        <v>0</v>
      </c>
      <c r="Q266">
        <v>0</v>
      </c>
      <c r="R266">
        <v>-1.32635421752929E-2</v>
      </c>
      <c r="S266">
        <v>0.10250238037109299</v>
      </c>
      <c r="T266">
        <v>0</v>
      </c>
      <c r="U266">
        <v>167.274</v>
      </c>
      <c r="V266">
        <v>4.0000000000000001E-3</v>
      </c>
      <c r="W266">
        <v>0.318</v>
      </c>
      <c r="X266">
        <v>0.77800000000000002</v>
      </c>
      <c r="Y266" t="b">
        <v>1</v>
      </c>
      <c r="Z266">
        <v>79</v>
      </c>
      <c r="AA266">
        <f t="shared" si="52"/>
        <v>-1.3263542175292899</v>
      </c>
      <c r="AB266">
        <f t="shared" si="50"/>
        <v>38.253232568646084</v>
      </c>
      <c r="AC266">
        <f t="shared" si="55"/>
        <v>-15.04797246928181</v>
      </c>
      <c r="AE266" s="2"/>
      <c r="AF266" s="2"/>
      <c r="AJ266" s="2"/>
      <c r="AK266" s="2"/>
      <c r="AL266" s="2"/>
    </row>
    <row r="267" spans="1:38" x14ac:dyDescent="0.3">
      <c r="A267">
        <f t="shared" si="51"/>
        <v>500</v>
      </c>
      <c r="B267" s="2">
        <f t="shared" si="53"/>
        <v>45.764599999984057</v>
      </c>
      <c r="C267" s="2">
        <f t="shared" si="56"/>
        <v>-0.49015999999999948</v>
      </c>
      <c r="D267" s="2">
        <f t="shared" si="54"/>
        <v>4.6918248000001768</v>
      </c>
      <c r="E267" s="2"/>
      <c r="F267">
        <v>2910.2953548</v>
      </c>
      <c r="G267">
        <v>179.4</v>
      </c>
      <c r="H267">
        <v>31.2</v>
      </c>
      <c r="I267">
        <v>177.309</v>
      </c>
      <c r="J267">
        <v>27.27</v>
      </c>
      <c r="K267">
        <v>181.52573142857099</v>
      </c>
      <c r="L267">
        <v>28.460142857142799</v>
      </c>
      <c r="M267">
        <v>30.0087677736419</v>
      </c>
      <c r="N267">
        <v>0.05</v>
      </c>
      <c r="O267">
        <v>0</v>
      </c>
      <c r="P267">
        <v>0</v>
      </c>
      <c r="Q267">
        <v>0</v>
      </c>
      <c r="R267">
        <v>-1.06747980117797E-2</v>
      </c>
      <c r="S267">
        <v>0.12782511901855401</v>
      </c>
      <c r="T267">
        <v>0</v>
      </c>
      <c r="U267">
        <v>167.202</v>
      </c>
      <c r="V267">
        <v>-0.14899999999999999</v>
      </c>
      <c r="W267">
        <v>0.27</v>
      </c>
      <c r="X267">
        <v>0.77600000000000002</v>
      </c>
      <c r="Y267" t="b">
        <v>1</v>
      </c>
      <c r="Z267">
        <v>79</v>
      </c>
      <c r="AA267">
        <f t="shared" si="52"/>
        <v>-1.06747980117797</v>
      </c>
      <c r="AB267">
        <f t="shared" si="50"/>
        <v>38.192532498422565</v>
      </c>
      <c r="AC267">
        <f t="shared" si="55"/>
        <v>-10.710461797987314</v>
      </c>
      <c r="AE267" s="2"/>
      <c r="AF267" s="2"/>
      <c r="AJ267" s="2"/>
      <c r="AK267" s="2"/>
      <c r="AL267" s="2"/>
    </row>
    <row r="268" spans="1:38" x14ac:dyDescent="0.3">
      <c r="A268">
        <f t="shared" si="51"/>
        <v>500</v>
      </c>
      <c r="B268" s="2">
        <f t="shared" si="53"/>
        <v>30.648699999801465</v>
      </c>
      <c r="C268" s="2">
        <f t="shared" si="56"/>
        <v>-0.51111999999999824</v>
      </c>
      <c r="D268" s="2">
        <f t="shared" si="54"/>
        <v>4.7224734999999782</v>
      </c>
      <c r="E268" s="2"/>
      <c r="F268">
        <v>2910.3260034999998</v>
      </c>
      <c r="G268">
        <v>179.4</v>
      </c>
      <c r="H268">
        <v>31.2</v>
      </c>
      <c r="I268">
        <v>177.43199999999999</v>
      </c>
      <c r="J268">
        <v>27.401</v>
      </c>
      <c r="K268">
        <v>181.25729142857099</v>
      </c>
      <c r="L268">
        <v>27.949022857142801</v>
      </c>
      <c r="M268">
        <v>29.818831502841402</v>
      </c>
      <c r="N268">
        <v>0.05</v>
      </c>
      <c r="O268">
        <v>0</v>
      </c>
      <c r="P268">
        <v>0</v>
      </c>
      <c r="Q268">
        <v>0</v>
      </c>
      <c r="R268">
        <v>-1.06747980117797E-2</v>
      </c>
      <c r="S268">
        <v>0.12782511901855401</v>
      </c>
      <c r="T268">
        <v>0</v>
      </c>
      <c r="U268">
        <v>167.202</v>
      </c>
      <c r="V268">
        <v>-0.14899999999999999</v>
      </c>
      <c r="W268">
        <v>0.27</v>
      </c>
      <c r="X268">
        <v>0.77600000000000002</v>
      </c>
      <c r="Y268" t="b">
        <v>1</v>
      </c>
      <c r="Z268">
        <v>79</v>
      </c>
      <c r="AA268">
        <f t="shared" si="52"/>
        <v>-1.06747980117797</v>
      </c>
      <c r="AB268">
        <f t="shared" si="50"/>
        <v>38.159815630240416</v>
      </c>
      <c r="AC268">
        <f t="shared" si="55"/>
        <v>-16.676726908590222</v>
      </c>
      <c r="AE268" s="2"/>
      <c r="AF268" s="2"/>
      <c r="AJ268" s="2"/>
      <c r="AK268" s="2"/>
      <c r="AL268" s="2"/>
    </row>
    <row r="269" spans="1:38" x14ac:dyDescent="0.3">
      <c r="A269">
        <f t="shared" si="51"/>
        <v>500</v>
      </c>
      <c r="B269" s="2">
        <f t="shared" si="53"/>
        <v>31.540100000256643</v>
      </c>
      <c r="C269" s="2">
        <f t="shared" si="56"/>
        <v>-0.5215999999999994</v>
      </c>
      <c r="D269" s="2">
        <f t="shared" si="54"/>
        <v>4.7540136000002349</v>
      </c>
      <c r="E269" s="2"/>
      <c r="F269">
        <v>2910.3575436000001</v>
      </c>
      <c r="G269">
        <v>179.4</v>
      </c>
      <c r="H269">
        <v>31.2</v>
      </c>
      <c r="I269">
        <v>177.43199999999999</v>
      </c>
      <c r="J269">
        <v>27.794</v>
      </c>
      <c r="K269">
        <v>180.988851428571</v>
      </c>
      <c r="L269">
        <v>27.427422857142801</v>
      </c>
      <c r="M269">
        <v>29.656325052285901</v>
      </c>
      <c r="N269">
        <v>0.05</v>
      </c>
      <c r="O269">
        <v>0</v>
      </c>
      <c r="P269">
        <v>0</v>
      </c>
      <c r="Q269">
        <v>0</v>
      </c>
      <c r="R269">
        <v>-6.80009603500366E-3</v>
      </c>
      <c r="S269">
        <v>0.13491432189941399</v>
      </c>
      <c r="T269">
        <v>0</v>
      </c>
      <c r="U269">
        <v>167.08099999999999</v>
      </c>
      <c r="V269">
        <v>-0.41699999999999998</v>
      </c>
      <c r="W269">
        <v>4.2000000000000003E-2</v>
      </c>
      <c r="X269">
        <v>0.77500000000000002</v>
      </c>
      <c r="Y269" t="b">
        <v>1</v>
      </c>
      <c r="Z269">
        <v>79</v>
      </c>
      <c r="AA269">
        <f t="shared" si="52"/>
        <v>-0.68000960350036599</v>
      </c>
      <c r="AB269">
        <f t="shared" si="50"/>
        <v>38.126147210563012</v>
      </c>
      <c r="AC269">
        <f t="shared" si="55"/>
        <v>-16.537677432720731</v>
      </c>
      <c r="AE269" s="2"/>
      <c r="AF269" s="2"/>
      <c r="AJ269" s="2"/>
      <c r="AK269" s="2"/>
      <c r="AL269" s="2"/>
    </row>
    <row r="270" spans="1:38" x14ac:dyDescent="0.3">
      <c r="A270">
        <f t="shared" si="51"/>
        <v>500</v>
      </c>
      <c r="B270" s="2">
        <f t="shared" si="53"/>
        <v>31.264799999917159</v>
      </c>
      <c r="C270" s="2">
        <f t="shared" si="56"/>
        <v>-0.54256000000000171</v>
      </c>
      <c r="D270" s="2">
        <f t="shared" si="54"/>
        <v>4.785278400000152</v>
      </c>
      <c r="E270" s="2"/>
      <c r="F270">
        <v>2910.3888084</v>
      </c>
      <c r="G270">
        <v>179.4</v>
      </c>
      <c r="H270">
        <v>31.2</v>
      </c>
      <c r="I270">
        <v>177.43199999999999</v>
      </c>
      <c r="J270">
        <v>28.055999999999901</v>
      </c>
      <c r="K270">
        <v>180.720411428571</v>
      </c>
      <c r="L270">
        <v>26.884862857142799</v>
      </c>
      <c r="M270">
        <v>29.4976140720022</v>
      </c>
      <c r="N270">
        <v>0.05</v>
      </c>
      <c r="O270">
        <v>0</v>
      </c>
      <c r="P270">
        <v>0</v>
      </c>
      <c r="Q270">
        <v>0</v>
      </c>
      <c r="R270">
        <v>-6.80009603500366E-3</v>
      </c>
      <c r="S270">
        <v>0.13491432189941399</v>
      </c>
      <c r="T270">
        <v>0</v>
      </c>
      <c r="U270">
        <v>167.08099999999999</v>
      </c>
      <c r="V270">
        <v>-0.41699999999999998</v>
      </c>
      <c r="W270">
        <v>4.2000000000000003E-2</v>
      </c>
      <c r="X270">
        <v>0.77500000000000002</v>
      </c>
      <c r="Y270" t="b">
        <v>1</v>
      </c>
      <c r="Z270">
        <v>79</v>
      </c>
      <c r="AA270">
        <f t="shared" si="52"/>
        <v>-0.68000960350036599</v>
      </c>
      <c r="AB270">
        <f t="shared" si="50"/>
        <v>38.104886846311551</v>
      </c>
      <c r="AC270">
        <f t="shared" si="55"/>
        <v>-17.353701287116479</v>
      </c>
      <c r="AE270" s="2"/>
      <c r="AF270" s="2"/>
      <c r="AJ270" s="2"/>
      <c r="AK270" s="2"/>
      <c r="AL270" s="2"/>
    </row>
    <row r="271" spans="1:38" x14ac:dyDescent="0.3">
      <c r="A271">
        <f t="shared" si="51"/>
        <v>500</v>
      </c>
      <c r="B271" s="2">
        <f t="shared" si="53"/>
        <v>31.596599999829778</v>
      </c>
      <c r="C271" s="2">
        <f t="shared" si="56"/>
        <v>-0.24507999999999797</v>
      </c>
      <c r="D271" s="2">
        <f t="shared" si="54"/>
        <v>4.8168749999999818</v>
      </c>
      <c r="E271" s="2"/>
      <c r="F271">
        <v>2910.4204049999998</v>
      </c>
      <c r="G271">
        <v>179.4</v>
      </c>
      <c r="H271">
        <v>31.2</v>
      </c>
      <c r="I271">
        <v>177.55500000000001</v>
      </c>
      <c r="J271">
        <v>28.448999999999899</v>
      </c>
      <c r="K271">
        <v>180.459051428571</v>
      </c>
      <c r="L271">
        <v>26.639782857142801</v>
      </c>
      <c r="M271">
        <v>29.667960777580699</v>
      </c>
      <c r="N271">
        <v>0.05</v>
      </c>
      <c r="O271">
        <v>0</v>
      </c>
      <c r="P271">
        <v>0</v>
      </c>
      <c r="Q271">
        <v>0</v>
      </c>
      <c r="R271">
        <v>-5.2152433395385696E-3</v>
      </c>
      <c r="S271">
        <v>0.11447513580322199</v>
      </c>
      <c r="T271">
        <v>0</v>
      </c>
      <c r="U271">
        <v>166.86199999999999</v>
      </c>
      <c r="V271">
        <v>-0.68700000000000006</v>
      </c>
      <c r="W271">
        <v>-0.25900000000000001</v>
      </c>
      <c r="X271">
        <v>0.77400000000000002</v>
      </c>
      <c r="Y271" t="b">
        <v>1</v>
      </c>
      <c r="Z271">
        <v>79</v>
      </c>
      <c r="AA271">
        <f t="shared" si="52"/>
        <v>-0.521524333953857</v>
      </c>
      <c r="AB271">
        <f t="shared" si="50"/>
        <v>38.083400854873709</v>
      </c>
      <c r="AC271">
        <f t="shared" si="55"/>
        <v>-7.7565307660102132</v>
      </c>
      <c r="AE271" s="2"/>
      <c r="AF271" s="2"/>
      <c r="AJ271" s="2"/>
      <c r="AK271" s="2"/>
      <c r="AL271" s="2"/>
    </row>
    <row r="272" spans="1:38" x14ac:dyDescent="0.3">
      <c r="A272">
        <f t="shared" si="51"/>
        <v>500</v>
      </c>
      <c r="B272" s="2">
        <f t="shared" si="53"/>
        <v>31.192299999929674</v>
      </c>
      <c r="C272" s="2">
        <f t="shared" si="56"/>
        <v>0.20375999999999905</v>
      </c>
      <c r="D272" s="2">
        <f t="shared" si="54"/>
        <v>4.8480672999999115</v>
      </c>
      <c r="E272" s="2"/>
      <c r="F272">
        <v>2910.4515972999998</v>
      </c>
      <c r="G272">
        <v>179.4</v>
      </c>
      <c r="H272">
        <v>31.2</v>
      </c>
      <c r="I272">
        <v>177.80099999999999</v>
      </c>
      <c r="J272">
        <v>28.58</v>
      </c>
      <c r="K272">
        <v>180.22505142857099</v>
      </c>
      <c r="L272">
        <v>26.843542857142801</v>
      </c>
      <c r="M272">
        <v>30.308275301503599</v>
      </c>
      <c r="N272">
        <v>0.05</v>
      </c>
      <c r="O272">
        <v>0</v>
      </c>
      <c r="P272">
        <v>0</v>
      </c>
      <c r="Q272">
        <v>0</v>
      </c>
      <c r="R272">
        <v>-5.2152433395385696E-3</v>
      </c>
      <c r="S272">
        <v>0.11447513580322199</v>
      </c>
      <c r="T272">
        <v>0</v>
      </c>
      <c r="U272">
        <v>166.86199999999999</v>
      </c>
      <c r="V272">
        <v>-0.68700000000000006</v>
      </c>
      <c r="W272">
        <v>-0.25900000000000001</v>
      </c>
      <c r="X272">
        <v>0.77400000000000002</v>
      </c>
      <c r="Y272" t="b">
        <v>1</v>
      </c>
      <c r="Z272">
        <v>79</v>
      </c>
      <c r="AA272">
        <f t="shared" si="52"/>
        <v>-0.521524333953857</v>
      </c>
      <c r="AB272">
        <f t="shared" si="50"/>
        <v>38.067133311391757</v>
      </c>
      <c r="AC272">
        <f t="shared" si="55"/>
        <v>6.5323813890113414</v>
      </c>
      <c r="AE272" s="2"/>
      <c r="AF272" s="2"/>
      <c r="AJ272" s="2"/>
      <c r="AK272" s="2"/>
      <c r="AL272" s="2"/>
    </row>
    <row r="273" spans="1:38" x14ac:dyDescent="0.3">
      <c r="A273">
        <f t="shared" si="51"/>
        <v>500</v>
      </c>
      <c r="B273" s="2">
        <f t="shared" si="53"/>
        <v>46.713900000213471</v>
      </c>
      <c r="C273" s="2">
        <f t="shared" si="56"/>
        <v>0.17231999999999914</v>
      </c>
      <c r="D273" s="2">
        <f t="shared" si="54"/>
        <v>4.894781200000125</v>
      </c>
      <c r="E273" s="2"/>
      <c r="F273">
        <v>2910.4983112</v>
      </c>
      <c r="G273">
        <v>179.4</v>
      </c>
      <c r="H273">
        <v>31.2</v>
      </c>
      <c r="I273">
        <v>178.29300000000001</v>
      </c>
      <c r="J273">
        <v>28.448999999999899</v>
      </c>
      <c r="K273">
        <v>180.015651428571</v>
      </c>
      <c r="L273">
        <v>27.0158628571428</v>
      </c>
      <c r="M273">
        <v>31.182096134028399</v>
      </c>
      <c r="N273">
        <v>0.05</v>
      </c>
      <c r="O273">
        <v>0</v>
      </c>
      <c r="P273">
        <v>0</v>
      </c>
      <c r="Q273">
        <v>0</v>
      </c>
      <c r="R273">
        <v>1.6949110031127899E-2</v>
      </c>
      <c r="S273">
        <v>0.12648433685302701</v>
      </c>
      <c r="T273">
        <v>0</v>
      </c>
      <c r="U273">
        <v>166.64599999999999</v>
      </c>
      <c r="V273">
        <v>-1.0129999999999999</v>
      </c>
      <c r="W273">
        <v>-0.34699999999999998</v>
      </c>
      <c r="X273">
        <v>0.77400000000000002</v>
      </c>
      <c r="Y273" t="b">
        <v>1</v>
      </c>
      <c r="Z273">
        <v>79</v>
      </c>
      <c r="AA273">
        <f t="shared" si="52"/>
        <v>1.6949110031127899</v>
      </c>
      <c r="AB273">
        <f t="shared" si="50"/>
        <v>38.042770875807761</v>
      </c>
      <c r="AC273">
        <f t="shared" si="55"/>
        <v>3.6888377977264089</v>
      </c>
      <c r="AE273" s="2"/>
      <c r="AF273" s="2"/>
      <c r="AJ273" s="2"/>
      <c r="AK273" s="2"/>
      <c r="AL273" s="2"/>
    </row>
    <row r="274" spans="1:38" x14ac:dyDescent="0.3">
      <c r="A274">
        <f t="shared" si="51"/>
        <v>500</v>
      </c>
      <c r="B274" s="2">
        <f t="shared" si="53"/>
        <v>29.869299999973009</v>
      </c>
      <c r="C274" s="2">
        <f t="shared" si="56"/>
        <v>0.14087999999999923</v>
      </c>
      <c r="D274" s="2">
        <f t="shared" si="54"/>
        <v>4.924650500000098</v>
      </c>
      <c r="E274" s="2"/>
      <c r="F274">
        <v>2910.5281805</v>
      </c>
      <c r="G274">
        <v>179.4</v>
      </c>
      <c r="H274">
        <v>31.2</v>
      </c>
      <c r="I274">
        <v>178.90799999999999</v>
      </c>
      <c r="J274">
        <v>28.186999999999902</v>
      </c>
      <c r="K274">
        <v>179.83577142857101</v>
      </c>
      <c r="L274">
        <v>27.156742857142799</v>
      </c>
      <c r="M274">
        <v>31.8006552025014</v>
      </c>
      <c r="N274">
        <v>0.05</v>
      </c>
      <c r="O274">
        <v>0</v>
      </c>
      <c r="P274">
        <v>0</v>
      </c>
      <c r="Q274">
        <v>0</v>
      </c>
      <c r="R274">
        <v>1.6949110031127899E-2</v>
      </c>
      <c r="S274">
        <v>0.12648433685302701</v>
      </c>
      <c r="T274">
        <v>0</v>
      </c>
      <c r="U274">
        <v>166.64599999999999</v>
      </c>
      <c r="V274">
        <v>-1.0129999999999999</v>
      </c>
      <c r="W274">
        <v>-0.34699999999999998</v>
      </c>
      <c r="X274">
        <v>0.77400000000000002</v>
      </c>
      <c r="Y274" t="b">
        <v>1</v>
      </c>
      <c r="Z274">
        <v>79</v>
      </c>
      <c r="AA274">
        <f t="shared" si="52"/>
        <v>1.6949110031127899</v>
      </c>
      <c r="AB274">
        <f t="shared" si="50"/>
        <v>38.093396681032992</v>
      </c>
      <c r="AC274">
        <f t="shared" si="55"/>
        <v>4.7165484293279896</v>
      </c>
      <c r="AE274" s="2"/>
      <c r="AF274" s="2"/>
      <c r="AJ274" s="2"/>
      <c r="AK274" s="2"/>
      <c r="AL274" s="2"/>
    </row>
    <row r="275" spans="1:38" x14ac:dyDescent="0.3">
      <c r="A275">
        <f t="shared" si="51"/>
        <v>500</v>
      </c>
      <c r="B275" s="2">
        <f t="shared" si="53"/>
        <v>31.206099999963044</v>
      </c>
      <c r="C275" s="2">
        <f t="shared" si="56"/>
        <v>0.11467999999999989</v>
      </c>
      <c r="D275" s="2">
        <f t="shared" si="54"/>
        <v>4.955856600000061</v>
      </c>
      <c r="E275" s="2"/>
      <c r="F275">
        <v>2910.5593865999999</v>
      </c>
      <c r="G275">
        <v>179.4</v>
      </c>
      <c r="H275">
        <v>31.2</v>
      </c>
      <c r="I275">
        <v>179.4</v>
      </c>
      <c r="J275">
        <v>28.055999999999901</v>
      </c>
      <c r="K275">
        <v>179.675571428571</v>
      </c>
      <c r="L275">
        <v>27.271422857142799</v>
      </c>
      <c r="M275">
        <v>32.437972065239897</v>
      </c>
      <c r="N275">
        <v>0.05</v>
      </c>
      <c r="O275">
        <v>0</v>
      </c>
      <c r="P275">
        <v>0</v>
      </c>
      <c r="Q275">
        <v>0</v>
      </c>
      <c r="R275">
        <v>-1.6595359802245999E-2</v>
      </c>
      <c r="S275">
        <v>0.17755503845214801</v>
      </c>
      <c r="T275">
        <v>0</v>
      </c>
      <c r="U275">
        <v>166.78399999999999</v>
      </c>
      <c r="V275">
        <v>-0.96599999999999997</v>
      </c>
      <c r="W275">
        <v>-0.36199999999999999</v>
      </c>
      <c r="X275">
        <v>0.77400000000000002</v>
      </c>
      <c r="Y275" t="b">
        <v>1</v>
      </c>
      <c r="Z275">
        <v>79</v>
      </c>
      <c r="AA275">
        <f t="shared" si="52"/>
        <v>-1.6595359802245999</v>
      </c>
      <c r="AB275">
        <f t="shared" si="50"/>
        <v>38.146288243287167</v>
      </c>
      <c r="AC275">
        <f t="shared" si="55"/>
        <v>3.6749225311761387</v>
      </c>
      <c r="AE275" s="2"/>
      <c r="AF275" s="2"/>
      <c r="AJ275" s="2"/>
      <c r="AK275" s="2"/>
      <c r="AL275" s="2"/>
    </row>
    <row r="276" spans="1:38" x14ac:dyDescent="0.3">
      <c r="A276">
        <f t="shared" si="51"/>
        <v>500</v>
      </c>
      <c r="B276" s="2">
        <f t="shared" si="53"/>
        <v>30.995800000255258</v>
      </c>
      <c r="C276" s="2">
        <f t="shared" si="56"/>
        <v>9.3720000000001136E-2</v>
      </c>
      <c r="D276" s="2">
        <f t="shared" si="54"/>
        <v>4.9868524000003163</v>
      </c>
      <c r="E276" s="2"/>
      <c r="F276">
        <v>2910.5903824000002</v>
      </c>
      <c r="G276">
        <v>179.4</v>
      </c>
      <c r="H276">
        <v>31.2</v>
      </c>
      <c r="I276">
        <v>179.64599999999999</v>
      </c>
      <c r="J276">
        <v>28.055999999999901</v>
      </c>
      <c r="K276">
        <v>179.520291428571</v>
      </c>
      <c r="L276">
        <v>27.3651428571428</v>
      </c>
      <c r="M276">
        <v>33.074075942161002</v>
      </c>
      <c r="N276">
        <v>0.05</v>
      </c>
      <c r="O276">
        <v>0</v>
      </c>
      <c r="P276">
        <v>0</v>
      </c>
      <c r="Q276">
        <v>0</v>
      </c>
      <c r="R276">
        <v>-1.6595359802245999E-2</v>
      </c>
      <c r="S276">
        <v>0.17755503845214801</v>
      </c>
      <c r="T276">
        <v>0</v>
      </c>
      <c r="U276">
        <v>166.78399999999999</v>
      </c>
      <c r="V276">
        <v>-0.96599999999999997</v>
      </c>
      <c r="W276">
        <v>-0.36199999999999999</v>
      </c>
      <c r="X276">
        <v>0.77400000000000002</v>
      </c>
      <c r="Y276" t="b">
        <v>1</v>
      </c>
      <c r="Z276">
        <v>79</v>
      </c>
      <c r="AA276">
        <f t="shared" si="52"/>
        <v>-1.6595359802245999</v>
      </c>
      <c r="AB276">
        <f t="shared" si="50"/>
        <v>38.094849597950898</v>
      </c>
      <c r="AC276">
        <f t="shared" si="55"/>
        <v>3.0236354602633044</v>
      </c>
      <c r="AE276" s="2"/>
      <c r="AF276" s="2"/>
      <c r="AJ276" s="2"/>
      <c r="AK276" s="2"/>
      <c r="AL276" s="2"/>
    </row>
    <row r="277" spans="1:38" x14ac:dyDescent="0.3">
      <c r="A277">
        <f t="shared" si="51"/>
        <v>500</v>
      </c>
      <c r="B277" s="2">
        <f t="shared" si="53"/>
        <v>31.780399999661313</v>
      </c>
      <c r="C277" s="2">
        <f t="shared" si="56"/>
        <v>7.2759999999998826E-2</v>
      </c>
      <c r="D277" s="2">
        <f t="shared" si="54"/>
        <v>5.0186327999999776</v>
      </c>
      <c r="E277" s="2"/>
      <c r="F277">
        <v>2910.6221627999998</v>
      </c>
      <c r="G277">
        <v>179.4</v>
      </c>
      <c r="H277">
        <v>31.2</v>
      </c>
      <c r="I277">
        <v>180.01499999999999</v>
      </c>
      <c r="J277">
        <v>27.924999999999901</v>
      </c>
      <c r="K277">
        <v>179.37977142857099</v>
      </c>
      <c r="L277">
        <v>27.437902857142799</v>
      </c>
      <c r="M277">
        <v>33.726426763985501</v>
      </c>
      <c r="N277">
        <v>0.05</v>
      </c>
      <c r="O277">
        <v>0</v>
      </c>
      <c r="P277">
        <v>0</v>
      </c>
      <c r="Q277">
        <v>0</v>
      </c>
      <c r="R277">
        <v>-2.0766237258911101E-2</v>
      </c>
      <c r="S277">
        <v>0.18765542602539001</v>
      </c>
      <c r="T277">
        <v>0</v>
      </c>
      <c r="U277">
        <v>166.69800000000001</v>
      </c>
      <c r="V277">
        <v>-1.234</v>
      </c>
      <c r="W277">
        <v>-0.65200000000000002</v>
      </c>
      <c r="X277">
        <v>0.77100000000000002</v>
      </c>
      <c r="Y277" t="b">
        <v>1</v>
      </c>
      <c r="Z277">
        <v>79</v>
      </c>
      <c r="AA277">
        <f t="shared" si="52"/>
        <v>-2.07662372589111</v>
      </c>
      <c r="AB277">
        <f t="shared" si="50"/>
        <v>38.042108880685532</v>
      </c>
      <c r="AC277">
        <f t="shared" si="55"/>
        <v>2.2894614290812649</v>
      </c>
      <c r="AE277" s="2"/>
      <c r="AF277" s="2"/>
      <c r="AJ277" s="2"/>
      <c r="AK277" s="2"/>
      <c r="AL277" s="2"/>
    </row>
    <row r="278" spans="1:38" x14ac:dyDescent="0.3">
      <c r="A278">
        <f t="shared" si="51"/>
        <v>500</v>
      </c>
      <c r="B278" s="2">
        <f t="shared" ref="B278:B341" si="57">(F278-F277)*1000</f>
        <v>31.495600000198465</v>
      </c>
      <c r="C278" s="2">
        <f t="shared" si="56"/>
        <v>6.2280000000001223E-2</v>
      </c>
      <c r="D278" s="2">
        <f t="shared" si="54"/>
        <v>5.050128400000176</v>
      </c>
      <c r="E278" s="2"/>
      <c r="F278">
        <v>2910.6536584</v>
      </c>
      <c r="G278">
        <v>179.4</v>
      </c>
      <c r="H278">
        <v>31.2</v>
      </c>
      <c r="I278">
        <v>180.38399999999999</v>
      </c>
      <c r="J278">
        <v>27.924999999999901</v>
      </c>
      <c r="K278">
        <v>179.254011428571</v>
      </c>
      <c r="L278">
        <v>27.5001828571428</v>
      </c>
      <c r="M278">
        <v>34.385968930418599</v>
      </c>
      <c r="N278">
        <v>0.05</v>
      </c>
      <c r="O278">
        <v>0</v>
      </c>
      <c r="P278">
        <v>0</v>
      </c>
      <c r="Q278">
        <v>0</v>
      </c>
      <c r="R278">
        <v>-2.0766237258911101E-2</v>
      </c>
      <c r="S278">
        <v>0.18765542602539001</v>
      </c>
      <c r="T278">
        <v>0</v>
      </c>
      <c r="U278">
        <v>166.69800000000001</v>
      </c>
      <c r="V278">
        <v>-1.234</v>
      </c>
      <c r="W278">
        <v>-0.65200000000000002</v>
      </c>
      <c r="X278">
        <v>0.77100000000000002</v>
      </c>
      <c r="Y278" t="b">
        <v>1</v>
      </c>
      <c r="Z278">
        <v>79</v>
      </c>
      <c r="AA278">
        <f t="shared" si="52"/>
        <v>-2.07662372589111</v>
      </c>
      <c r="AB278">
        <f t="shared" si="50"/>
        <v>37.976704370463942</v>
      </c>
      <c r="AC278">
        <f t="shared" si="55"/>
        <v>1.9774190680478789</v>
      </c>
      <c r="AE278" s="2"/>
      <c r="AF278" s="2"/>
      <c r="AJ278" s="2"/>
      <c r="AK278" s="2"/>
      <c r="AL278" s="2"/>
    </row>
    <row r="279" spans="1:38" x14ac:dyDescent="0.3">
      <c r="A279">
        <f t="shared" si="51"/>
        <v>500</v>
      </c>
      <c r="B279" s="2">
        <f t="shared" si="57"/>
        <v>45.998199999758071</v>
      </c>
      <c r="C279" s="2">
        <f t="shared" si="56"/>
        <v>6.2280000000001223E-2</v>
      </c>
      <c r="D279" s="2">
        <f t="shared" si="54"/>
        <v>5.0961265999999341</v>
      </c>
      <c r="E279" s="2"/>
      <c r="F279">
        <v>2910.6996565999998</v>
      </c>
      <c r="G279">
        <v>179.4</v>
      </c>
      <c r="H279">
        <v>31.2</v>
      </c>
      <c r="I279">
        <v>180.876</v>
      </c>
      <c r="J279">
        <v>28.055999999999901</v>
      </c>
      <c r="K279">
        <v>179.15777142857101</v>
      </c>
      <c r="L279">
        <v>27.562462857142801</v>
      </c>
      <c r="M279">
        <v>35.3602433607238</v>
      </c>
      <c r="N279">
        <v>0.05</v>
      </c>
      <c r="O279">
        <v>0</v>
      </c>
      <c r="P279">
        <v>0</v>
      </c>
      <c r="Q279">
        <v>0</v>
      </c>
      <c r="R279">
        <v>1.89931602478027E-2</v>
      </c>
      <c r="S279">
        <v>0.12925611877441401</v>
      </c>
      <c r="T279">
        <v>0</v>
      </c>
      <c r="U279">
        <v>166.435</v>
      </c>
      <c r="V279">
        <v>-1.62</v>
      </c>
      <c r="W279">
        <v>-0.95899999999999996</v>
      </c>
      <c r="X279">
        <v>0.77</v>
      </c>
      <c r="Y279" t="b">
        <v>1</v>
      </c>
      <c r="Z279">
        <v>79</v>
      </c>
      <c r="AA279">
        <f t="shared" si="52"/>
        <v>1.8993160247802701</v>
      </c>
      <c r="AB279">
        <f t="shared" si="50"/>
        <v>37.881183416996159</v>
      </c>
      <c r="AC279">
        <f t="shared" si="55"/>
        <v>1.3539660247646383</v>
      </c>
      <c r="AE279" s="2"/>
      <c r="AF279" s="2"/>
      <c r="AJ279" s="2"/>
      <c r="AK279" s="2"/>
      <c r="AL279" s="2"/>
    </row>
    <row r="280" spans="1:38" x14ac:dyDescent="0.3">
      <c r="A280">
        <f t="shared" si="51"/>
        <v>500</v>
      </c>
      <c r="B280" s="2">
        <f t="shared" si="57"/>
        <v>31.545300000288989</v>
      </c>
      <c r="C280" s="2">
        <f t="shared" si="56"/>
        <v>0.1771599999999971</v>
      </c>
      <c r="D280" s="2">
        <f t="shared" si="54"/>
        <v>5.1276719000002231</v>
      </c>
      <c r="E280" s="2"/>
      <c r="F280">
        <v>2910.7312019000001</v>
      </c>
      <c r="G280">
        <v>185.25</v>
      </c>
      <c r="H280">
        <v>32.5</v>
      </c>
      <c r="I280">
        <v>181.68299999999999</v>
      </c>
      <c r="J280">
        <v>31.321000000000002</v>
      </c>
      <c r="K280">
        <v>179.12333142857099</v>
      </c>
      <c r="L280">
        <v>27.739622857142798</v>
      </c>
      <c r="M280">
        <v>36.1893097245296</v>
      </c>
      <c r="N280">
        <v>0.05</v>
      </c>
      <c r="O280">
        <v>0</v>
      </c>
      <c r="P280">
        <v>0</v>
      </c>
      <c r="Q280">
        <v>0</v>
      </c>
      <c r="R280">
        <v>1.89931602478027E-2</v>
      </c>
      <c r="S280">
        <v>0.12925611877441401</v>
      </c>
      <c r="T280">
        <v>0</v>
      </c>
      <c r="U280">
        <v>166.435</v>
      </c>
      <c r="V280">
        <v>-1.62</v>
      </c>
      <c r="W280">
        <v>-0.95899999999999996</v>
      </c>
      <c r="X280">
        <v>0.77</v>
      </c>
      <c r="Y280" t="b">
        <v>1</v>
      </c>
      <c r="Z280">
        <v>79</v>
      </c>
      <c r="AA280">
        <f t="shared" si="52"/>
        <v>1.8993160247802701</v>
      </c>
      <c r="AB280">
        <f t="shared" si="50"/>
        <v>37.941097910793211</v>
      </c>
      <c r="AC280">
        <f t="shared" si="55"/>
        <v>5.616050568495913</v>
      </c>
      <c r="AE280" s="2"/>
      <c r="AF280" s="2"/>
      <c r="AJ280" s="2"/>
      <c r="AK280" s="2"/>
      <c r="AL280" s="2"/>
    </row>
    <row r="281" spans="1:38" x14ac:dyDescent="0.3">
      <c r="A281">
        <f t="shared" si="51"/>
        <v>500</v>
      </c>
      <c r="B281" s="2">
        <f t="shared" si="57"/>
        <v>15.319199999794364</v>
      </c>
      <c r="C281" s="2">
        <f t="shared" si="56"/>
        <v>0.17716000000000065</v>
      </c>
      <c r="D281" s="2">
        <f t="shared" si="54"/>
        <v>5.1429911000000175</v>
      </c>
      <c r="E281" s="2"/>
      <c r="F281">
        <v>2910.7465210999999</v>
      </c>
      <c r="G281">
        <v>185.25</v>
      </c>
      <c r="H281">
        <v>32.5</v>
      </c>
      <c r="I281">
        <v>182.42099999999999</v>
      </c>
      <c r="J281">
        <v>31.451999999999899</v>
      </c>
      <c r="K281">
        <v>179.12825142857099</v>
      </c>
      <c r="L281">
        <v>27.916782857142799</v>
      </c>
      <c r="M281">
        <v>36.690627663016997</v>
      </c>
      <c r="N281">
        <v>0.05</v>
      </c>
      <c r="O281">
        <v>0</v>
      </c>
      <c r="P281">
        <v>0</v>
      </c>
      <c r="Q281">
        <v>0</v>
      </c>
      <c r="R281">
        <v>3.1646718978881799E-2</v>
      </c>
      <c r="S281">
        <v>9.2542549133300706E-2</v>
      </c>
      <c r="T281">
        <v>0</v>
      </c>
      <c r="U281">
        <v>166.21299999999999</v>
      </c>
      <c r="V281">
        <v>-1.6439999999999999</v>
      </c>
      <c r="W281">
        <v>-0.755</v>
      </c>
      <c r="X281">
        <v>0.77</v>
      </c>
      <c r="Y281" t="b">
        <v>1</v>
      </c>
      <c r="Z281">
        <v>79</v>
      </c>
      <c r="AA281">
        <f t="shared" si="52"/>
        <v>3.16467189788818</v>
      </c>
      <c r="AB281">
        <f t="shared" si="50"/>
        <v>37.970193912839633</v>
      </c>
      <c r="AC281">
        <f t="shared" si="55"/>
        <v>11.564572562691181</v>
      </c>
      <c r="AE281" s="2"/>
      <c r="AF281" s="2"/>
      <c r="AJ281" s="2"/>
      <c r="AK281" s="2"/>
      <c r="AL281" s="2"/>
    </row>
    <row r="282" spans="1:38" x14ac:dyDescent="0.3">
      <c r="A282">
        <f t="shared" si="51"/>
        <v>500</v>
      </c>
      <c r="B282" s="2">
        <f t="shared" si="57"/>
        <v>45.740900000055262</v>
      </c>
      <c r="C282" s="2">
        <f t="shared" si="56"/>
        <v>7.4285714285700521E-2</v>
      </c>
      <c r="D282" s="2">
        <f t="shared" si="54"/>
        <v>5.1887320000000727</v>
      </c>
      <c r="E282" s="2"/>
      <c r="F282">
        <v>2910.7922619999999</v>
      </c>
      <c r="G282">
        <v>185.25</v>
      </c>
      <c r="H282">
        <v>32.5</v>
      </c>
      <c r="I282">
        <v>182.91300000000001</v>
      </c>
      <c r="J282">
        <v>31.582999999999998</v>
      </c>
      <c r="K282">
        <v>179.192074285714</v>
      </c>
      <c r="L282">
        <v>27.991068571428499</v>
      </c>
      <c r="M282">
        <v>37.761549015775202</v>
      </c>
      <c r="N282">
        <v>0.05</v>
      </c>
      <c r="O282">
        <v>0</v>
      </c>
      <c r="P282">
        <v>0</v>
      </c>
      <c r="Q282">
        <v>0</v>
      </c>
      <c r="R282">
        <v>3.1646718978881799E-2</v>
      </c>
      <c r="S282">
        <v>9.2542549133300706E-2</v>
      </c>
      <c r="T282">
        <v>0</v>
      </c>
      <c r="U282">
        <v>166.21299999999999</v>
      </c>
      <c r="V282">
        <v>-1.6439999999999999</v>
      </c>
      <c r="W282">
        <v>-0.755</v>
      </c>
      <c r="X282">
        <v>0.77</v>
      </c>
      <c r="Y282" t="b">
        <v>1</v>
      </c>
      <c r="Z282">
        <v>79</v>
      </c>
      <c r="AA282">
        <f t="shared" si="52"/>
        <v>3.16467189788818</v>
      </c>
      <c r="AB282">
        <f t="shared" si="50"/>
        <v>38.114948853653921</v>
      </c>
      <c r="AC282">
        <f t="shared" si="55"/>
        <v>1.624054495770979</v>
      </c>
      <c r="AH282" s="2"/>
      <c r="AI282" s="2"/>
    </row>
    <row r="283" spans="1:38" x14ac:dyDescent="0.3">
      <c r="A283">
        <f t="shared" si="51"/>
        <v>500</v>
      </c>
      <c r="B283" s="2">
        <f t="shared" si="57"/>
        <v>15.611700000135897</v>
      </c>
      <c r="C283" s="2">
        <f t="shared" si="56"/>
        <v>9.0005714285702254E-2</v>
      </c>
      <c r="D283" s="2">
        <f t="shared" si="54"/>
        <v>5.2043437000002086</v>
      </c>
      <c r="E283" s="2"/>
      <c r="F283">
        <v>2910.8078737000001</v>
      </c>
      <c r="G283">
        <v>185.25</v>
      </c>
      <c r="H283">
        <v>32.5</v>
      </c>
      <c r="I283">
        <v>183.65100000000001</v>
      </c>
      <c r="J283">
        <v>31.713999999999999</v>
      </c>
      <c r="K283">
        <v>179.300177142857</v>
      </c>
      <c r="L283">
        <v>28.081074285714202</v>
      </c>
      <c r="M283">
        <v>38.201371153788003</v>
      </c>
      <c r="N283">
        <v>0.05</v>
      </c>
      <c r="O283">
        <v>0</v>
      </c>
      <c r="P283">
        <v>0</v>
      </c>
      <c r="Q283">
        <v>0</v>
      </c>
      <c r="R283">
        <v>3.1911050796508703E-2</v>
      </c>
      <c r="S283">
        <v>0.154049026489257</v>
      </c>
      <c r="T283">
        <v>0</v>
      </c>
      <c r="U283">
        <v>166.44399999999999</v>
      </c>
      <c r="V283">
        <v>-1.5249999999999999</v>
      </c>
      <c r="W283">
        <v>-0.214</v>
      </c>
      <c r="X283">
        <v>0.76900000000000002</v>
      </c>
      <c r="Y283" t="b">
        <v>1</v>
      </c>
      <c r="Z283">
        <v>79</v>
      </c>
      <c r="AA283">
        <f t="shared" si="52"/>
        <v>3.1911050796508702</v>
      </c>
      <c r="AB283">
        <f t="shared" si="50"/>
        <v>38.16435476192261</v>
      </c>
      <c r="AC283">
        <f t="shared" si="55"/>
        <v>5.765273114710042</v>
      </c>
      <c r="AH283" s="2"/>
      <c r="AI283" s="2"/>
    </row>
    <row r="284" spans="1:38" x14ac:dyDescent="0.3">
      <c r="A284">
        <f t="shared" si="51"/>
        <v>500</v>
      </c>
      <c r="B284" s="2">
        <f t="shared" si="57"/>
        <v>30.848200000036741</v>
      </c>
      <c r="C284" s="2">
        <f t="shared" si="56"/>
        <v>-2.096000000000231E-2</v>
      </c>
      <c r="D284" s="2">
        <f t="shared" si="54"/>
        <v>5.2351919000002454</v>
      </c>
      <c r="E284" s="2"/>
      <c r="F284">
        <v>2910.8387219000001</v>
      </c>
      <c r="G284">
        <v>189.42857142857099</v>
      </c>
      <c r="H284">
        <v>30.6428571428571</v>
      </c>
      <c r="I284">
        <v>184.139571428571</v>
      </c>
      <c r="J284">
        <v>28.415857142857099</v>
      </c>
      <c r="K284">
        <v>179.44750285714201</v>
      </c>
      <c r="L284">
        <v>28.060114285714199</v>
      </c>
      <c r="M284">
        <v>38.885733232020797</v>
      </c>
      <c r="N284">
        <v>0.05</v>
      </c>
      <c r="O284">
        <v>0</v>
      </c>
      <c r="P284">
        <v>0</v>
      </c>
      <c r="Q284">
        <v>0</v>
      </c>
      <c r="R284">
        <v>3.1911050796508703E-2</v>
      </c>
      <c r="S284">
        <v>0.154049026489257</v>
      </c>
      <c r="T284">
        <v>0</v>
      </c>
      <c r="U284">
        <v>166.44399999999999</v>
      </c>
      <c r="V284">
        <v>-1.5249999999999999</v>
      </c>
      <c r="W284">
        <v>-0.214</v>
      </c>
      <c r="X284">
        <v>0.76900000000000002</v>
      </c>
      <c r="Y284" t="b">
        <v>1</v>
      </c>
      <c r="Z284">
        <v>79</v>
      </c>
      <c r="AA284">
        <f t="shared" si="52"/>
        <v>3.1911050796508702</v>
      </c>
      <c r="AB284">
        <f t="shared" si="50"/>
        <v>38.262794609640814</v>
      </c>
      <c r="AC284">
        <f t="shared" si="55"/>
        <v>-0.67945617572426742</v>
      </c>
      <c r="AH284" s="2"/>
      <c r="AI284" s="2"/>
    </row>
    <row r="285" spans="1:38" x14ac:dyDescent="0.3">
      <c r="A285">
        <f t="shared" si="51"/>
        <v>500</v>
      </c>
      <c r="B285" s="2">
        <f t="shared" si="57"/>
        <v>31.234699999913573</v>
      </c>
      <c r="C285" s="2">
        <f t="shared" si="56"/>
        <v>1.0480000000001155E-2</v>
      </c>
      <c r="D285" s="2">
        <f t="shared" si="54"/>
        <v>5.2664266000001589</v>
      </c>
      <c r="E285" s="2"/>
      <c r="F285">
        <v>2910.8699566</v>
      </c>
      <c r="G285">
        <v>185.25</v>
      </c>
      <c r="H285">
        <v>29.25</v>
      </c>
      <c r="I285">
        <v>184.512</v>
      </c>
      <c r="J285">
        <v>25.451000000000001</v>
      </c>
      <c r="K285">
        <v>179.640702857142</v>
      </c>
      <c r="L285">
        <v>28.070594285714201</v>
      </c>
      <c r="M285">
        <v>39.629051087388802</v>
      </c>
      <c r="N285">
        <v>0.05</v>
      </c>
      <c r="O285">
        <v>0</v>
      </c>
      <c r="P285">
        <v>0</v>
      </c>
      <c r="Q285">
        <v>0</v>
      </c>
      <c r="R285">
        <v>5.6570465087890598E-2</v>
      </c>
      <c r="S285">
        <v>0.166609451293945</v>
      </c>
      <c r="T285">
        <v>0</v>
      </c>
      <c r="U285">
        <v>166.46799999999999</v>
      </c>
      <c r="V285">
        <v>-1.4370000000000001</v>
      </c>
      <c r="W285">
        <v>-0.22800000000000001</v>
      </c>
      <c r="X285">
        <v>0.76600000000000001</v>
      </c>
      <c r="Y285" t="b">
        <v>1</v>
      </c>
      <c r="Z285">
        <v>79</v>
      </c>
      <c r="AA285">
        <f t="shared" si="52"/>
        <v>5.65704650878906</v>
      </c>
      <c r="AB285">
        <f t="shared" si="50"/>
        <v>38.36246781947191</v>
      </c>
      <c r="AC285">
        <f t="shared" si="55"/>
        <v>0.33552427268487139</v>
      </c>
      <c r="AH285" s="2"/>
      <c r="AI285" s="2"/>
    </row>
    <row r="286" spans="1:38" x14ac:dyDescent="0.3">
      <c r="A286">
        <f t="shared" si="51"/>
        <v>500</v>
      </c>
      <c r="B286" s="2">
        <f t="shared" si="57"/>
        <v>47.367499999836582</v>
      </c>
      <c r="C286" s="2">
        <f t="shared" si="56"/>
        <v>4.1920000000001068E-2</v>
      </c>
      <c r="D286" s="2">
        <f t="shared" si="54"/>
        <v>5.3137940999999955</v>
      </c>
      <c r="E286" s="2"/>
      <c r="F286">
        <v>2910.9173240999999</v>
      </c>
      <c r="G286">
        <v>185.25</v>
      </c>
      <c r="H286">
        <v>29.25</v>
      </c>
      <c r="I286">
        <v>185.12700000000001</v>
      </c>
      <c r="J286">
        <v>25.582000000000001</v>
      </c>
      <c r="K286">
        <v>179.87818285714201</v>
      </c>
      <c r="L286">
        <v>28.112514285714202</v>
      </c>
      <c r="M286">
        <v>40.817146049045299</v>
      </c>
      <c r="N286">
        <v>0.05</v>
      </c>
      <c r="O286">
        <v>0</v>
      </c>
      <c r="P286">
        <v>0</v>
      </c>
      <c r="Q286">
        <v>0</v>
      </c>
      <c r="R286">
        <v>5.6570465087890598E-2</v>
      </c>
      <c r="S286">
        <v>0.166609451293945</v>
      </c>
      <c r="T286">
        <v>0</v>
      </c>
      <c r="U286">
        <v>166.46799999999999</v>
      </c>
      <c r="V286">
        <v>-1.4370000000000001</v>
      </c>
      <c r="W286">
        <v>-0.22800000000000001</v>
      </c>
      <c r="X286">
        <v>0.76600000000000001</v>
      </c>
      <c r="Y286" t="b">
        <v>1</v>
      </c>
      <c r="Z286">
        <v>79</v>
      </c>
      <c r="AA286">
        <f t="shared" si="52"/>
        <v>5.65704650878906</v>
      </c>
      <c r="AB286">
        <f t="shared" si="50"/>
        <v>38.630427969976054</v>
      </c>
      <c r="AC286">
        <f t="shared" si="55"/>
        <v>0.88499498601669269</v>
      </c>
      <c r="AH286" s="2"/>
      <c r="AI286" s="2"/>
    </row>
    <row r="287" spans="1:38" x14ac:dyDescent="0.3">
      <c r="A287">
        <f t="shared" si="51"/>
        <v>500</v>
      </c>
      <c r="B287" s="2">
        <f t="shared" si="57"/>
        <v>31.182000000171683</v>
      </c>
      <c r="C287" s="2">
        <f t="shared" si="56"/>
        <v>6.811999999999685E-2</v>
      </c>
      <c r="D287" s="2">
        <f t="shared" si="54"/>
        <v>5.3449761000001672</v>
      </c>
      <c r="E287" s="2"/>
      <c r="F287">
        <v>2910.9485061</v>
      </c>
      <c r="G287">
        <v>185.25</v>
      </c>
      <c r="H287">
        <v>29.25</v>
      </c>
      <c r="I287">
        <v>185.86500000000001</v>
      </c>
      <c r="J287">
        <v>25.713000000000001</v>
      </c>
      <c r="K287">
        <v>180.164862857142</v>
      </c>
      <c r="L287">
        <v>28.180634285714198</v>
      </c>
      <c r="M287">
        <v>41.662035581682197</v>
      </c>
      <c r="N287">
        <v>0.05</v>
      </c>
      <c r="O287">
        <v>0</v>
      </c>
      <c r="P287">
        <v>0</v>
      </c>
      <c r="Q287">
        <v>0</v>
      </c>
      <c r="R287">
        <v>7.0323181152343706E-2</v>
      </c>
      <c r="S287">
        <v>0.12794592285156201</v>
      </c>
      <c r="T287">
        <v>0</v>
      </c>
      <c r="U287">
        <v>166.21100000000001</v>
      </c>
      <c r="V287">
        <v>-1.341</v>
      </c>
      <c r="W287">
        <v>-0.32300000000000001</v>
      </c>
      <c r="X287">
        <v>0.76400000000000001</v>
      </c>
      <c r="Y287" t="b">
        <v>1</v>
      </c>
      <c r="Z287">
        <v>79</v>
      </c>
      <c r="AA287">
        <f t="shared" si="52"/>
        <v>7.0323181152343706</v>
      </c>
      <c r="AB287">
        <f t="shared" si="50"/>
        <v>38.806825994214087</v>
      </c>
      <c r="AC287">
        <f t="shared" si="55"/>
        <v>2.1845936758264957</v>
      </c>
      <c r="AH287" s="2"/>
      <c r="AI287" s="2"/>
    </row>
    <row r="288" spans="1:38" x14ac:dyDescent="0.3">
      <c r="A288">
        <f t="shared" si="51"/>
        <v>500</v>
      </c>
      <c r="B288" s="2">
        <f t="shared" si="57"/>
        <v>30.733499999769265</v>
      </c>
      <c r="C288" s="2">
        <f t="shared" si="56"/>
        <v>-6.7519999999998248E-2</v>
      </c>
      <c r="D288" s="2">
        <f t="shared" si="54"/>
        <v>5.3757095999999365</v>
      </c>
      <c r="E288" s="2"/>
      <c r="F288">
        <v>2910.9792395999998</v>
      </c>
      <c r="G288">
        <v>185.25</v>
      </c>
      <c r="H288">
        <v>29.25</v>
      </c>
      <c r="I288">
        <v>186.60300000000001</v>
      </c>
      <c r="J288">
        <v>25.844000000000001</v>
      </c>
      <c r="K288">
        <v>180.48742285714201</v>
      </c>
      <c r="L288">
        <v>28.1131142857142</v>
      </c>
      <c r="M288">
        <v>42.376892294174098</v>
      </c>
      <c r="N288">
        <v>0.05</v>
      </c>
      <c r="O288">
        <v>0</v>
      </c>
      <c r="P288">
        <v>0</v>
      </c>
      <c r="Q288">
        <v>0</v>
      </c>
      <c r="R288">
        <v>7.0323181152343706E-2</v>
      </c>
      <c r="S288">
        <v>0.12794592285156201</v>
      </c>
      <c r="T288">
        <v>0</v>
      </c>
      <c r="U288">
        <v>166.21100000000001</v>
      </c>
      <c r="V288">
        <v>-1.341</v>
      </c>
      <c r="W288">
        <v>-0.32300000000000001</v>
      </c>
      <c r="X288">
        <v>0.76400000000000001</v>
      </c>
      <c r="Y288" t="b">
        <v>1</v>
      </c>
      <c r="Z288">
        <v>79</v>
      </c>
      <c r="AA288">
        <f t="shared" si="52"/>
        <v>7.0323181152343706</v>
      </c>
      <c r="AB288">
        <f t="shared" si="50"/>
        <v>39.022953743007022</v>
      </c>
      <c r="AC288">
        <f t="shared" si="55"/>
        <v>-2.1969512096085757</v>
      </c>
      <c r="AH288" s="2"/>
      <c r="AI288" s="2"/>
    </row>
    <row r="289" spans="1:35" x14ac:dyDescent="0.3">
      <c r="A289">
        <f t="shared" si="51"/>
        <v>500</v>
      </c>
      <c r="B289" s="2">
        <f t="shared" si="57"/>
        <v>46.512100000200007</v>
      </c>
      <c r="C289" s="2">
        <f t="shared" si="56"/>
        <v>-4.6559999999999491E-2</v>
      </c>
      <c r="D289" s="2">
        <f t="shared" si="54"/>
        <v>5.4222217000001365</v>
      </c>
      <c r="E289" s="2"/>
      <c r="F289">
        <v>2911.0257517</v>
      </c>
      <c r="G289">
        <v>185.25</v>
      </c>
      <c r="H289">
        <v>29.25</v>
      </c>
      <c r="I289">
        <v>187.464</v>
      </c>
      <c r="J289">
        <v>26.106000000000002</v>
      </c>
      <c r="K289">
        <v>180.869022857142</v>
      </c>
      <c r="L289">
        <v>28.066554285714201</v>
      </c>
      <c r="M289">
        <v>43.545154237225098</v>
      </c>
      <c r="N289">
        <v>0.05</v>
      </c>
      <c r="O289">
        <v>0</v>
      </c>
      <c r="P289">
        <v>0</v>
      </c>
      <c r="Q289">
        <v>0</v>
      </c>
      <c r="R289">
        <v>5.0376068115234297E-2</v>
      </c>
      <c r="S289">
        <v>7.1254844665527298E-2</v>
      </c>
      <c r="T289">
        <v>0</v>
      </c>
      <c r="U289">
        <v>165.75299999999999</v>
      </c>
      <c r="V289">
        <v>-1.1719999999999999</v>
      </c>
      <c r="W289">
        <v>-0.311</v>
      </c>
      <c r="X289">
        <v>0.76</v>
      </c>
      <c r="Y289" t="b">
        <v>1</v>
      </c>
      <c r="Z289">
        <v>79</v>
      </c>
      <c r="AA289">
        <f t="shared" si="52"/>
        <v>5.03760681152343</v>
      </c>
      <c r="AB289">
        <f t="shared" si="50"/>
        <v>39.350041626416022</v>
      </c>
      <c r="AC289">
        <f t="shared" si="55"/>
        <v>-1.001029839542813</v>
      </c>
      <c r="AH289" s="2"/>
      <c r="AI289" s="2"/>
    </row>
    <row r="290" spans="1:35" x14ac:dyDescent="0.3">
      <c r="A290">
        <f t="shared" si="51"/>
        <v>500</v>
      </c>
      <c r="B290" s="2">
        <f t="shared" si="57"/>
        <v>15.90200000009645</v>
      </c>
      <c r="C290" s="2">
        <f t="shared" si="56"/>
        <v>-0.13371428571420196</v>
      </c>
      <c r="D290" s="2">
        <f t="shared" si="54"/>
        <v>5.4381237000002329</v>
      </c>
      <c r="E290" s="2"/>
      <c r="F290">
        <v>2911.0416537000001</v>
      </c>
      <c r="G290">
        <v>189.42857142857099</v>
      </c>
      <c r="H290">
        <v>27.857142857142801</v>
      </c>
      <c r="I290">
        <v>188.32157142857099</v>
      </c>
      <c r="J290">
        <v>23.796142857142801</v>
      </c>
      <c r="K290">
        <v>181.299685714285</v>
      </c>
      <c r="L290">
        <v>27.932839999999999</v>
      </c>
      <c r="M290">
        <v>43.835065121255496</v>
      </c>
      <c r="N290">
        <v>0.05</v>
      </c>
      <c r="O290">
        <v>0</v>
      </c>
      <c r="P290">
        <v>0</v>
      </c>
      <c r="Q290">
        <v>0</v>
      </c>
      <c r="R290">
        <v>5.0376068115234297E-2</v>
      </c>
      <c r="S290">
        <v>7.1254844665527298E-2</v>
      </c>
      <c r="T290">
        <v>0</v>
      </c>
      <c r="U290">
        <v>165.75299999999999</v>
      </c>
      <c r="V290">
        <v>-1.1719999999999999</v>
      </c>
      <c r="W290">
        <v>-0.311</v>
      </c>
      <c r="X290">
        <v>0.76</v>
      </c>
      <c r="Y290" t="b">
        <v>1</v>
      </c>
      <c r="Z290">
        <v>79</v>
      </c>
      <c r="AA290">
        <f t="shared" si="52"/>
        <v>5.03760681152343</v>
      </c>
      <c r="AB290">
        <f t="shared" si="50"/>
        <v>39.430149649933355</v>
      </c>
      <c r="AC290">
        <f t="shared" si="55"/>
        <v>-8.4086458126896577</v>
      </c>
      <c r="AH290" s="2"/>
      <c r="AI290" s="2"/>
    </row>
    <row r="291" spans="1:35" x14ac:dyDescent="0.3">
      <c r="A291">
        <f t="shared" si="51"/>
        <v>500</v>
      </c>
      <c r="B291" s="2">
        <f t="shared" si="57"/>
        <v>30.741099999886501</v>
      </c>
      <c r="C291" s="2">
        <f t="shared" si="56"/>
        <v>-0.12323428571430028</v>
      </c>
      <c r="D291" s="2">
        <f t="shared" si="54"/>
        <v>5.4688648000001194</v>
      </c>
      <c r="E291" s="2"/>
      <c r="F291">
        <v>2911.0723948</v>
      </c>
      <c r="G291">
        <v>189.42857142857099</v>
      </c>
      <c r="H291">
        <v>27.857142857142801</v>
      </c>
      <c r="I291">
        <v>189.18257142857101</v>
      </c>
      <c r="J291">
        <v>24.058142857142801</v>
      </c>
      <c r="K291">
        <v>181.774628571428</v>
      </c>
      <c r="L291">
        <v>27.809605714285698</v>
      </c>
      <c r="M291">
        <v>44.5424459939359</v>
      </c>
      <c r="N291">
        <v>0.05</v>
      </c>
      <c r="O291">
        <v>0</v>
      </c>
      <c r="P291">
        <v>0</v>
      </c>
      <c r="Q291">
        <v>0</v>
      </c>
      <c r="R291">
        <v>5.0376068115234297E-2</v>
      </c>
      <c r="S291">
        <v>7.1254844665527298E-2</v>
      </c>
      <c r="T291">
        <v>0</v>
      </c>
      <c r="U291">
        <v>165.75299999999999</v>
      </c>
      <c r="V291">
        <v>-1.1719999999999999</v>
      </c>
      <c r="W291">
        <v>-0.311</v>
      </c>
      <c r="X291">
        <v>0.76</v>
      </c>
      <c r="Y291" t="b">
        <v>1</v>
      </c>
      <c r="Z291">
        <v>79</v>
      </c>
      <c r="AA291">
        <f t="shared" si="52"/>
        <v>5.03760681152343</v>
      </c>
      <c r="AB291">
        <f t="shared" si="50"/>
        <v>39.585011224686504</v>
      </c>
      <c r="AC291">
        <f t="shared" si="55"/>
        <v>-4.00877931221574</v>
      </c>
      <c r="AH291" s="2"/>
      <c r="AI291" s="2"/>
    </row>
    <row r="292" spans="1:35" x14ac:dyDescent="0.3">
      <c r="A292">
        <f t="shared" si="51"/>
        <v>500</v>
      </c>
      <c r="B292" s="2">
        <f t="shared" si="57"/>
        <v>30.93669999998383</v>
      </c>
      <c r="C292" s="2">
        <f t="shared" si="56"/>
        <v>5.8400000000027319E-3</v>
      </c>
      <c r="D292" s="2">
        <f t="shared" si="54"/>
        <v>5.4998015000001033</v>
      </c>
      <c r="E292" s="2"/>
      <c r="F292">
        <v>2911.1033315</v>
      </c>
      <c r="G292">
        <v>195</v>
      </c>
      <c r="H292">
        <v>29.25</v>
      </c>
      <c r="I292">
        <v>189.95699999999999</v>
      </c>
      <c r="J292">
        <v>27.416</v>
      </c>
      <c r="K292">
        <v>182.280548571428</v>
      </c>
      <c r="L292">
        <v>27.815445714285701</v>
      </c>
      <c r="M292">
        <v>45.399409037020703</v>
      </c>
      <c r="N292">
        <v>0.05</v>
      </c>
      <c r="O292">
        <v>0</v>
      </c>
      <c r="P292">
        <v>0</v>
      </c>
      <c r="Q292">
        <v>0</v>
      </c>
      <c r="R292">
        <v>6.6034416198730406E-2</v>
      </c>
      <c r="S292">
        <v>7.7893470764160103E-2</v>
      </c>
      <c r="T292">
        <v>0</v>
      </c>
      <c r="U292">
        <v>165.774</v>
      </c>
      <c r="V292">
        <v>-1.091</v>
      </c>
      <c r="W292">
        <v>0.191</v>
      </c>
      <c r="X292">
        <v>0.75900000000000001</v>
      </c>
      <c r="Y292" t="b">
        <v>1</v>
      </c>
      <c r="Z292">
        <v>79</v>
      </c>
      <c r="AA292">
        <f t="shared" si="52"/>
        <v>6.6034416198730401</v>
      </c>
      <c r="AB292">
        <f t="shared" si="50"/>
        <v>39.740858155332482</v>
      </c>
      <c r="AC292">
        <f t="shared" si="55"/>
        <v>0.18877255815926663</v>
      </c>
      <c r="AH292" s="2"/>
      <c r="AI292" s="2"/>
    </row>
    <row r="293" spans="1:35" x14ac:dyDescent="0.3">
      <c r="A293">
        <f t="shared" si="51"/>
        <v>500</v>
      </c>
      <c r="B293" s="2">
        <f t="shared" si="57"/>
        <v>45.379000000139058</v>
      </c>
      <c r="C293" s="2">
        <f t="shared" si="56"/>
        <v>5.9999999999860165E-4</v>
      </c>
      <c r="D293" s="2">
        <f t="shared" si="54"/>
        <v>5.5451805000002423</v>
      </c>
      <c r="E293" s="2"/>
      <c r="F293">
        <v>2911.1487105000001</v>
      </c>
      <c r="G293">
        <v>195</v>
      </c>
      <c r="H293">
        <v>29.25</v>
      </c>
      <c r="I293">
        <v>190.32599999999999</v>
      </c>
      <c r="J293">
        <v>27.416</v>
      </c>
      <c r="K293">
        <v>182.796308571428</v>
      </c>
      <c r="L293">
        <v>27.8160457142857</v>
      </c>
      <c r="M293">
        <v>46.675310644162103</v>
      </c>
      <c r="N293">
        <v>0.05</v>
      </c>
      <c r="O293">
        <v>0</v>
      </c>
      <c r="P293">
        <v>0</v>
      </c>
      <c r="Q293">
        <v>0</v>
      </c>
      <c r="R293">
        <v>5.1653427124023397E-2</v>
      </c>
      <c r="S293">
        <v>6.4430778503417899E-2</v>
      </c>
      <c r="T293">
        <v>0</v>
      </c>
      <c r="U293">
        <v>165.69800000000001</v>
      </c>
      <c r="V293">
        <v>-0.75700000000000001</v>
      </c>
      <c r="W293">
        <v>0.35499999999999998</v>
      </c>
      <c r="X293">
        <v>0.75900000000000001</v>
      </c>
      <c r="Y293" t="b">
        <v>1</v>
      </c>
      <c r="Z293">
        <v>79</v>
      </c>
      <c r="AA293">
        <f t="shared" si="52"/>
        <v>5.1653427124023397</v>
      </c>
      <c r="AB293">
        <f t="shared" si="50"/>
        <v>40.040515732601619</v>
      </c>
      <c r="AC293">
        <f t="shared" si="55"/>
        <v>1.3221974922249566E-2</v>
      </c>
      <c r="AH293" s="2"/>
      <c r="AI293" s="2"/>
    </row>
    <row r="294" spans="1:35" x14ac:dyDescent="0.3">
      <c r="A294">
        <f t="shared" si="51"/>
        <v>500</v>
      </c>
      <c r="B294" s="2">
        <f t="shared" si="57"/>
        <v>31.31039999971108</v>
      </c>
      <c r="C294" s="2">
        <f t="shared" si="56"/>
        <v>-2.0360000000000156E-2</v>
      </c>
      <c r="D294" s="2">
        <f t="shared" si="54"/>
        <v>5.5764908999999534</v>
      </c>
      <c r="E294" s="2"/>
      <c r="F294">
        <v>2911.1800208999998</v>
      </c>
      <c r="G294">
        <v>195</v>
      </c>
      <c r="H294">
        <v>29.25</v>
      </c>
      <c r="I294">
        <v>190.44900000000001</v>
      </c>
      <c r="J294">
        <v>27.285</v>
      </c>
      <c r="K294">
        <v>183.316988571428</v>
      </c>
      <c r="L294">
        <v>27.7956857142857</v>
      </c>
      <c r="M294">
        <v>47.552960029568801</v>
      </c>
      <c r="N294">
        <v>0.05</v>
      </c>
      <c r="O294">
        <v>0</v>
      </c>
      <c r="P294">
        <v>0</v>
      </c>
      <c r="Q294">
        <v>0</v>
      </c>
      <c r="R294">
        <v>5.1653427124023397E-2</v>
      </c>
      <c r="S294">
        <v>6.4430778503417899E-2</v>
      </c>
      <c r="T294">
        <v>0</v>
      </c>
      <c r="U294">
        <v>165.69800000000001</v>
      </c>
      <c r="V294">
        <v>-0.75700000000000001</v>
      </c>
      <c r="W294">
        <v>0.35499999999999998</v>
      </c>
      <c r="X294">
        <v>0.75900000000000001</v>
      </c>
      <c r="Y294" t="b">
        <v>1</v>
      </c>
      <c r="Z294">
        <v>79</v>
      </c>
      <c r="AA294">
        <f t="shared" si="52"/>
        <v>5.1653427124023397</v>
      </c>
      <c r="AB294">
        <f t="shared" si="50"/>
        <v>40.202244679062531</v>
      </c>
      <c r="AC294">
        <f t="shared" si="55"/>
        <v>-0.6502631713484347</v>
      </c>
      <c r="AH294" s="2"/>
      <c r="AI294" s="2"/>
    </row>
    <row r="295" spans="1:35" x14ac:dyDescent="0.3">
      <c r="A295">
        <f t="shared" si="51"/>
        <v>500</v>
      </c>
      <c r="B295" s="2">
        <f t="shared" si="57"/>
        <v>31.576500000028318</v>
      </c>
      <c r="C295" s="2">
        <f t="shared" si="56"/>
        <v>-3.6079999999998336E-2</v>
      </c>
      <c r="D295" s="2">
        <f t="shared" si="54"/>
        <v>5.6080673999999817</v>
      </c>
      <c r="E295" s="2"/>
      <c r="F295">
        <v>2911.2115973999998</v>
      </c>
      <c r="G295">
        <v>195</v>
      </c>
      <c r="H295">
        <v>29.25</v>
      </c>
      <c r="I295">
        <v>190.69499999999999</v>
      </c>
      <c r="J295">
        <v>27.154</v>
      </c>
      <c r="K295">
        <v>183.84750857142799</v>
      </c>
      <c r="L295">
        <v>27.759605714285701</v>
      </c>
      <c r="M295">
        <v>48.437045939682903</v>
      </c>
      <c r="N295">
        <v>0.05</v>
      </c>
      <c r="O295">
        <v>0</v>
      </c>
      <c r="P295">
        <v>0</v>
      </c>
      <c r="Q295">
        <v>0</v>
      </c>
      <c r="R295">
        <v>6.0828357696533199E-2</v>
      </c>
      <c r="S295">
        <v>6.6182624816894506E-2</v>
      </c>
      <c r="T295">
        <v>0</v>
      </c>
      <c r="U295">
        <v>165.773</v>
      </c>
      <c r="V295">
        <v>-0.75</v>
      </c>
      <c r="W295">
        <v>0.53500000000000003</v>
      </c>
      <c r="X295">
        <v>0.76</v>
      </c>
      <c r="Y295" t="b">
        <v>1</v>
      </c>
      <c r="Z295">
        <v>79</v>
      </c>
      <c r="AA295">
        <f t="shared" si="52"/>
        <v>6.08283576965332</v>
      </c>
      <c r="AB295">
        <f t="shared" si="50"/>
        <v>40.365348123220848</v>
      </c>
      <c r="AC295">
        <f t="shared" si="55"/>
        <v>-1.1426218865284619</v>
      </c>
      <c r="AH295" s="2"/>
      <c r="AI295" s="2"/>
    </row>
    <row r="296" spans="1:35" x14ac:dyDescent="0.3">
      <c r="A296">
        <f t="shared" si="51"/>
        <v>500</v>
      </c>
      <c r="B296" s="2">
        <f t="shared" si="57"/>
        <v>30.636299999969197</v>
      </c>
      <c r="C296" s="2">
        <f t="shared" si="56"/>
        <v>-6.2280000000001223E-2</v>
      </c>
      <c r="D296" s="2">
        <f t="shared" si="54"/>
        <v>5.6387036999999509</v>
      </c>
      <c r="E296" s="2"/>
      <c r="F296">
        <v>2911.2422336999998</v>
      </c>
      <c r="G296">
        <v>195</v>
      </c>
      <c r="H296">
        <v>29.25</v>
      </c>
      <c r="I296">
        <v>190.941</v>
      </c>
      <c r="J296">
        <v>26.891999999999999</v>
      </c>
      <c r="K296">
        <v>184.38294857142799</v>
      </c>
      <c r="L296">
        <v>27.6973257142857</v>
      </c>
      <c r="M296">
        <v>49.268430827149203</v>
      </c>
      <c r="N296">
        <v>0.05</v>
      </c>
      <c r="O296">
        <v>0</v>
      </c>
      <c r="P296">
        <v>0</v>
      </c>
      <c r="Q296">
        <v>0</v>
      </c>
      <c r="R296">
        <v>6.0828357696533199E-2</v>
      </c>
      <c r="S296">
        <v>6.6182624816894506E-2</v>
      </c>
      <c r="T296">
        <v>0</v>
      </c>
      <c r="U296">
        <v>165.773</v>
      </c>
      <c r="V296">
        <v>-0.75</v>
      </c>
      <c r="W296">
        <v>0.53500000000000003</v>
      </c>
      <c r="X296">
        <v>0.76</v>
      </c>
      <c r="Y296" t="b">
        <v>1</v>
      </c>
      <c r="Z296">
        <v>79</v>
      </c>
      <c r="AA296">
        <f t="shared" si="52"/>
        <v>6.08283576965332</v>
      </c>
      <c r="AB296">
        <f t="shared" si="50"/>
        <v>40.551703704710491</v>
      </c>
      <c r="AC296">
        <f t="shared" si="55"/>
        <v>-2.0328825608857417</v>
      </c>
      <c r="AH296" s="2"/>
      <c r="AI296" s="2"/>
    </row>
    <row r="297" spans="1:35" x14ac:dyDescent="0.3">
      <c r="A297">
        <f t="shared" si="51"/>
        <v>500</v>
      </c>
      <c r="B297" s="2">
        <f t="shared" si="57"/>
        <v>31.247900000380469</v>
      </c>
      <c r="C297" s="2">
        <f t="shared" si="56"/>
        <v>-7.7999999999999403E-2</v>
      </c>
      <c r="D297" s="2">
        <f t="shared" si="54"/>
        <v>5.6699516000003314</v>
      </c>
      <c r="E297" s="2"/>
      <c r="F297">
        <v>2911.2734816000002</v>
      </c>
      <c r="G297">
        <v>195</v>
      </c>
      <c r="H297">
        <v>29.25</v>
      </c>
      <c r="I297">
        <v>191.55600000000001</v>
      </c>
      <c r="J297">
        <v>26.63</v>
      </c>
      <c r="K297">
        <v>184.93314857142801</v>
      </c>
      <c r="L297">
        <v>27.619325714285701</v>
      </c>
      <c r="M297">
        <v>50.0798800135588</v>
      </c>
      <c r="N297">
        <v>0.05</v>
      </c>
      <c r="O297">
        <v>0</v>
      </c>
      <c r="P297">
        <v>0</v>
      </c>
      <c r="Q297">
        <v>0</v>
      </c>
      <c r="R297">
        <v>6.0828357696533199E-2</v>
      </c>
      <c r="S297">
        <v>6.6182624816894506E-2</v>
      </c>
      <c r="T297">
        <v>0</v>
      </c>
      <c r="U297">
        <v>165.773</v>
      </c>
      <c r="V297">
        <v>-0.75</v>
      </c>
      <c r="W297">
        <v>0.53500000000000003</v>
      </c>
      <c r="X297">
        <v>0.76</v>
      </c>
      <c r="Y297" t="b">
        <v>1</v>
      </c>
      <c r="Z297">
        <v>79</v>
      </c>
      <c r="AA297">
        <f t="shared" si="52"/>
        <v>6.08283576965332</v>
      </c>
      <c r="AB297">
        <f t="shared" si="50"/>
        <v>40.741779548559357</v>
      </c>
      <c r="AC297">
        <f t="shared" si="55"/>
        <v>-2.496167742441882</v>
      </c>
      <c r="AH297" s="2"/>
      <c r="AI297" s="2"/>
    </row>
    <row r="298" spans="1:35" x14ac:dyDescent="0.3">
      <c r="A298">
        <f t="shared" si="51"/>
        <v>500</v>
      </c>
      <c r="B298" s="2">
        <f t="shared" si="57"/>
        <v>32.02309999960562</v>
      </c>
      <c r="C298" s="2">
        <f t="shared" si="56"/>
        <v>-8.8480000000000558E-2</v>
      </c>
      <c r="D298" s="2">
        <f t="shared" si="54"/>
        <v>5.701974699999937</v>
      </c>
      <c r="E298" s="2"/>
      <c r="F298">
        <v>2911.3055046999998</v>
      </c>
      <c r="G298">
        <v>195</v>
      </c>
      <c r="H298">
        <v>29.25</v>
      </c>
      <c r="I298">
        <v>192.29400000000001</v>
      </c>
      <c r="J298">
        <v>26.236999999999998</v>
      </c>
      <c r="K298">
        <v>185.49318857142799</v>
      </c>
      <c r="L298">
        <v>27.5308457142857</v>
      </c>
      <c r="M298">
        <v>50.879947703082998</v>
      </c>
      <c r="N298">
        <v>0.05</v>
      </c>
      <c r="O298">
        <v>0</v>
      </c>
      <c r="P298">
        <v>0</v>
      </c>
      <c r="Q298">
        <v>0</v>
      </c>
      <c r="R298">
        <v>7.3524200439453097E-2</v>
      </c>
      <c r="S298">
        <v>9.0292297363281204E-2</v>
      </c>
      <c r="T298">
        <v>0</v>
      </c>
      <c r="U298">
        <v>165.84</v>
      </c>
      <c r="V298">
        <v>-0.80700000000000005</v>
      </c>
      <c r="W298">
        <v>0.68500000000000005</v>
      </c>
      <c r="X298">
        <v>0.76</v>
      </c>
      <c r="Y298" t="b">
        <v>1</v>
      </c>
      <c r="Z298">
        <v>79</v>
      </c>
      <c r="AA298">
        <f t="shared" si="52"/>
        <v>7.35242004394531</v>
      </c>
      <c r="AB298">
        <f t="shared" si="50"/>
        <v>40.936570806692146</v>
      </c>
      <c r="AC298">
        <f t="shared" si="55"/>
        <v>-2.7630054554709016</v>
      </c>
      <c r="AH298" s="2"/>
      <c r="AI298" s="2"/>
    </row>
    <row r="299" spans="1:35" x14ac:dyDescent="0.3">
      <c r="A299">
        <f t="shared" si="51"/>
        <v>500</v>
      </c>
      <c r="B299" s="2">
        <f t="shared" si="57"/>
        <v>46.701900000243768</v>
      </c>
      <c r="C299" s="2">
        <f t="shared" si="56"/>
        <v>-9.3720000000001136E-2</v>
      </c>
      <c r="D299" s="2">
        <f t="shared" si="54"/>
        <v>5.7486766000001808</v>
      </c>
      <c r="E299" s="2"/>
      <c r="F299">
        <v>2911.3522066</v>
      </c>
      <c r="G299">
        <v>195</v>
      </c>
      <c r="H299">
        <v>29.25</v>
      </c>
      <c r="I299">
        <v>192.90899999999999</v>
      </c>
      <c r="J299">
        <v>25.844000000000001</v>
      </c>
      <c r="K299">
        <v>186.05322857142801</v>
      </c>
      <c r="L299">
        <v>27.437125714285699</v>
      </c>
      <c r="M299">
        <v>52.0416066949889</v>
      </c>
      <c r="N299">
        <v>0.05</v>
      </c>
      <c r="O299">
        <v>0</v>
      </c>
      <c r="P299">
        <v>0</v>
      </c>
      <c r="Q299">
        <v>0</v>
      </c>
      <c r="R299">
        <v>0.100217010498046</v>
      </c>
      <c r="S299">
        <v>0.110202369689941</v>
      </c>
      <c r="T299">
        <v>0</v>
      </c>
      <c r="U299">
        <v>165.96899999999999</v>
      </c>
      <c r="V299">
        <v>-1.022</v>
      </c>
      <c r="W299">
        <v>0.67700000000000005</v>
      </c>
      <c r="X299">
        <v>0.76</v>
      </c>
      <c r="Y299" t="b">
        <v>1</v>
      </c>
      <c r="Z299">
        <v>79</v>
      </c>
      <c r="AA299">
        <f t="shared" si="52"/>
        <v>10.0217010498046</v>
      </c>
      <c r="AB299">
        <f t="shared" si="50"/>
        <v>41.279942792344265</v>
      </c>
      <c r="AC299">
        <f t="shared" si="55"/>
        <v>-2.0067706024703909</v>
      </c>
      <c r="AH299" s="2"/>
      <c r="AI299" s="2"/>
    </row>
    <row r="300" spans="1:35" x14ac:dyDescent="0.3">
      <c r="A300">
        <f t="shared" si="51"/>
        <v>500</v>
      </c>
      <c r="B300" s="2">
        <f t="shared" si="57"/>
        <v>15.648300000066229</v>
      </c>
      <c r="C300" s="2">
        <f t="shared" si="56"/>
        <v>-0.10419999999999874</v>
      </c>
      <c r="D300" s="2">
        <f t="shared" si="54"/>
        <v>5.764324900000247</v>
      </c>
      <c r="E300" s="2"/>
      <c r="F300">
        <v>2911.3678549000001</v>
      </c>
      <c r="G300">
        <v>195</v>
      </c>
      <c r="H300">
        <v>29.25</v>
      </c>
      <c r="I300">
        <v>193.40100000000001</v>
      </c>
      <c r="J300">
        <v>25.451000000000001</v>
      </c>
      <c r="K300">
        <v>186.61326857142799</v>
      </c>
      <c r="L300">
        <v>27.3329257142857</v>
      </c>
      <c r="M300">
        <v>52.347575339726397</v>
      </c>
      <c r="N300">
        <v>0.05</v>
      </c>
      <c r="O300">
        <v>0</v>
      </c>
      <c r="P300">
        <v>0</v>
      </c>
      <c r="Q300">
        <v>0</v>
      </c>
      <c r="R300">
        <v>0.100217010498046</v>
      </c>
      <c r="S300">
        <v>0.110202369689941</v>
      </c>
      <c r="T300">
        <v>0</v>
      </c>
      <c r="U300">
        <v>165.96899999999999</v>
      </c>
      <c r="V300">
        <v>-1.022</v>
      </c>
      <c r="W300">
        <v>0.67700000000000005</v>
      </c>
      <c r="X300">
        <v>0.76</v>
      </c>
      <c r="Y300" t="b">
        <v>1</v>
      </c>
      <c r="Z300">
        <v>79</v>
      </c>
      <c r="AA300">
        <f t="shared" si="52"/>
        <v>10.0217010498046</v>
      </c>
      <c r="AB300">
        <f t="shared" si="50"/>
        <v>41.436765376882583</v>
      </c>
      <c r="AC300">
        <f t="shared" si="55"/>
        <v>-6.6588702925913825</v>
      </c>
      <c r="AH300" s="2"/>
      <c r="AI300" s="2"/>
    </row>
    <row r="301" spans="1:35" x14ac:dyDescent="0.3">
      <c r="A301">
        <f t="shared" si="51"/>
        <v>500</v>
      </c>
      <c r="B301" s="2">
        <f t="shared" si="57"/>
        <v>30.922399999781192</v>
      </c>
      <c r="C301" s="2">
        <f t="shared" si="56"/>
        <v>-0.11992000000000047</v>
      </c>
      <c r="D301" s="2">
        <f t="shared" si="54"/>
        <v>5.7952473000000282</v>
      </c>
      <c r="E301" s="2"/>
      <c r="F301">
        <v>2911.3987772999999</v>
      </c>
      <c r="G301">
        <v>195</v>
      </c>
      <c r="H301">
        <v>29.25</v>
      </c>
      <c r="I301">
        <v>193.77</v>
      </c>
      <c r="J301">
        <v>25.058</v>
      </c>
      <c r="K301">
        <v>187.17822857142801</v>
      </c>
      <c r="L301">
        <v>27.2130057142857</v>
      </c>
      <c r="M301">
        <v>53.023116227561701</v>
      </c>
      <c r="N301">
        <v>0.05</v>
      </c>
      <c r="O301">
        <v>0</v>
      </c>
      <c r="P301">
        <v>0</v>
      </c>
      <c r="Q301">
        <v>0</v>
      </c>
      <c r="R301">
        <v>0.13212057495117099</v>
      </c>
      <c r="S301">
        <v>0.12419188690185499</v>
      </c>
      <c r="T301">
        <v>0</v>
      </c>
      <c r="U301">
        <v>166.00899999999999</v>
      </c>
      <c r="V301">
        <v>-1.246</v>
      </c>
      <c r="W301">
        <v>0.51900000000000002</v>
      </c>
      <c r="X301">
        <v>0.75900000000000001</v>
      </c>
      <c r="Y301" t="b">
        <v>1</v>
      </c>
      <c r="Z301">
        <v>79</v>
      </c>
      <c r="AA301">
        <f t="shared" si="52"/>
        <v>13.212057495117099</v>
      </c>
      <c r="AB301">
        <f t="shared" si="50"/>
        <v>41.746660425422867</v>
      </c>
      <c r="AC301">
        <f t="shared" si="55"/>
        <v>-3.8780948438946856</v>
      </c>
      <c r="AH301" s="2"/>
      <c r="AI301" s="2"/>
    </row>
    <row r="302" spans="1:35" x14ac:dyDescent="0.3">
      <c r="A302">
        <f t="shared" si="51"/>
        <v>500</v>
      </c>
      <c r="B302" s="2">
        <f t="shared" si="57"/>
        <v>47.557700000197656</v>
      </c>
      <c r="C302" s="2">
        <f t="shared" si="56"/>
        <v>-0.12516000000000105</v>
      </c>
      <c r="D302" s="2">
        <f t="shared" si="54"/>
        <v>5.8428050000002258</v>
      </c>
      <c r="E302" s="2"/>
      <c r="F302">
        <v>2911.4463350000001</v>
      </c>
      <c r="G302">
        <v>195</v>
      </c>
      <c r="H302">
        <v>29.25</v>
      </c>
      <c r="I302">
        <v>193.77</v>
      </c>
      <c r="J302">
        <v>24.795999999999999</v>
      </c>
      <c r="K302">
        <v>187.728428571428</v>
      </c>
      <c r="L302">
        <v>27.087845714285699</v>
      </c>
      <c r="M302">
        <v>54.083272053094397</v>
      </c>
      <c r="N302">
        <v>0.05</v>
      </c>
      <c r="O302">
        <v>0</v>
      </c>
      <c r="P302">
        <v>0</v>
      </c>
      <c r="Q302">
        <v>0</v>
      </c>
      <c r="R302">
        <v>0.13212057495117099</v>
      </c>
      <c r="S302">
        <v>0.12419188690185499</v>
      </c>
      <c r="T302">
        <v>0</v>
      </c>
      <c r="U302">
        <v>166.00899999999999</v>
      </c>
      <c r="V302">
        <v>-1.246</v>
      </c>
      <c r="W302">
        <v>0.51900000000000002</v>
      </c>
      <c r="X302">
        <v>0.75900000000000001</v>
      </c>
      <c r="Y302" t="b">
        <v>1</v>
      </c>
      <c r="Z302">
        <v>79</v>
      </c>
      <c r="AA302">
        <f t="shared" si="52"/>
        <v>13.212057495117099</v>
      </c>
      <c r="AB302">
        <f t="shared" si="50"/>
        <v>42.374995492161005</v>
      </c>
      <c r="AC302">
        <f t="shared" si="55"/>
        <v>-2.6317504841378128</v>
      </c>
      <c r="AH302" s="2"/>
      <c r="AI302" s="2"/>
    </row>
    <row r="303" spans="1:35" x14ac:dyDescent="0.3">
      <c r="A303">
        <f t="shared" si="51"/>
        <v>500</v>
      </c>
      <c r="B303" s="2">
        <f t="shared" si="57"/>
        <v>15.272600000116654</v>
      </c>
      <c r="C303" s="2">
        <f t="shared" si="56"/>
        <v>-0.14087999999999923</v>
      </c>
      <c r="D303" s="2">
        <f t="shared" si="54"/>
        <v>5.8580776000003425</v>
      </c>
      <c r="E303" s="2"/>
      <c r="F303">
        <v>2911.4616076000002</v>
      </c>
      <c r="G303">
        <v>195</v>
      </c>
      <c r="H303">
        <v>29.25</v>
      </c>
      <c r="I303">
        <v>193.77</v>
      </c>
      <c r="J303">
        <v>24.402999999999999</v>
      </c>
      <c r="K303">
        <v>188.26386857142799</v>
      </c>
      <c r="L303">
        <v>26.9469657142857</v>
      </c>
      <c r="M303">
        <v>54.313496378236501</v>
      </c>
      <c r="N303">
        <v>0.05</v>
      </c>
      <c r="O303">
        <v>0</v>
      </c>
      <c r="P303">
        <v>0</v>
      </c>
      <c r="Q303">
        <v>0</v>
      </c>
      <c r="R303">
        <v>0.19443905639648401</v>
      </c>
      <c r="S303">
        <v>0.124880416870117</v>
      </c>
      <c r="T303">
        <v>0</v>
      </c>
      <c r="U303">
        <v>166.04599999999999</v>
      </c>
      <c r="V303">
        <v>-1.4410000000000001</v>
      </c>
      <c r="W303">
        <v>0.32900000000000001</v>
      </c>
      <c r="X303">
        <v>0.75800000000000001</v>
      </c>
      <c r="Y303" t="b">
        <v>1</v>
      </c>
      <c r="Z303">
        <v>79</v>
      </c>
      <c r="AA303">
        <f t="shared" si="52"/>
        <v>19.443905639648403</v>
      </c>
      <c r="AB303">
        <f t="shared" si="50"/>
        <v>42.576777961462469</v>
      </c>
      <c r="AC303">
        <f t="shared" si="55"/>
        <v>-9.2243625839034067</v>
      </c>
      <c r="AH303" s="2"/>
      <c r="AI303" s="2"/>
    </row>
    <row r="304" spans="1:35" x14ac:dyDescent="0.3">
      <c r="A304">
        <f t="shared" si="51"/>
        <v>500</v>
      </c>
      <c r="B304" s="2">
        <f t="shared" si="57"/>
        <v>46.644699999887962</v>
      </c>
      <c r="C304" s="2">
        <f t="shared" si="56"/>
        <v>-0.16707999999999856</v>
      </c>
      <c r="D304" s="2">
        <f t="shared" si="54"/>
        <v>5.9047223000002305</v>
      </c>
      <c r="E304" s="2"/>
      <c r="F304">
        <v>2911.5082523000001</v>
      </c>
      <c r="G304">
        <v>195</v>
      </c>
      <c r="H304">
        <v>29.25</v>
      </c>
      <c r="I304">
        <v>193.64699999999999</v>
      </c>
      <c r="J304">
        <v>23.878999999999898</v>
      </c>
      <c r="K304">
        <v>188.77470857142799</v>
      </c>
      <c r="L304">
        <v>26.779885714285701</v>
      </c>
      <c r="M304">
        <v>55.251924249548502</v>
      </c>
      <c r="N304">
        <v>0.05</v>
      </c>
      <c r="O304">
        <v>0</v>
      </c>
      <c r="P304">
        <v>0</v>
      </c>
      <c r="Q304">
        <v>0</v>
      </c>
      <c r="R304">
        <v>0.19443905639648401</v>
      </c>
      <c r="S304">
        <v>0.124880416870117</v>
      </c>
      <c r="T304">
        <v>0</v>
      </c>
      <c r="U304">
        <v>166.04599999999999</v>
      </c>
      <c r="V304">
        <v>-1.4410000000000001</v>
      </c>
      <c r="W304">
        <v>0.32900000000000001</v>
      </c>
      <c r="X304">
        <v>0.75800000000000001</v>
      </c>
      <c r="Y304" t="b">
        <v>1</v>
      </c>
      <c r="Z304">
        <v>79</v>
      </c>
      <c r="AA304">
        <f t="shared" si="52"/>
        <v>19.443905639648403</v>
      </c>
      <c r="AB304">
        <f t="shared" si="50"/>
        <v>43.483733106849996</v>
      </c>
      <c r="AC304">
        <f t="shared" si="55"/>
        <v>-3.5819717995913765</v>
      </c>
      <c r="AH304" s="2"/>
      <c r="AI304" s="2"/>
    </row>
    <row r="305" spans="1:35" x14ac:dyDescent="0.3">
      <c r="A305">
        <f t="shared" si="51"/>
        <v>500</v>
      </c>
      <c r="B305" s="2">
        <f t="shared" si="57"/>
        <v>31.118599999899743</v>
      </c>
      <c r="C305" s="2">
        <f t="shared" si="56"/>
        <v>9.6439999999997639E-2</v>
      </c>
      <c r="D305" s="2">
        <f t="shared" si="54"/>
        <v>5.9358409000001302</v>
      </c>
      <c r="E305" s="2"/>
      <c r="F305">
        <v>2911.5393709</v>
      </c>
      <c r="G305">
        <v>199.875</v>
      </c>
      <c r="H305">
        <v>34.125</v>
      </c>
      <c r="I305">
        <v>193.971</v>
      </c>
      <c r="J305">
        <v>33.731999999999999</v>
      </c>
      <c r="K305">
        <v>189.266228571428</v>
      </c>
      <c r="L305">
        <v>26.876325714285699</v>
      </c>
      <c r="M305">
        <v>56.063096142140701</v>
      </c>
      <c r="N305">
        <v>0.05</v>
      </c>
      <c r="O305">
        <v>0</v>
      </c>
      <c r="P305">
        <v>0</v>
      </c>
      <c r="Q305">
        <v>0</v>
      </c>
      <c r="R305">
        <v>0.23101408386230399</v>
      </c>
      <c r="S305">
        <v>9.7785362243652293E-2</v>
      </c>
      <c r="T305">
        <v>0</v>
      </c>
      <c r="U305">
        <v>166.10900000000001</v>
      </c>
      <c r="V305">
        <v>-1.516</v>
      </c>
      <c r="W305">
        <v>0.187</v>
      </c>
      <c r="X305">
        <v>0.75800000000000001</v>
      </c>
      <c r="Y305" t="b">
        <v>1</v>
      </c>
      <c r="Z305">
        <v>79</v>
      </c>
      <c r="AA305">
        <f t="shared" si="52"/>
        <v>23.1014083862304</v>
      </c>
      <c r="AB305">
        <f t="shared" si="50"/>
        <v>44.088800228886008</v>
      </c>
      <c r="AC305">
        <f t="shared" si="55"/>
        <v>3.0991111425420277</v>
      </c>
      <c r="AH305" s="2"/>
      <c r="AI305" s="2"/>
    </row>
    <row r="306" spans="1:35" x14ac:dyDescent="0.3">
      <c r="A306">
        <f t="shared" si="51"/>
        <v>500</v>
      </c>
      <c r="B306" s="2">
        <f t="shared" si="57"/>
        <v>31.711900000118476</v>
      </c>
      <c r="C306" s="2">
        <f t="shared" si="56"/>
        <v>7.5480000000002434E-2</v>
      </c>
      <c r="D306" s="2">
        <f t="shared" si="54"/>
        <v>5.9675528000002487</v>
      </c>
      <c r="E306" s="2"/>
      <c r="F306">
        <v>2911.5710828000001</v>
      </c>
      <c r="G306">
        <v>199.875</v>
      </c>
      <c r="H306">
        <v>34.125</v>
      </c>
      <c r="I306">
        <v>193.971</v>
      </c>
      <c r="J306">
        <v>33.338999999999999</v>
      </c>
      <c r="K306">
        <v>189.72822857142799</v>
      </c>
      <c r="L306">
        <v>26.951805714285701</v>
      </c>
      <c r="M306">
        <v>56.848708766302302</v>
      </c>
      <c r="N306">
        <v>0.05</v>
      </c>
      <c r="O306">
        <v>0</v>
      </c>
      <c r="P306">
        <v>0</v>
      </c>
      <c r="Q306">
        <v>0</v>
      </c>
      <c r="R306">
        <v>0.23101408386230399</v>
      </c>
      <c r="S306">
        <v>9.7785362243652293E-2</v>
      </c>
      <c r="T306">
        <v>0</v>
      </c>
      <c r="U306">
        <v>166.10900000000001</v>
      </c>
      <c r="V306">
        <v>-1.516</v>
      </c>
      <c r="W306">
        <v>0.187</v>
      </c>
      <c r="X306">
        <v>0.75800000000000001</v>
      </c>
      <c r="Y306" t="b">
        <v>1</v>
      </c>
      <c r="Z306">
        <v>79</v>
      </c>
      <c r="AA306">
        <f t="shared" si="52"/>
        <v>23.1014083862304</v>
      </c>
      <c r="AB306">
        <f t="shared" si="50"/>
        <v>44.821389781492044</v>
      </c>
      <c r="AC306">
        <f t="shared" si="55"/>
        <v>2.3801790494962596</v>
      </c>
      <c r="AH306" s="2"/>
      <c r="AI306" s="2"/>
    </row>
    <row r="307" spans="1:35" x14ac:dyDescent="0.3">
      <c r="A307">
        <f t="shared" si="51"/>
        <v>500</v>
      </c>
      <c r="B307" s="2">
        <f t="shared" si="57"/>
        <v>32.110799999827577</v>
      </c>
      <c r="C307" s="2">
        <f t="shared" si="56"/>
        <v>4.9279999999999546E-2</v>
      </c>
      <c r="D307" s="2">
        <f t="shared" si="54"/>
        <v>5.9996636000000763</v>
      </c>
      <c r="E307" s="2"/>
      <c r="F307">
        <v>2911.6031935999999</v>
      </c>
      <c r="G307">
        <v>199.875</v>
      </c>
      <c r="H307">
        <v>34.125</v>
      </c>
      <c r="I307">
        <v>194.09399999999999</v>
      </c>
      <c r="J307">
        <v>32.814999999999998</v>
      </c>
      <c r="K307">
        <v>190.17546857142801</v>
      </c>
      <c r="L307">
        <v>27.001085714285701</v>
      </c>
      <c r="M307">
        <v>57.598779691925401</v>
      </c>
      <c r="N307">
        <v>0.05</v>
      </c>
      <c r="O307">
        <v>0</v>
      </c>
      <c r="P307">
        <v>0</v>
      </c>
      <c r="Q307">
        <v>0</v>
      </c>
      <c r="R307">
        <v>0.26216424560546803</v>
      </c>
      <c r="S307">
        <v>0.109021392822265</v>
      </c>
      <c r="T307">
        <v>0</v>
      </c>
      <c r="U307">
        <v>166.15700000000001</v>
      </c>
      <c r="V307">
        <v>-1.476</v>
      </c>
      <c r="W307">
        <v>0.38200000000000001</v>
      </c>
      <c r="X307">
        <v>0.75800000000000001</v>
      </c>
      <c r="Y307" t="b">
        <v>1</v>
      </c>
      <c r="Z307">
        <v>79</v>
      </c>
      <c r="AA307">
        <f t="shared" si="52"/>
        <v>26.216424560546802</v>
      </c>
      <c r="AB307">
        <f t="shared" ref="AB307:AB370" si="58">AB306+(AA306*(D307-D306))</f>
        <v>45.563194485896631</v>
      </c>
      <c r="AC307">
        <f t="shared" si="55"/>
        <v>1.5346861492165926</v>
      </c>
      <c r="AH307" s="2"/>
      <c r="AI307" s="2"/>
    </row>
    <row r="308" spans="1:35" x14ac:dyDescent="0.3">
      <c r="A308">
        <f t="shared" si="51"/>
        <v>500</v>
      </c>
      <c r="B308" s="2">
        <f t="shared" si="57"/>
        <v>31.020400000215886</v>
      </c>
      <c r="C308" s="2">
        <f t="shared" si="56"/>
        <v>0.42767999999999873</v>
      </c>
      <c r="D308" s="2">
        <f t="shared" si="54"/>
        <v>6.0306840000002921</v>
      </c>
      <c r="E308" s="2"/>
      <c r="F308">
        <v>2911.6342140000002</v>
      </c>
      <c r="G308">
        <v>195</v>
      </c>
      <c r="H308">
        <v>39</v>
      </c>
      <c r="I308">
        <v>194.631</v>
      </c>
      <c r="J308">
        <v>42.405999999999999</v>
      </c>
      <c r="K308">
        <v>190.61466857142801</v>
      </c>
      <c r="L308">
        <v>27.428765714285699</v>
      </c>
      <c r="M308">
        <v>58.686430768997703</v>
      </c>
      <c r="N308">
        <v>0.05</v>
      </c>
      <c r="O308">
        <v>0</v>
      </c>
      <c r="P308">
        <v>0</v>
      </c>
      <c r="Q308">
        <v>0</v>
      </c>
      <c r="R308">
        <v>0.26216424560546803</v>
      </c>
      <c r="S308">
        <v>0.109021392822265</v>
      </c>
      <c r="T308">
        <v>0</v>
      </c>
      <c r="U308">
        <v>166.15700000000001</v>
      </c>
      <c r="V308">
        <v>-1.476</v>
      </c>
      <c r="W308">
        <v>0.38200000000000001</v>
      </c>
      <c r="X308">
        <v>0.75800000000000001</v>
      </c>
      <c r="Y308" t="b">
        <v>1</v>
      </c>
      <c r="Z308">
        <v>79</v>
      </c>
      <c r="AA308">
        <f t="shared" si="52"/>
        <v>26.216424560546802</v>
      </c>
      <c r="AB308">
        <f t="shared" si="58"/>
        <v>46.376438462340275</v>
      </c>
      <c r="AC308">
        <f t="shared" si="55"/>
        <v>13.787056259655655</v>
      </c>
      <c r="AH308" s="2"/>
      <c r="AI308" s="2"/>
    </row>
    <row r="309" spans="1:35" x14ac:dyDescent="0.3">
      <c r="A309">
        <f t="shared" si="51"/>
        <v>500</v>
      </c>
      <c r="B309" s="2">
        <f t="shared" si="57"/>
        <v>30.975099999977829</v>
      </c>
      <c r="C309" s="2">
        <f t="shared" si="56"/>
        <v>0.54912571428570089</v>
      </c>
      <c r="D309" s="2">
        <f t="shared" si="54"/>
        <v>6.06165910000027</v>
      </c>
      <c r="E309" s="2"/>
      <c r="F309">
        <v>2911.6651891000001</v>
      </c>
      <c r="G309">
        <v>195</v>
      </c>
      <c r="H309">
        <v>39</v>
      </c>
      <c r="I309">
        <v>194.87700000000001</v>
      </c>
      <c r="J309">
        <v>42.143999999999998</v>
      </c>
      <c r="K309">
        <v>191.04416571428499</v>
      </c>
      <c r="L309">
        <v>27.9778914285714</v>
      </c>
      <c r="M309">
        <v>59.8782887696388</v>
      </c>
      <c r="N309">
        <v>0.05</v>
      </c>
      <c r="O309">
        <v>0</v>
      </c>
      <c r="P309">
        <v>0</v>
      </c>
      <c r="Q309">
        <v>0</v>
      </c>
      <c r="R309">
        <v>0.26216424560546803</v>
      </c>
      <c r="S309">
        <v>0.109021392822265</v>
      </c>
      <c r="T309">
        <v>0</v>
      </c>
      <c r="U309">
        <v>166.15700000000001</v>
      </c>
      <c r="V309">
        <v>-1.476</v>
      </c>
      <c r="W309">
        <v>0.38200000000000001</v>
      </c>
      <c r="X309">
        <v>0.75800000000000001</v>
      </c>
      <c r="Y309" t="b">
        <v>1</v>
      </c>
      <c r="Z309">
        <v>79</v>
      </c>
      <c r="AA309">
        <f t="shared" si="52"/>
        <v>26.216424560546802</v>
      </c>
      <c r="AB309">
        <f t="shared" si="58"/>
        <v>47.188494834745086</v>
      </c>
      <c r="AC309">
        <f t="shared" si="55"/>
        <v>17.727972283740616</v>
      </c>
      <c r="AH309" s="2"/>
      <c r="AI309" s="2"/>
    </row>
    <row r="310" spans="1:35" x14ac:dyDescent="0.3">
      <c r="A310">
        <f t="shared" si="51"/>
        <v>500</v>
      </c>
      <c r="B310" s="2">
        <f t="shared" si="57"/>
        <v>30.986299999767652</v>
      </c>
      <c r="C310" s="2">
        <f t="shared" si="56"/>
        <v>0.65200000000000102</v>
      </c>
      <c r="D310" s="2">
        <f t="shared" si="54"/>
        <v>6.0926454000000376</v>
      </c>
      <c r="E310" s="2"/>
      <c r="F310">
        <v>2911.6961753999999</v>
      </c>
      <c r="G310">
        <v>195</v>
      </c>
      <c r="H310">
        <v>39</v>
      </c>
      <c r="I310">
        <v>195.12299999999999</v>
      </c>
      <c r="J310">
        <v>41.750999999999998</v>
      </c>
      <c r="K310">
        <v>191.46860571428499</v>
      </c>
      <c r="L310">
        <v>28.629891428571401</v>
      </c>
      <c r="M310">
        <v>61.157383317464102</v>
      </c>
      <c r="N310">
        <v>0.05</v>
      </c>
      <c r="O310">
        <v>0</v>
      </c>
      <c r="P310">
        <v>0</v>
      </c>
      <c r="Q310">
        <v>0</v>
      </c>
      <c r="R310">
        <v>0.235733108520507</v>
      </c>
      <c r="S310">
        <v>0.10901910400390601</v>
      </c>
      <c r="T310">
        <v>0</v>
      </c>
      <c r="U310">
        <v>166.113</v>
      </c>
      <c r="V310">
        <v>-1.056</v>
      </c>
      <c r="W310">
        <v>0.36599999999999999</v>
      </c>
      <c r="X310">
        <v>0.75700000000000001</v>
      </c>
      <c r="Y310" t="b">
        <v>1</v>
      </c>
      <c r="Z310">
        <v>79</v>
      </c>
      <c r="AA310">
        <f t="shared" si="52"/>
        <v>23.5733108520507</v>
      </c>
      <c r="AB310">
        <f t="shared" si="58"/>
        <v>48.000844831099464</v>
      </c>
      <c r="AC310">
        <f t="shared" si="55"/>
        <v>21.041557075381377</v>
      </c>
      <c r="AH310" s="2"/>
      <c r="AI310" s="2"/>
    </row>
    <row r="311" spans="1:35" x14ac:dyDescent="0.3">
      <c r="A311">
        <f t="shared" si="51"/>
        <v>500</v>
      </c>
      <c r="B311" s="2">
        <f t="shared" si="57"/>
        <v>47.510599999895931</v>
      </c>
      <c r="C311" s="2">
        <f t="shared" si="56"/>
        <v>0.63627999999999929</v>
      </c>
      <c r="D311" s="2">
        <f t="shared" si="54"/>
        <v>6.1401559999999336</v>
      </c>
      <c r="E311" s="2"/>
      <c r="F311">
        <v>2911.7436859999998</v>
      </c>
      <c r="G311">
        <v>195</v>
      </c>
      <c r="H311">
        <v>39</v>
      </c>
      <c r="I311">
        <v>195.369</v>
      </c>
      <c r="J311">
        <v>41.488999999999997</v>
      </c>
      <c r="K311">
        <v>191.878285714285</v>
      </c>
      <c r="L311">
        <v>29.266171428571401</v>
      </c>
      <c r="M311">
        <v>62.725239506319603</v>
      </c>
      <c r="N311">
        <v>0.05</v>
      </c>
      <c r="O311">
        <v>0</v>
      </c>
      <c r="P311">
        <v>0</v>
      </c>
      <c r="Q311">
        <v>0</v>
      </c>
      <c r="R311">
        <v>0.15598812866210901</v>
      </c>
      <c r="S311">
        <v>0.11387784576416</v>
      </c>
      <c r="T311">
        <v>0</v>
      </c>
      <c r="U311">
        <v>166.16499999999999</v>
      </c>
      <c r="V311">
        <v>-0.64900000000000002</v>
      </c>
      <c r="W311">
        <v>0.39200000000000002</v>
      </c>
      <c r="X311">
        <v>0.75700000000000001</v>
      </c>
      <c r="Y311" t="b">
        <v>1</v>
      </c>
      <c r="Z311">
        <v>79</v>
      </c>
      <c r="AA311">
        <f t="shared" si="52"/>
        <v>15.598812866210901</v>
      </c>
      <c r="AB311">
        <f t="shared" si="58"/>
        <v>49.12082697366445</v>
      </c>
      <c r="AC311">
        <f t="shared" si="55"/>
        <v>13.39237980579898</v>
      </c>
      <c r="AH311" s="2"/>
      <c r="AI311" s="2"/>
    </row>
    <row r="312" spans="1:35" x14ac:dyDescent="0.3">
      <c r="A312">
        <f t="shared" si="51"/>
        <v>500</v>
      </c>
      <c r="B312" s="2">
        <f t="shared" si="57"/>
        <v>16.173100000287377</v>
      </c>
      <c r="C312" s="2">
        <f t="shared" si="56"/>
        <v>0.61532000000000053</v>
      </c>
      <c r="D312" s="2">
        <f t="shared" si="54"/>
        <v>6.1563291000002209</v>
      </c>
      <c r="E312" s="2"/>
      <c r="F312">
        <v>2911.7598591000001</v>
      </c>
      <c r="G312">
        <v>195</v>
      </c>
      <c r="H312">
        <v>39</v>
      </c>
      <c r="I312">
        <v>195.86099999999999</v>
      </c>
      <c r="J312">
        <v>41.095999999999997</v>
      </c>
      <c r="K312">
        <v>192.27812571428501</v>
      </c>
      <c r="L312">
        <v>29.881491428571401</v>
      </c>
      <c r="M312">
        <v>63.649618813375703</v>
      </c>
      <c r="N312">
        <v>0.05</v>
      </c>
      <c r="O312">
        <v>0</v>
      </c>
      <c r="P312">
        <v>0</v>
      </c>
      <c r="Q312">
        <v>0</v>
      </c>
      <c r="R312">
        <v>0.15598812866210901</v>
      </c>
      <c r="S312">
        <v>0.11387784576416</v>
      </c>
      <c r="T312">
        <v>0</v>
      </c>
      <c r="U312">
        <v>166.16499999999999</v>
      </c>
      <c r="V312">
        <v>-0.64900000000000002</v>
      </c>
      <c r="W312">
        <v>0.39200000000000002</v>
      </c>
      <c r="X312">
        <v>0.75700000000000001</v>
      </c>
      <c r="Y312" t="b">
        <v>1</v>
      </c>
      <c r="Z312">
        <v>79</v>
      </c>
      <c r="AA312">
        <f t="shared" si="52"/>
        <v>15.598812866210901</v>
      </c>
      <c r="AB312">
        <f t="shared" si="58"/>
        <v>49.373108134035448</v>
      </c>
      <c r="AC312">
        <f t="shared" si="55"/>
        <v>38.045891015888543</v>
      </c>
      <c r="AH312" s="2"/>
      <c r="AI312" s="2"/>
    </row>
    <row r="313" spans="1:35" x14ac:dyDescent="0.3">
      <c r="A313">
        <f t="shared" si="51"/>
        <v>500</v>
      </c>
      <c r="B313" s="2">
        <f t="shared" si="57"/>
        <v>31.985199999780889</v>
      </c>
      <c r="C313" s="2">
        <f t="shared" si="56"/>
        <v>0.59435999999999822</v>
      </c>
      <c r="D313" s="2">
        <f t="shared" si="54"/>
        <v>6.1883143000000018</v>
      </c>
      <c r="E313" s="2"/>
      <c r="F313">
        <v>2911.7918442999999</v>
      </c>
      <c r="G313">
        <v>195</v>
      </c>
      <c r="H313">
        <v>39</v>
      </c>
      <c r="I313">
        <v>196.23</v>
      </c>
      <c r="J313">
        <v>40.703000000000003</v>
      </c>
      <c r="K313">
        <v>192.663205714285</v>
      </c>
      <c r="L313">
        <v>30.475851428571399</v>
      </c>
      <c r="M313">
        <v>64.843452949434607</v>
      </c>
      <c r="N313">
        <v>0.05</v>
      </c>
      <c r="O313">
        <v>0</v>
      </c>
      <c r="P313">
        <v>0</v>
      </c>
      <c r="Q313">
        <v>0</v>
      </c>
      <c r="R313">
        <v>0.135168167114257</v>
      </c>
      <c r="S313">
        <v>0.13333724975585901</v>
      </c>
      <c r="T313">
        <v>0</v>
      </c>
      <c r="U313">
        <v>166.17599999999999</v>
      </c>
      <c r="V313">
        <v>-0.68</v>
      </c>
      <c r="W313">
        <v>0.438</v>
      </c>
      <c r="X313">
        <v>0.75700000000000001</v>
      </c>
      <c r="Y313" t="b">
        <v>1</v>
      </c>
      <c r="Z313">
        <v>79</v>
      </c>
      <c r="AA313">
        <f t="shared" si="52"/>
        <v>13.516816711425699</v>
      </c>
      <c r="AB313">
        <f t="shared" si="58"/>
        <v>49.872039283320362</v>
      </c>
      <c r="AC313">
        <f t="shared" si="55"/>
        <v>18.582344334381833</v>
      </c>
      <c r="AH313" s="2"/>
      <c r="AI313" s="2"/>
    </row>
    <row r="314" spans="1:35" x14ac:dyDescent="0.3">
      <c r="A314">
        <f t="shared" si="51"/>
        <v>500</v>
      </c>
      <c r="B314" s="2">
        <f t="shared" si="57"/>
        <v>31.429200000275159</v>
      </c>
      <c r="C314" s="2">
        <f t="shared" si="56"/>
        <v>0.56816000000000244</v>
      </c>
      <c r="D314" s="2">
        <f t="shared" si="54"/>
        <v>6.219743500000277</v>
      </c>
      <c r="E314" s="2"/>
      <c r="F314">
        <v>2911.8232735000001</v>
      </c>
      <c r="G314">
        <v>195</v>
      </c>
      <c r="H314">
        <v>39</v>
      </c>
      <c r="I314">
        <v>196.845</v>
      </c>
      <c r="J314">
        <v>40.31</v>
      </c>
      <c r="K314">
        <v>193.03844571428499</v>
      </c>
      <c r="L314">
        <v>31.044011428571402</v>
      </c>
      <c r="M314">
        <v>65.985789772226596</v>
      </c>
      <c r="N314">
        <v>0.05</v>
      </c>
      <c r="O314">
        <v>0</v>
      </c>
      <c r="P314">
        <v>0</v>
      </c>
      <c r="Q314">
        <v>0</v>
      </c>
      <c r="R314">
        <v>0.135168167114257</v>
      </c>
      <c r="S314">
        <v>0.13333724975585901</v>
      </c>
      <c r="T314">
        <v>0</v>
      </c>
      <c r="U314">
        <v>166.17599999999999</v>
      </c>
      <c r="V314">
        <v>-0.68</v>
      </c>
      <c r="W314">
        <v>0.438</v>
      </c>
      <c r="X314">
        <v>0.75700000000000001</v>
      </c>
      <c r="Y314" t="b">
        <v>1</v>
      </c>
      <c r="Z314">
        <v>79</v>
      </c>
      <c r="AA314">
        <f t="shared" si="52"/>
        <v>13.516816711425699</v>
      </c>
      <c r="AB314">
        <f t="shared" si="58"/>
        <v>50.296862019110819</v>
      </c>
      <c r="AC314">
        <f t="shared" si="55"/>
        <v>18.07745663252734</v>
      </c>
      <c r="AH314" s="2"/>
      <c r="AI314" s="2"/>
    </row>
    <row r="315" spans="1:35" x14ac:dyDescent="0.3">
      <c r="A315">
        <f t="shared" si="51"/>
        <v>500</v>
      </c>
      <c r="B315" s="2">
        <f t="shared" si="57"/>
        <v>31.860600000072736</v>
      </c>
      <c r="C315" s="2">
        <f t="shared" si="56"/>
        <v>0.63435428571429853</v>
      </c>
      <c r="D315" s="2">
        <f t="shared" si="54"/>
        <v>6.2516041000003497</v>
      </c>
      <c r="E315" s="2"/>
      <c r="F315">
        <v>2911.8551341000002</v>
      </c>
      <c r="G315">
        <v>195</v>
      </c>
      <c r="H315">
        <v>39</v>
      </c>
      <c r="I315">
        <v>197.46</v>
      </c>
      <c r="J315">
        <v>39.655000000000001</v>
      </c>
      <c r="K315">
        <v>193.40398285714201</v>
      </c>
      <c r="L315">
        <v>31.6783657142857</v>
      </c>
      <c r="M315">
        <v>67.187531600528999</v>
      </c>
      <c r="N315">
        <v>0.05</v>
      </c>
      <c r="O315">
        <v>0</v>
      </c>
      <c r="P315">
        <v>0</v>
      </c>
      <c r="Q315">
        <v>0</v>
      </c>
      <c r="R315">
        <v>0.135168167114257</v>
      </c>
      <c r="S315">
        <v>0.13333724975585901</v>
      </c>
      <c r="T315">
        <v>0</v>
      </c>
      <c r="U315">
        <v>166.17599999999999</v>
      </c>
      <c r="V315">
        <v>-0.68</v>
      </c>
      <c r="W315">
        <v>0.438</v>
      </c>
      <c r="X315">
        <v>0.75700000000000001</v>
      </c>
      <c r="Y315" t="b">
        <v>1</v>
      </c>
      <c r="Z315">
        <v>79</v>
      </c>
      <c r="AA315">
        <f t="shared" si="52"/>
        <v>13.516816711425699</v>
      </c>
      <c r="AB315">
        <f t="shared" si="58"/>
        <v>50.727515909627854</v>
      </c>
      <c r="AC315">
        <f t="shared" si="55"/>
        <v>19.910305697722276</v>
      </c>
      <c r="AH315" s="2"/>
      <c r="AI315" s="2"/>
    </row>
    <row r="316" spans="1:35" x14ac:dyDescent="0.3">
      <c r="A316">
        <f t="shared" si="51"/>
        <v>500</v>
      </c>
      <c r="B316" s="2">
        <f t="shared" si="57"/>
        <v>31.158999999661319</v>
      </c>
      <c r="C316" s="2">
        <f t="shared" si="56"/>
        <v>0.59767428571420211</v>
      </c>
      <c r="D316" s="2">
        <f t="shared" si="54"/>
        <v>6.282763100000011</v>
      </c>
      <c r="E316" s="2"/>
      <c r="F316">
        <v>2911.8862930999999</v>
      </c>
      <c r="G316">
        <v>195</v>
      </c>
      <c r="H316">
        <v>39</v>
      </c>
      <c r="I316">
        <v>197.952</v>
      </c>
      <c r="J316">
        <v>39</v>
      </c>
      <c r="K316">
        <v>193.75476</v>
      </c>
      <c r="L316">
        <v>32.276039999999902</v>
      </c>
      <c r="M316">
        <v>68.326171129007506</v>
      </c>
      <c r="N316">
        <v>0.05</v>
      </c>
      <c r="O316">
        <v>0</v>
      </c>
      <c r="P316">
        <v>0</v>
      </c>
      <c r="Q316">
        <v>0</v>
      </c>
      <c r="R316">
        <v>0.11021964263916</v>
      </c>
      <c r="S316">
        <v>0.10883182525634701</v>
      </c>
      <c r="T316">
        <v>0</v>
      </c>
      <c r="U316">
        <v>165.99100000000001</v>
      </c>
      <c r="V316">
        <v>-0.77400000000000002</v>
      </c>
      <c r="W316">
        <v>0.438</v>
      </c>
      <c r="X316">
        <v>0.75700000000000001</v>
      </c>
      <c r="Y316" t="b">
        <v>1</v>
      </c>
      <c r="Z316">
        <v>79</v>
      </c>
      <c r="AA316">
        <f t="shared" si="52"/>
        <v>11.021964263915999</v>
      </c>
      <c r="AB316">
        <f t="shared" si="58"/>
        <v>51.14868640153459</v>
      </c>
      <c r="AC316">
        <f t="shared" si="55"/>
        <v>19.181433477348392</v>
      </c>
      <c r="AH316" s="2"/>
      <c r="AI316" s="2"/>
    </row>
    <row r="317" spans="1:35" x14ac:dyDescent="0.3">
      <c r="A317">
        <f t="shared" si="51"/>
        <v>500</v>
      </c>
      <c r="B317" s="2">
        <f t="shared" si="57"/>
        <v>45.746700000108831</v>
      </c>
      <c r="C317" s="2">
        <f t="shared" si="56"/>
        <v>0.43192000000009756</v>
      </c>
      <c r="D317" s="2">
        <f t="shared" si="54"/>
        <v>6.3285098000001199</v>
      </c>
      <c r="E317" s="2"/>
      <c r="F317">
        <v>2911.9320398</v>
      </c>
      <c r="G317">
        <v>195</v>
      </c>
      <c r="H317">
        <v>39</v>
      </c>
      <c r="I317">
        <v>198.44399999999999</v>
      </c>
      <c r="J317">
        <v>38.213999999999999</v>
      </c>
      <c r="K317">
        <v>194.09424000000001</v>
      </c>
      <c r="L317">
        <v>32.70796</v>
      </c>
      <c r="M317">
        <v>69.528084273286893</v>
      </c>
      <c r="N317">
        <v>0.05</v>
      </c>
      <c r="O317">
        <v>0</v>
      </c>
      <c r="P317">
        <v>0</v>
      </c>
      <c r="Q317">
        <v>0</v>
      </c>
      <c r="R317">
        <v>9.7594192504882799E-2</v>
      </c>
      <c r="S317">
        <v>0.10942327117919901</v>
      </c>
      <c r="T317">
        <v>0</v>
      </c>
      <c r="U317">
        <v>165.84399999999999</v>
      </c>
      <c r="V317">
        <v>-0.873</v>
      </c>
      <c r="W317">
        <v>0.55400000000000005</v>
      </c>
      <c r="X317">
        <v>0.753</v>
      </c>
      <c r="Y317" t="b">
        <v>1</v>
      </c>
      <c r="Z317">
        <v>78</v>
      </c>
      <c r="AA317">
        <f t="shared" si="52"/>
        <v>9.7594192504882802</v>
      </c>
      <c r="AB317">
        <f t="shared" si="58"/>
        <v>51.652904894127879</v>
      </c>
      <c r="AC317">
        <f t="shared" si="55"/>
        <v>9.4415553471413247</v>
      </c>
      <c r="AH317" s="2"/>
      <c r="AI317" s="2"/>
    </row>
    <row r="318" spans="1:35" x14ac:dyDescent="0.3">
      <c r="A318">
        <f t="shared" si="51"/>
        <v>500</v>
      </c>
      <c r="B318" s="2">
        <f t="shared" si="57"/>
        <v>31.401700000060373</v>
      </c>
      <c r="C318" s="2">
        <f t="shared" si="56"/>
        <v>0.39523999999990167</v>
      </c>
      <c r="D318" s="2">
        <f t="shared" si="54"/>
        <v>6.3599115000001802</v>
      </c>
      <c r="E318" s="2"/>
      <c r="F318">
        <v>2911.9634415</v>
      </c>
      <c r="G318">
        <v>195</v>
      </c>
      <c r="H318">
        <v>39</v>
      </c>
      <c r="I318">
        <v>198.93600000000001</v>
      </c>
      <c r="J318">
        <v>37.296999999999997</v>
      </c>
      <c r="K318">
        <v>194.43863999999999</v>
      </c>
      <c r="L318">
        <v>33.103199999999902</v>
      </c>
      <c r="M318">
        <v>70.435657738517193</v>
      </c>
      <c r="N318">
        <v>0.05</v>
      </c>
      <c r="O318">
        <v>0</v>
      </c>
      <c r="P318">
        <v>0</v>
      </c>
      <c r="Q318">
        <v>0</v>
      </c>
      <c r="R318">
        <v>9.7594192504882799E-2</v>
      </c>
      <c r="S318">
        <v>0.10942327117919901</v>
      </c>
      <c r="T318">
        <v>0</v>
      </c>
      <c r="U318">
        <v>165.84399999999999</v>
      </c>
      <c r="V318">
        <v>-0.873</v>
      </c>
      <c r="W318">
        <v>0.55400000000000005</v>
      </c>
      <c r="X318">
        <v>0.753</v>
      </c>
      <c r="Y318" t="b">
        <v>1</v>
      </c>
      <c r="Z318">
        <v>78</v>
      </c>
      <c r="AA318">
        <f t="shared" si="52"/>
        <v>9.7594192504882802</v>
      </c>
      <c r="AB318">
        <f t="shared" si="58"/>
        <v>51.959367249606522</v>
      </c>
      <c r="AC318">
        <f t="shared" si="55"/>
        <v>12.586579707440738</v>
      </c>
    </row>
    <row r="319" spans="1:35" x14ac:dyDescent="0.3">
      <c r="A319">
        <f t="shared" si="51"/>
        <v>500</v>
      </c>
      <c r="B319" s="2">
        <f t="shared" si="57"/>
        <v>31.796199999917008</v>
      </c>
      <c r="C319" s="2">
        <f t="shared" si="56"/>
        <v>0.35856000000009658</v>
      </c>
      <c r="D319" s="2">
        <f t="shared" si="54"/>
        <v>6.3917077000000972</v>
      </c>
      <c r="E319" s="2"/>
      <c r="F319">
        <v>2911.9952377</v>
      </c>
      <c r="G319">
        <v>195</v>
      </c>
      <c r="H319">
        <v>39</v>
      </c>
      <c r="I319">
        <v>199.30500000000001</v>
      </c>
      <c r="J319">
        <v>36.249000000000002</v>
      </c>
      <c r="K319">
        <v>194.79288</v>
      </c>
      <c r="L319">
        <v>33.461759999999998</v>
      </c>
      <c r="M319">
        <v>71.299931032178904</v>
      </c>
      <c r="N319">
        <v>0.05</v>
      </c>
      <c r="O319">
        <v>0</v>
      </c>
      <c r="P319">
        <v>0</v>
      </c>
      <c r="Q319">
        <v>0</v>
      </c>
      <c r="R319">
        <v>7.84854278564453E-2</v>
      </c>
      <c r="S319">
        <v>9.7904228210449196E-2</v>
      </c>
      <c r="T319">
        <v>0</v>
      </c>
      <c r="U319">
        <v>165.73699999999999</v>
      </c>
      <c r="V319">
        <v>-1.002</v>
      </c>
      <c r="W319">
        <v>0.65200000000000002</v>
      </c>
      <c r="X319">
        <v>0.751</v>
      </c>
      <c r="Y319" t="b">
        <v>1</v>
      </c>
      <c r="Z319">
        <v>78</v>
      </c>
      <c r="AA319">
        <f t="shared" si="52"/>
        <v>7.84854278564453</v>
      </c>
      <c r="AB319">
        <f t="shared" si="58"/>
        <v>52.269679695978091</v>
      </c>
      <c r="AC319">
        <f t="shared" si="55"/>
        <v>11.276819242583468</v>
      </c>
    </row>
    <row r="320" spans="1:35" x14ac:dyDescent="0.3">
      <c r="A320">
        <f t="shared" si="51"/>
        <v>500</v>
      </c>
      <c r="B320" s="2">
        <f t="shared" si="57"/>
        <v>30.953100000260747</v>
      </c>
      <c r="C320" s="2">
        <f t="shared" si="56"/>
        <v>0.72123999999990218</v>
      </c>
      <c r="D320" s="2">
        <f t="shared" si="54"/>
        <v>6.422660800000358</v>
      </c>
      <c r="E320" s="2"/>
      <c r="F320">
        <v>2912.0261908000002</v>
      </c>
      <c r="G320">
        <v>190.125</v>
      </c>
      <c r="H320">
        <v>43.875</v>
      </c>
      <c r="I320">
        <v>199.965</v>
      </c>
      <c r="J320">
        <v>45.185000000000002</v>
      </c>
      <c r="K320">
        <v>195.16368</v>
      </c>
      <c r="L320">
        <v>34.1829999999999</v>
      </c>
      <c r="M320">
        <v>72.501170276242306</v>
      </c>
      <c r="N320">
        <v>0.05</v>
      </c>
      <c r="O320">
        <v>0</v>
      </c>
      <c r="P320">
        <v>0</v>
      </c>
      <c r="Q320">
        <v>0</v>
      </c>
      <c r="R320">
        <v>7.84854278564453E-2</v>
      </c>
      <c r="S320">
        <v>9.7904228210449196E-2</v>
      </c>
      <c r="T320">
        <v>0</v>
      </c>
      <c r="U320">
        <v>165.73699999999999</v>
      </c>
      <c r="V320">
        <v>-1.002</v>
      </c>
      <c r="W320">
        <v>0.65200000000000002</v>
      </c>
      <c r="X320">
        <v>0.751</v>
      </c>
      <c r="Y320" t="b">
        <v>1</v>
      </c>
      <c r="Z320">
        <v>78</v>
      </c>
      <c r="AA320">
        <f t="shared" si="52"/>
        <v>7.84854278564453</v>
      </c>
      <c r="AB320">
        <f t="shared" si="58"/>
        <v>52.512616425678473</v>
      </c>
      <c r="AC320">
        <f t="shared" si="55"/>
        <v>23.301058698283097</v>
      </c>
    </row>
    <row r="321" spans="1:29" x14ac:dyDescent="0.3">
      <c r="A321">
        <f t="shared" si="51"/>
        <v>500</v>
      </c>
      <c r="B321" s="2">
        <f t="shared" si="57"/>
        <v>31.12169999985781</v>
      </c>
      <c r="C321" s="2">
        <f t="shared" si="56"/>
        <v>0.93256000000000228</v>
      </c>
      <c r="D321" s="2">
        <f t="shared" si="54"/>
        <v>6.4537825000002158</v>
      </c>
      <c r="E321" s="2"/>
      <c r="F321">
        <v>2912.0573125000001</v>
      </c>
      <c r="G321">
        <v>191.1</v>
      </c>
      <c r="H321">
        <v>46.8</v>
      </c>
      <c r="I321">
        <v>200.32499999999999</v>
      </c>
      <c r="J321">
        <v>50.205999999999896</v>
      </c>
      <c r="K321">
        <v>195.53904</v>
      </c>
      <c r="L321">
        <v>35.115559999999903</v>
      </c>
      <c r="M321">
        <v>73.904410411079198</v>
      </c>
      <c r="N321">
        <v>0.05</v>
      </c>
      <c r="O321">
        <v>0</v>
      </c>
      <c r="P321">
        <v>0</v>
      </c>
      <c r="Q321">
        <v>0</v>
      </c>
      <c r="R321">
        <v>9.7457328796386702E-2</v>
      </c>
      <c r="S321">
        <v>0.104841247558593</v>
      </c>
      <c r="T321">
        <v>0</v>
      </c>
      <c r="U321">
        <v>165.68199999999999</v>
      </c>
      <c r="V321">
        <v>-1.2110000000000001</v>
      </c>
      <c r="W321">
        <v>0.59399999999999997</v>
      </c>
      <c r="X321">
        <v>0.749</v>
      </c>
      <c r="Y321" t="b">
        <v>1</v>
      </c>
      <c r="Z321">
        <v>78</v>
      </c>
      <c r="AA321">
        <f t="shared" si="52"/>
        <v>9.7457328796386697</v>
      </c>
      <c r="AB321">
        <f t="shared" si="58"/>
        <v>52.756876419689348</v>
      </c>
      <c r="AC321">
        <f t="shared" si="55"/>
        <v>29.964944074528802</v>
      </c>
    </row>
    <row r="322" spans="1:29" x14ac:dyDescent="0.3">
      <c r="A322">
        <f t="shared" si="51"/>
        <v>500</v>
      </c>
      <c r="B322" s="2">
        <f t="shared" si="57"/>
        <v>30.705699999998615</v>
      </c>
      <c r="C322" s="2">
        <f t="shared" si="56"/>
        <v>1.0472400000000945</v>
      </c>
      <c r="D322" s="2">
        <f t="shared" si="54"/>
        <v>6.4844882000002144</v>
      </c>
      <c r="E322" s="2"/>
      <c r="F322">
        <v>2912.0880182000001</v>
      </c>
      <c r="G322">
        <v>195</v>
      </c>
      <c r="H322">
        <v>48.75</v>
      </c>
      <c r="I322">
        <v>201.02699999999999</v>
      </c>
      <c r="J322">
        <v>52.811</v>
      </c>
      <c r="K322">
        <v>195.91788</v>
      </c>
      <c r="L322">
        <v>36.162799999999997</v>
      </c>
      <c r="M322">
        <v>75.404600789153704</v>
      </c>
      <c r="N322">
        <v>0.05</v>
      </c>
      <c r="O322">
        <v>0</v>
      </c>
      <c r="P322">
        <v>0</v>
      </c>
      <c r="Q322">
        <v>0</v>
      </c>
      <c r="R322">
        <v>9.7457328796386702E-2</v>
      </c>
      <c r="S322">
        <v>0.104841247558593</v>
      </c>
      <c r="T322">
        <v>0</v>
      </c>
      <c r="U322">
        <v>165.68199999999999</v>
      </c>
      <c r="V322">
        <v>-1.2110000000000001</v>
      </c>
      <c r="W322">
        <v>0.59399999999999997</v>
      </c>
      <c r="X322">
        <v>0.749</v>
      </c>
      <c r="Y322" t="b">
        <v>1</v>
      </c>
      <c r="Z322">
        <v>78</v>
      </c>
      <c r="AA322">
        <f t="shared" si="52"/>
        <v>9.7457328796386697</v>
      </c>
      <c r="AB322">
        <f t="shared" si="58"/>
        <v>53.056125969771657</v>
      </c>
      <c r="AC322">
        <f t="shared" si="55"/>
        <v>34.105719784930542</v>
      </c>
    </row>
    <row r="323" spans="1:29" x14ac:dyDescent="0.3">
      <c r="A323">
        <f t="shared" si="51"/>
        <v>500</v>
      </c>
      <c r="B323" s="2">
        <f t="shared" si="57"/>
        <v>31.66559999999663</v>
      </c>
      <c r="C323" s="2">
        <f t="shared" si="56"/>
        <v>1.1710742857142051</v>
      </c>
      <c r="D323" s="2">
        <f t="shared" si="54"/>
        <v>6.516153800000211</v>
      </c>
      <c r="E323" s="2"/>
      <c r="F323">
        <v>2912.1196838000001</v>
      </c>
      <c r="G323">
        <v>200.57142857142799</v>
      </c>
      <c r="H323">
        <v>50.142857142857103</v>
      </c>
      <c r="I323">
        <v>201.30942857142799</v>
      </c>
      <c r="J323">
        <v>55.513857142857098</v>
      </c>
      <c r="K323">
        <v>196.27849714285699</v>
      </c>
      <c r="L323">
        <v>37.333874285714202</v>
      </c>
      <c r="M323">
        <v>77.031181117299298</v>
      </c>
      <c r="N323">
        <v>0.05</v>
      </c>
      <c r="O323">
        <v>0</v>
      </c>
      <c r="P323">
        <v>0</v>
      </c>
      <c r="Q323">
        <v>0</v>
      </c>
      <c r="R323">
        <v>0.114552955627441</v>
      </c>
      <c r="S323">
        <v>0.11172647857666</v>
      </c>
      <c r="T323">
        <v>0</v>
      </c>
      <c r="U323">
        <v>165.601</v>
      </c>
      <c r="V323">
        <v>-1.341</v>
      </c>
      <c r="W323">
        <v>0.45</v>
      </c>
      <c r="X323">
        <v>0.748</v>
      </c>
      <c r="Y323" t="b">
        <v>1</v>
      </c>
      <c r="Z323">
        <v>78</v>
      </c>
      <c r="AA323">
        <f t="shared" si="52"/>
        <v>11.4552955627441</v>
      </c>
      <c r="AB323">
        <f t="shared" si="58"/>
        <v>53.364730448845108</v>
      </c>
      <c r="AC323">
        <f t="shared" si="55"/>
        <v>36.982538960712247</v>
      </c>
    </row>
    <row r="324" spans="1:29" x14ac:dyDescent="0.3">
      <c r="A324">
        <f t="shared" si="51"/>
        <v>500</v>
      </c>
      <c r="B324" s="2">
        <f t="shared" si="57"/>
        <v>46.709899999768822</v>
      </c>
      <c r="C324" s="2">
        <f t="shared" si="56"/>
        <v>1.1343942857143006</v>
      </c>
      <c r="D324" s="2">
        <f t="shared" si="54"/>
        <v>6.5628636999999799</v>
      </c>
      <c r="E324" s="2"/>
      <c r="F324">
        <v>2912.1663936999998</v>
      </c>
      <c r="G324">
        <v>200.57142857142799</v>
      </c>
      <c r="H324">
        <v>50.142857142857103</v>
      </c>
      <c r="I324">
        <v>201.924428571428</v>
      </c>
      <c r="J324">
        <v>54.203857142857103</v>
      </c>
      <c r="K324">
        <v>196.63911428571399</v>
      </c>
      <c r="L324">
        <v>38.468268571428503</v>
      </c>
      <c r="M324">
        <v>78.816603595450502</v>
      </c>
      <c r="N324">
        <v>0.05</v>
      </c>
      <c r="O324">
        <v>0</v>
      </c>
      <c r="P324">
        <v>0</v>
      </c>
      <c r="Q324">
        <v>0</v>
      </c>
      <c r="R324">
        <v>0.114552955627441</v>
      </c>
      <c r="S324">
        <v>0.11172647857666</v>
      </c>
      <c r="T324">
        <v>0</v>
      </c>
      <c r="U324">
        <v>165.601</v>
      </c>
      <c r="V324">
        <v>-1.341</v>
      </c>
      <c r="W324">
        <v>0.45</v>
      </c>
      <c r="X324">
        <v>0.748</v>
      </c>
      <c r="Y324" t="b">
        <v>1</v>
      </c>
      <c r="Z324">
        <v>78</v>
      </c>
      <c r="AA324">
        <f t="shared" si="52"/>
        <v>11.4552955627441</v>
      </c>
      <c r="AB324">
        <f t="shared" si="58"/>
        <v>53.89980615904868</v>
      </c>
      <c r="AC324">
        <f t="shared" si="55"/>
        <v>24.285949781950183</v>
      </c>
    </row>
    <row r="325" spans="1:29" x14ac:dyDescent="0.3">
      <c r="A325">
        <f t="shared" si="51"/>
        <v>500</v>
      </c>
      <c r="B325" s="2">
        <f t="shared" si="57"/>
        <v>15.807900000254449</v>
      </c>
      <c r="C325" s="2">
        <f t="shared" si="56"/>
        <v>1.1291542857143</v>
      </c>
      <c r="D325" s="2">
        <f t="shared" si="54"/>
        <v>6.5786716000002343</v>
      </c>
      <c r="E325" s="2"/>
      <c r="F325">
        <v>2912.1822016000001</v>
      </c>
      <c r="G325">
        <v>200.57142857142799</v>
      </c>
      <c r="H325">
        <v>50.142857142857103</v>
      </c>
      <c r="I325">
        <v>202.293428571428</v>
      </c>
      <c r="J325">
        <v>53.679857142857102</v>
      </c>
      <c r="K325">
        <v>196.99481142857101</v>
      </c>
      <c r="L325">
        <v>39.597422857142803</v>
      </c>
      <c r="M325">
        <v>80.160585797579202</v>
      </c>
      <c r="N325">
        <v>0.05</v>
      </c>
      <c r="O325">
        <v>0</v>
      </c>
      <c r="P325">
        <v>0</v>
      </c>
      <c r="Q325">
        <v>0</v>
      </c>
      <c r="R325">
        <v>0.188241439819335</v>
      </c>
      <c r="S325">
        <v>0.14937986755370999</v>
      </c>
      <c r="T325">
        <v>0</v>
      </c>
      <c r="U325">
        <v>165.655</v>
      </c>
      <c r="V325">
        <v>-1.595</v>
      </c>
      <c r="W325">
        <v>0.36799999999999999</v>
      </c>
      <c r="X325">
        <v>0.749</v>
      </c>
      <c r="Y325" t="b">
        <v>1</v>
      </c>
      <c r="Z325">
        <v>78</v>
      </c>
      <c r="AA325">
        <f t="shared" si="52"/>
        <v>18.824143981933499</v>
      </c>
      <c r="AB325">
        <f t="shared" si="58"/>
        <v>54.080890325777894</v>
      </c>
      <c r="AC325">
        <f t="shared" si="55"/>
        <v>71.429746246884449</v>
      </c>
    </row>
    <row r="326" spans="1:29" x14ac:dyDescent="0.3">
      <c r="A326">
        <f t="shared" si="51"/>
        <v>500</v>
      </c>
      <c r="B326" s="2">
        <f t="shared" si="57"/>
        <v>31.160900000031688</v>
      </c>
      <c r="C326" s="2">
        <f t="shared" si="56"/>
        <v>1.1239142857142994</v>
      </c>
      <c r="D326" s="2">
        <f t="shared" si="54"/>
        <v>6.609832500000266</v>
      </c>
      <c r="E326" s="2"/>
      <c r="F326">
        <v>2912.2133625000001</v>
      </c>
      <c r="G326">
        <v>200.57142857142799</v>
      </c>
      <c r="H326">
        <v>50.142857142857103</v>
      </c>
      <c r="I326">
        <v>202.78542857142801</v>
      </c>
      <c r="J326">
        <v>53.155857142857101</v>
      </c>
      <c r="K326">
        <v>197.35542857142801</v>
      </c>
      <c r="L326">
        <v>40.721337142857102</v>
      </c>
      <c r="M326">
        <v>81.700034738771393</v>
      </c>
      <c r="N326">
        <v>0.05</v>
      </c>
      <c r="O326">
        <v>0</v>
      </c>
      <c r="P326">
        <v>0</v>
      </c>
      <c r="Q326">
        <v>0</v>
      </c>
      <c r="R326">
        <v>0.188241439819335</v>
      </c>
      <c r="S326">
        <v>0.14937986755370999</v>
      </c>
      <c r="T326">
        <v>0</v>
      </c>
      <c r="U326">
        <v>165.655</v>
      </c>
      <c r="V326">
        <v>-1.595</v>
      </c>
      <c r="W326">
        <v>0.36799999999999999</v>
      </c>
      <c r="X326">
        <v>0.749</v>
      </c>
      <c r="Y326" t="b">
        <v>1</v>
      </c>
      <c r="Z326">
        <v>78</v>
      </c>
      <c r="AA326">
        <f t="shared" si="52"/>
        <v>18.824143981933499</v>
      </c>
      <c r="AB326">
        <f t="shared" si="58"/>
        <v>54.667467593985123</v>
      </c>
      <c r="AC326">
        <f t="shared" si="55"/>
        <v>36.068094493841848</v>
      </c>
    </row>
    <row r="327" spans="1:29" x14ac:dyDescent="0.3">
      <c r="A327">
        <f t="shared" ref="A327:A390" si="59">N327*10000</f>
        <v>500</v>
      </c>
      <c r="B327" s="2">
        <f t="shared" si="57"/>
        <v>30.829199999971024</v>
      </c>
      <c r="C327" s="2">
        <f t="shared" si="56"/>
        <v>1.0105599999999981</v>
      </c>
      <c r="D327" s="2">
        <f t="shared" si="54"/>
        <v>6.640661700000237</v>
      </c>
      <c r="E327" s="2"/>
      <c r="F327">
        <v>2912.2441917000001</v>
      </c>
      <c r="G327">
        <v>204.75</v>
      </c>
      <c r="H327">
        <v>48.75</v>
      </c>
      <c r="I327">
        <v>203.02799999999999</v>
      </c>
      <c r="J327">
        <v>50.06</v>
      </c>
      <c r="K327">
        <v>197.725748571428</v>
      </c>
      <c r="L327">
        <v>41.7318971428571</v>
      </c>
      <c r="M327">
        <v>83.111553898112803</v>
      </c>
      <c r="N327">
        <v>0.05</v>
      </c>
      <c r="O327">
        <v>0</v>
      </c>
      <c r="P327">
        <v>0</v>
      </c>
      <c r="Q327">
        <v>0</v>
      </c>
      <c r="R327">
        <v>0.188241439819335</v>
      </c>
      <c r="S327">
        <v>0.14937986755370999</v>
      </c>
      <c r="T327">
        <v>0</v>
      </c>
      <c r="U327">
        <v>165.655</v>
      </c>
      <c r="V327">
        <v>-1.595</v>
      </c>
      <c r="W327">
        <v>0.36799999999999999</v>
      </c>
      <c r="X327">
        <v>0.749</v>
      </c>
      <c r="Y327" t="b">
        <v>1</v>
      </c>
      <c r="Z327">
        <v>78</v>
      </c>
      <c r="AA327">
        <f t="shared" ref="AA327:AA390" si="60">R327*100</f>
        <v>18.824143981933499</v>
      </c>
      <c r="AB327">
        <f t="shared" si="58"/>
        <v>55.247800893632402</v>
      </c>
      <c r="AC327">
        <f t="shared" si="55"/>
        <v>32.779313118762339</v>
      </c>
    </row>
    <row r="328" spans="1:29" x14ac:dyDescent="0.3">
      <c r="A328">
        <f t="shared" si="59"/>
        <v>500</v>
      </c>
      <c r="B328" s="2">
        <f t="shared" si="57"/>
        <v>30.843099999856349</v>
      </c>
      <c r="C328" s="2">
        <f t="shared" si="56"/>
        <v>1.0157999999999987</v>
      </c>
      <c r="D328" s="2">
        <f t="shared" ref="D328:D391" si="61">F328-$F$7</f>
        <v>6.6715048000000934</v>
      </c>
      <c r="E328" s="2"/>
      <c r="F328">
        <v>2912.2750348</v>
      </c>
      <c r="G328">
        <v>204.75</v>
      </c>
      <c r="H328">
        <v>48.75</v>
      </c>
      <c r="I328">
        <v>203.15100000000001</v>
      </c>
      <c r="J328">
        <v>49.798000000000002</v>
      </c>
      <c r="K328">
        <v>198.10098857142799</v>
      </c>
      <c r="L328">
        <v>42.747697142857099</v>
      </c>
      <c r="M328">
        <v>84.518638227398796</v>
      </c>
      <c r="N328">
        <v>0.05</v>
      </c>
      <c r="O328">
        <v>0</v>
      </c>
      <c r="P328">
        <v>0</v>
      </c>
      <c r="Q328">
        <v>0</v>
      </c>
      <c r="R328">
        <v>0.22106236267089799</v>
      </c>
      <c r="S328">
        <v>0.10340696716308501</v>
      </c>
      <c r="T328">
        <v>0</v>
      </c>
      <c r="U328">
        <v>165.666</v>
      </c>
      <c r="V328">
        <v>-1.325</v>
      </c>
      <c r="W328">
        <v>-0.193</v>
      </c>
      <c r="X328">
        <v>0.747</v>
      </c>
      <c r="Y328" t="b">
        <v>1</v>
      </c>
      <c r="Z328">
        <v>78</v>
      </c>
      <c r="AA328">
        <f t="shared" si="60"/>
        <v>22.106236267089798</v>
      </c>
      <c r="AB328">
        <f t="shared" si="58"/>
        <v>55.82839584887887</v>
      </c>
      <c r="AC328">
        <f t="shared" ref="AC328:AC391" si="62">IF((L328-L327)/(D328-D327)&lt;100,IF((L328-L327)/(D328-D327)&gt;(-1*20),(L328-L327)/(D328-D327),AC327))</f>
        <v>32.93443266094296</v>
      </c>
    </row>
    <row r="329" spans="1:29" x14ac:dyDescent="0.3">
      <c r="A329">
        <f t="shared" si="59"/>
        <v>500</v>
      </c>
      <c r="B329" s="2">
        <f t="shared" si="57"/>
        <v>78.645999999935157</v>
      </c>
      <c r="C329" s="2">
        <f t="shared" ref="C329:C392" si="63">L329-L328</f>
        <v>1.0157999999999987</v>
      </c>
      <c r="D329" s="2">
        <f t="shared" si="61"/>
        <v>6.7501508000000285</v>
      </c>
      <c r="E329" s="2"/>
      <c r="F329">
        <v>2912.3536807999999</v>
      </c>
      <c r="G329">
        <v>204.75</v>
      </c>
      <c r="H329">
        <v>48.75</v>
      </c>
      <c r="I329">
        <v>203.643</v>
      </c>
      <c r="J329">
        <v>49.274000000000001</v>
      </c>
      <c r="K329">
        <v>198.500828571428</v>
      </c>
      <c r="L329">
        <v>43.763497142857098</v>
      </c>
      <c r="M329">
        <v>86.489195390018295</v>
      </c>
      <c r="N329">
        <v>0.05</v>
      </c>
      <c r="O329">
        <v>0</v>
      </c>
      <c r="P329">
        <v>0</v>
      </c>
      <c r="Q329">
        <v>0</v>
      </c>
      <c r="R329">
        <v>0.22106236267089799</v>
      </c>
      <c r="S329">
        <v>0.10340696716308501</v>
      </c>
      <c r="T329">
        <v>0</v>
      </c>
      <c r="U329">
        <v>165.666</v>
      </c>
      <c r="V329">
        <v>-1.325</v>
      </c>
      <c r="W329">
        <v>-0.193</v>
      </c>
      <c r="X329">
        <v>0.747</v>
      </c>
      <c r="Y329" t="b">
        <v>1</v>
      </c>
      <c r="Z329">
        <v>78</v>
      </c>
      <c r="AA329">
        <f t="shared" si="60"/>
        <v>22.106236267089798</v>
      </c>
      <c r="AB329">
        <f t="shared" si="58"/>
        <v>57.566962906338979</v>
      </c>
      <c r="AC329">
        <f t="shared" si="62"/>
        <v>12.916105078463447</v>
      </c>
    </row>
    <row r="330" spans="1:29" x14ac:dyDescent="0.3">
      <c r="A330">
        <f t="shared" si="59"/>
        <v>500</v>
      </c>
      <c r="B330" s="2">
        <f t="shared" si="57"/>
        <v>15.86330000009184</v>
      </c>
      <c r="C330" s="2">
        <f t="shared" si="63"/>
        <v>0.61120000000000374</v>
      </c>
      <c r="D330" s="2">
        <f t="shared" si="61"/>
        <v>6.7660141000001204</v>
      </c>
      <c r="E330" s="2"/>
      <c r="F330">
        <v>2912.3695441</v>
      </c>
      <c r="G330">
        <v>204.75</v>
      </c>
      <c r="H330">
        <v>48.75</v>
      </c>
      <c r="I330">
        <v>203.88900000000001</v>
      </c>
      <c r="J330">
        <v>49.012</v>
      </c>
      <c r="K330">
        <v>198.89754857142799</v>
      </c>
      <c r="L330">
        <v>44.374697142857102</v>
      </c>
      <c r="M330">
        <v>87.285741834948695</v>
      </c>
      <c r="N330">
        <v>0.05</v>
      </c>
      <c r="O330">
        <v>0</v>
      </c>
      <c r="P330">
        <v>0</v>
      </c>
      <c r="Q330">
        <v>0</v>
      </c>
      <c r="R330">
        <v>0.22106236267089799</v>
      </c>
      <c r="S330">
        <v>0.10340696716308501</v>
      </c>
      <c r="T330">
        <v>0</v>
      </c>
      <c r="U330">
        <v>165.666</v>
      </c>
      <c r="V330">
        <v>-1.325</v>
      </c>
      <c r="W330">
        <v>-0.193</v>
      </c>
      <c r="X330">
        <v>0.747</v>
      </c>
      <c r="Y330" t="b">
        <v>1</v>
      </c>
      <c r="Z330">
        <v>78</v>
      </c>
      <c r="AA330">
        <f t="shared" si="60"/>
        <v>22.106236267089798</v>
      </c>
      <c r="AB330">
        <f t="shared" si="58"/>
        <v>57.917640764116733</v>
      </c>
      <c r="AC330">
        <f t="shared" si="62"/>
        <v>38.529183713128113</v>
      </c>
    </row>
    <row r="331" spans="1:29" x14ac:dyDescent="0.3">
      <c r="A331">
        <f t="shared" si="59"/>
        <v>500</v>
      </c>
      <c r="B331" s="2">
        <f t="shared" si="57"/>
        <v>14.869900000121561</v>
      </c>
      <c r="C331" s="2">
        <f t="shared" si="63"/>
        <v>0.61119999999999663</v>
      </c>
      <c r="D331" s="2">
        <f t="shared" si="61"/>
        <v>6.7808840000002419</v>
      </c>
      <c r="E331" s="2"/>
      <c r="F331">
        <v>2912.3844140000001</v>
      </c>
      <c r="G331">
        <v>204.75</v>
      </c>
      <c r="H331">
        <v>48.75</v>
      </c>
      <c r="I331">
        <v>204.25800000000001</v>
      </c>
      <c r="J331">
        <v>48.619</v>
      </c>
      <c r="K331">
        <v>199.309028571428</v>
      </c>
      <c r="L331">
        <v>44.985897142857098</v>
      </c>
      <c r="M331">
        <v>88.068540820163605</v>
      </c>
      <c r="N331">
        <v>0.05</v>
      </c>
      <c r="O331">
        <v>0</v>
      </c>
      <c r="P331">
        <v>0</v>
      </c>
      <c r="Q331">
        <v>0</v>
      </c>
      <c r="R331">
        <v>0.24056111145019499</v>
      </c>
      <c r="S331">
        <v>9.5231010437011696E-2</v>
      </c>
      <c r="T331">
        <v>0</v>
      </c>
      <c r="U331">
        <v>165.59700000000001</v>
      </c>
      <c r="V331">
        <v>-1.2989999999999999</v>
      </c>
      <c r="W331">
        <v>-0.29599999999999999</v>
      </c>
      <c r="X331">
        <v>0.748</v>
      </c>
      <c r="Y331" t="b">
        <v>1</v>
      </c>
      <c r="Z331">
        <v>78</v>
      </c>
      <c r="AA331">
        <f t="shared" si="60"/>
        <v>24.0561111450195</v>
      </c>
      <c r="AB331">
        <f t="shared" si="58"/>
        <v>58.246358286787419</v>
      </c>
      <c r="AC331">
        <f t="shared" si="62"/>
        <v>41.103168144708441</v>
      </c>
    </row>
    <row r="332" spans="1:29" x14ac:dyDescent="0.3">
      <c r="A332">
        <f t="shared" si="59"/>
        <v>500</v>
      </c>
      <c r="B332" s="2">
        <f t="shared" si="57"/>
        <v>30.856999999741674</v>
      </c>
      <c r="C332" s="2">
        <f t="shared" si="63"/>
        <v>0.6216800000000049</v>
      </c>
      <c r="D332" s="2">
        <f t="shared" si="61"/>
        <v>6.8117409999999836</v>
      </c>
      <c r="E332" s="2"/>
      <c r="F332">
        <v>2912.4152709999998</v>
      </c>
      <c r="G332">
        <v>204.75</v>
      </c>
      <c r="H332">
        <v>48.75</v>
      </c>
      <c r="I332">
        <v>204.50399999999999</v>
      </c>
      <c r="J332">
        <v>48.356999999999999</v>
      </c>
      <c r="K332">
        <v>199.72542857142801</v>
      </c>
      <c r="L332">
        <v>45.607577142857103</v>
      </c>
      <c r="M332">
        <v>89.039810622464202</v>
      </c>
      <c r="N332">
        <v>0.05</v>
      </c>
      <c r="O332">
        <v>0</v>
      </c>
      <c r="P332">
        <v>0</v>
      </c>
      <c r="Q332">
        <v>0</v>
      </c>
      <c r="R332">
        <v>0.24056111145019499</v>
      </c>
      <c r="S332">
        <v>9.5231010437011696E-2</v>
      </c>
      <c r="T332">
        <v>0</v>
      </c>
      <c r="U332">
        <v>165.59700000000001</v>
      </c>
      <c r="V332">
        <v>-1.2989999999999999</v>
      </c>
      <c r="W332">
        <v>-0.29599999999999999</v>
      </c>
      <c r="X332">
        <v>0.748</v>
      </c>
      <c r="Y332" t="b">
        <v>1</v>
      </c>
      <c r="Z332">
        <v>78</v>
      </c>
      <c r="AA332">
        <f t="shared" si="60"/>
        <v>24.0561111450195</v>
      </c>
      <c r="AB332">
        <f t="shared" si="58"/>
        <v>58.988657708383073</v>
      </c>
      <c r="AC332">
        <f t="shared" si="62"/>
        <v>20.147130310957301</v>
      </c>
    </row>
    <row r="333" spans="1:29" x14ac:dyDescent="0.3">
      <c r="A333">
        <f t="shared" si="59"/>
        <v>500</v>
      </c>
      <c r="B333" s="2">
        <f t="shared" si="57"/>
        <v>31.378200000290235</v>
      </c>
      <c r="C333" s="2">
        <f t="shared" si="63"/>
        <v>0.22755999999999688</v>
      </c>
      <c r="D333" s="2">
        <f t="shared" si="61"/>
        <v>6.8431192000002738</v>
      </c>
      <c r="E333" s="2"/>
      <c r="F333">
        <v>2912.4466492000001</v>
      </c>
      <c r="G333">
        <v>204.75</v>
      </c>
      <c r="H333">
        <v>48.75</v>
      </c>
      <c r="I333">
        <v>204.87299999999999</v>
      </c>
      <c r="J333">
        <v>48.094999999999999</v>
      </c>
      <c r="K333">
        <v>200.13510857142799</v>
      </c>
      <c r="L333">
        <v>45.8351371428571</v>
      </c>
      <c r="M333">
        <v>89.614052705289794</v>
      </c>
      <c r="N333">
        <v>0.05</v>
      </c>
      <c r="O333">
        <v>0</v>
      </c>
      <c r="P333">
        <v>0</v>
      </c>
      <c r="Q333">
        <v>0</v>
      </c>
      <c r="R333">
        <v>0.26099987792968699</v>
      </c>
      <c r="S333">
        <v>8.0824295043945296E-2</v>
      </c>
      <c r="T333">
        <v>0</v>
      </c>
      <c r="U333">
        <v>165.65199999999999</v>
      </c>
      <c r="V333">
        <v>-1.2809999999999999</v>
      </c>
      <c r="W333">
        <v>-0.158</v>
      </c>
      <c r="X333">
        <v>0.747</v>
      </c>
      <c r="Y333" t="b">
        <v>1</v>
      </c>
      <c r="Z333">
        <v>78</v>
      </c>
      <c r="AA333">
        <f t="shared" si="60"/>
        <v>26.099987792968697</v>
      </c>
      <c r="AB333">
        <f t="shared" si="58"/>
        <v>59.743495175120707</v>
      </c>
      <c r="AC333">
        <f t="shared" si="62"/>
        <v>7.2521687030451725</v>
      </c>
    </row>
    <row r="334" spans="1:29" x14ac:dyDescent="0.3">
      <c r="A334">
        <f t="shared" si="59"/>
        <v>500</v>
      </c>
      <c r="B334" s="2">
        <f t="shared" si="57"/>
        <v>46.244199999819102</v>
      </c>
      <c r="C334" s="2">
        <f t="shared" si="63"/>
        <v>0.22755999999999688</v>
      </c>
      <c r="D334" s="2">
        <f t="shared" si="61"/>
        <v>6.889363400000093</v>
      </c>
      <c r="E334" s="2"/>
      <c r="F334">
        <v>2912.4928934</v>
      </c>
      <c r="G334">
        <v>204.75</v>
      </c>
      <c r="H334">
        <v>48.75</v>
      </c>
      <c r="I334">
        <v>205.36500000000001</v>
      </c>
      <c r="J334">
        <v>47.832999999999998</v>
      </c>
      <c r="K334">
        <v>200.554628571428</v>
      </c>
      <c r="L334">
        <v>46.062697142857097</v>
      </c>
      <c r="M334">
        <v>90.336808224784207</v>
      </c>
      <c r="N334">
        <v>0.05</v>
      </c>
      <c r="O334">
        <v>0</v>
      </c>
      <c r="P334">
        <v>0</v>
      </c>
      <c r="Q334">
        <v>0</v>
      </c>
      <c r="R334">
        <v>0.26099987792968699</v>
      </c>
      <c r="S334">
        <v>8.0824295043945296E-2</v>
      </c>
      <c r="T334">
        <v>0</v>
      </c>
      <c r="U334">
        <v>165.65199999999999</v>
      </c>
      <c r="V334">
        <v>-1.2809999999999999</v>
      </c>
      <c r="W334">
        <v>-0.158</v>
      </c>
      <c r="X334">
        <v>0.747</v>
      </c>
      <c r="Y334" t="b">
        <v>1</v>
      </c>
      <c r="Z334">
        <v>78</v>
      </c>
      <c r="AA334">
        <f t="shared" si="60"/>
        <v>26.099987792968697</v>
      </c>
      <c r="AB334">
        <f t="shared" si="58"/>
        <v>60.950468230611591</v>
      </c>
      <c r="AC334">
        <f t="shared" si="62"/>
        <v>4.9208333153322368</v>
      </c>
    </row>
    <row r="335" spans="1:29" x14ac:dyDescent="0.3">
      <c r="A335">
        <f t="shared" si="59"/>
        <v>500</v>
      </c>
      <c r="B335" s="2">
        <f t="shared" si="57"/>
        <v>15.734200000224519</v>
      </c>
      <c r="C335" s="2">
        <f t="shared" si="63"/>
        <v>0.22756000000000398</v>
      </c>
      <c r="D335" s="2">
        <f t="shared" si="61"/>
        <v>6.9050976000003175</v>
      </c>
      <c r="E335" s="2"/>
      <c r="F335">
        <v>2912.5086276000002</v>
      </c>
      <c r="G335">
        <v>204.75</v>
      </c>
      <c r="H335">
        <v>48.75</v>
      </c>
      <c r="I335">
        <v>205.857</v>
      </c>
      <c r="J335">
        <v>47.44</v>
      </c>
      <c r="K335">
        <v>200.983988571428</v>
      </c>
      <c r="L335">
        <v>46.290257142857101</v>
      </c>
      <c r="M335">
        <v>90.7286860778744</v>
      </c>
      <c r="N335">
        <v>0.05</v>
      </c>
      <c r="O335">
        <v>0</v>
      </c>
      <c r="P335">
        <v>0</v>
      </c>
      <c r="Q335">
        <v>0</v>
      </c>
      <c r="R335">
        <v>0.26099987792968699</v>
      </c>
      <c r="S335">
        <v>8.0824295043945296E-2</v>
      </c>
      <c r="T335">
        <v>0</v>
      </c>
      <c r="U335">
        <v>165.65199999999999</v>
      </c>
      <c r="V335">
        <v>-1.2809999999999999</v>
      </c>
      <c r="W335">
        <v>-0.158</v>
      </c>
      <c r="X335">
        <v>0.747</v>
      </c>
      <c r="Y335" t="b">
        <v>1</v>
      </c>
      <c r="Z335">
        <v>78</v>
      </c>
      <c r="AA335">
        <f t="shared" si="60"/>
        <v>26.099987792968697</v>
      </c>
      <c r="AB335">
        <f t="shared" si="58"/>
        <v>61.361130658549577</v>
      </c>
      <c r="AC335">
        <f t="shared" si="62"/>
        <v>14.462762644224481</v>
      </c>
    </row>
    <row r="336" spans="1:29" x14ac:dyDescent="0.3">
      <c r="A336">
        <f t="shared" si="59"/>
        <v>500</v>
      </c>
      <c r="B336" s="2">
        <f t="shared" si="57"/>
        <v>30.880099999649246</v>
      </c>
      <c r="C336" s="2">
        <f t="shared" si="63"/>
        <v>0.21707999999999572</v>
      </c>
      <c r="D336" s="2">
        <f t="shared" si="61"/>
        <v>6.9359776999999667</v>
      </c>
      <c r="E336" s="2"/>
      <c r="F336">
        <v>2912.5395076999998</v>
      </c>
      <c r="G336">
        <v>204.75</v>
      </c>
      <c r="H336">
        <v>48.75</v>
      </c>
      <c r="I336">
        <v>206.34899999999999</v>
      </c>
      <c r="J336">
        <v>46.915999999999997</v>
      </c>
      <c r="K336">
        <v>201.423188571428</v>
      </c>
      <c r="L336">
        <v>46.507337142857097</v>
      </c>
      <c r="M336">
        <v>91.262257122848098</v>
      </c>
      <c r="N336">
        <v>0.05</v>
      </c>
      <c r="O336">
        <v>0</v>
      </c>
      <c r="P336">
        <v>0</v>
      </c>
      <c r="Q336">
        <v>0</v>
      </c>
      <c r="R336">
        <v>0.26276766967773402</v>
      </c>
      <c r="S336">
        <v>9.7784408569335901E-2</v>
      </c>
      <c r="T336">
        <v>0</v>
      </c>
      <c r="U336">
        <v>165.589</v>
      </c>
      <c r="V336">
        <v>-1.1830000000000001</v>
      </c>
      <c r="W336">
        <v>-7.6999999999999999E-2</v>
      </c>
      <c r="X336">
        <v>0.749</v>
      </c>
      <c r="Y336" t="b">
        <v>1</v>
      </c>
      <c r="Z336">
        <v>78</v>
      </c>
      <c r="AA336">
        <f t="shared" si="60"/>
        <v>26.276766967773401</v>
      </c>
      <c r="AB336">
        <f t="shared" si="58"/>
        <v>62.167100891586074</v>
      </c>
      <c r="AC336">
        <f t="shared" si="62"/>
        <v>7.0297699813945371</v>
      </c>
    </row>
    <row r="337" spans="1:29" x14ac:dyDescent="0.3">
      <c r="A337">
        <f t="shared" si="59"/>
        <v>500</v>
      </c>
      <c r="B337" s="2">
        <f t="shared" si="57"/>
        <v>46.680300000389252</v>
      </c>
      <c r="C337" s="2">
        <f t="shared" si="63"/>
        <v>9.8485714285700965E-2</v>
      </c>
      <c r="D337" s="2">
        <f t="shared" si="61"/>
        <v>6.982658000000356</v>
      </c>
      <c r="E337" s="2"/>
      <c r="F337">
        <v>2912.5861880000002</v>
      </c>
      <c r="G337">
        <v>208.92857142857099</v>
      </c>
      <c r="H337">
        <v>47.357142857142797</v>
      </c>
      <c r="I337">
        <v>206.960571428571</v>
      </c>
      <c r="J337">
        <v>43.558142857142798</v>
      </c>
      <c r="K337">
        <v>201.867171428571</v>
      </c>
      <c r="L337">
        <v>46.605822857142797</v>
      </c>
      <c r="M337">
        <v>91.824450353402497</v>
      </c>
      <c r="N337">
        <v>0.05</v>
      </c>
      <c r="O337">
        <v>0</v>
      </c>
      <c r="P337">
        <v>0</v>
      </c>
      <c r="Q337">
        <v>0</v>
      </c>
      <c r="R337">
        <v>0.26902346801757798</v>
      </c>
      <c r="S337">
        <v>8.8378044128417904E-2</v>
      </c>
      <c r="T337">
        <v>0</v>
      </c>
      <c r="U337">
        <v>165.602</v>
      </c>
      <c r="V337">
        <v>-1.2509999999999999</v>
      </c>
      <c r="W337">
        <v>-8.6999999999999994E-2</v>
      </c>
      <c r="X337">
        <v>0.75</v>
      </c>
      <c r="Y337" t="b">
        <v>1</v>
      </c>
      <c r="Z337">
        <v>78</v>
      </c>
      <c r="AA337">
        <f t="shared" si="60"/>
        <v>26.902346801757798</v>
      </c>
      <c r="AB337">
        <f t="shared" si="58"/>
        <v>63.393708256682054</v>
      </c>
      <c r="AC337">
        <f t="shared" si="62"/>
        <v>2.109791802642222</v>
      </c>
    </row>
    <row r="338" spans="1:29" x14ac:dyDescent="0.3">
      <c r="A338">
        <f t="shared" si="59"/>
        <v>500</v>
      </c>
      <c r="B338" s="2">
        <f t="shared" si="57"/>
        <v>31.220099999700324</v>
      </c>
      <c r="C338" s="2">
        <f t="shared" si="63"/>
        <v>0.20660000000000167</v>
      </c>
      <c r="D338" s="2">
        <f t="shared" si="61"/>
        <v>7.0138781000000563</v>
      </c>
      <c r="E338" s="2"/>
      <c r="F338">
        <v>2912.6174080999999</v>
      </c>
      <c r="G338">
        <v>214.5</v>
      </c>
      <c r="H338">
        <v>48.75</v>
      </c>
      <c r="I338">
        <v>207.489</v>
      </c>
      <c r="J338">
        <v>45.868000000000002</v>
      </c>
      <c r="K338">
        <v>202.31753142857099</v>
      </c>
      <c r="L338">
        <v>46.812422857142799</v>
      </c>
      <c r="M338">
        <v>92.331577966495502</v>
      </c>
      <c r="N338">
        <v>0.05</v>
      </c>
      <c r="O338">
        <v>0</v>
      </c>
      <c r="P338">
        <v>0</v>
      </c>
      <c r="Q338">
        <v>0</v>
      </c>
      <c r="R338">
        <v>0.26902346801757798</v>
      </c>
      <c r="S338">
        <v>8.8378044128417904E-2</v>
      </c>
      <c r="T338">
        <v>0</v>
      </c>
      <c r="U338">
        <v>165.602</v>
      </c>
      <c r="V338">
        <v>-1.2509999999999999</v>
      </c>
      <c r="W338">
        <v>-8.6999999999999994E-2</v>
      </c>
      <c r="X338">
        <v>0.75</v>
      </c>
      <c r="Y338" t="b">
        <v>1</v>
      </c>
      <c r="Z338">
        <v>78</v>
      </c>
      <c r="AA338">
        <f t="shared" si="60"/>
        <v>26.902346801757798</v>
      </c>
      <c r="AB338">
        <f t="shared" si="58"/>
        <v>64.233602214059545</v>
      </c>
      <c r="AC338">
        <f t="shared" si="62"/>
        <v>6.6175316543503957</v>
      </c>
    </row>
    <row r="339" spans="1:29" x14ac:dyDescent="0.3">
      <c r="A339">
        <f t="shared" si="59"/>
        <v>500</v>
      </c>
      <c r="B339" s="2">
        <f t="shared" si="57"/>
        <v>31.788000000233296</v>
      </c>
      <c r="C339" s="2">
        <f t="shared" si="63"/>
        <v>0.19087999999999994</v>
      </c>
      <c r="D339" s="2">
        <f t="shared" si="61"/>
        <v>7.0456661000002896</v>
      </c>
      <c r="E339" s="2"/>
      <c r="F339">
        <v>2912.6491961000002</v>
      </c>
      <c r="G339">
        <v>214.5</v>
      </c>
      <c r="H339">
        <v>48.75</v>
      </c>
      <c r="I339">
        <v>208.35</v>
      </c>
      <c r="J339">
        <v>45.082000000000001</v>
      </c>
      <c r="K339">
        <v>202.777731428571</v>
      </c>
      <c r="L339">
        <v>47.003302857142799</v>
      </c>
      <c r="M339">
        <v>92.820773768074702</v>
      </c>
      <c r="N339">
        <v>0.05</v>
      </c>
      <c r="O339">
        <v>0</v>
      </c>
      <c r="P339">
        <v>0</v>
      </c>
      <c r="Q339">
        <v>0</v>
      </c>
      <c r="R339">
        <v>0.26902346801757798</v>
      </c>
      <c r="S339">
        <v>8.8378044128417904E-2</v>
      </c>
      <c r="T339">
        <v>0</v>
      </c>
      <c r="U339">
        <v>165.602</v>
      </c>
      <c r="V339">
        <v>-1.2509999999999999</v>
      </c>
      <c r="W339">
        <v>-8.6999999999999994E-2</v>
      </c>
      <c r="X339">
        <v>0.75</v>
      </c>
      <c r="Y339" t="b">
        <v>1</v>
      </c>
      <c r="Z339">
        <v>78</v>
      </c>
      <c r="AA339">
        <f t="shared" si="60"/>
        <v>26.902346801757798</v>
      </c>
      <c r="AB339">
        <f t="shared" si="58"/>
        <v>65.088774014200098</v>
      </c>
      <c r="AC339">
        <f t="shared" si="62"/>
        <v>6.0047816785767916</v>
      </c>
    </row>
    <row r="340" spans="1:29" x14ac:dyDescent="0.3">
      <c r="A340">
        <f t="shared" si="59"/>
        <v>500</v>
      </c>
      <c r="B340" s="2">
        <f t="shared" si="57"/>
        <v>30.830400000013469</v>
      </c>
      <c r="C340" s="2">
        <f t="shared" si="63"/>
        <v>0.34748000000000445</v>
      </c>
      <c r="D340" s="2">
        <f t="shared" si="61"/>
        <v>7.0764965000003031</v>
      </c>
      <c r="E340" s="2"/>
      <c r="F340">
        <v>2912.6800265000002</v>
      </c>
      <c r="G340">
        <v>218.4</v>
      </c>
      <c r="H340">
        <v>50.7</v>
      </c>
      <c r="I340">
        <v>209.05199999999999</v>
      </c>
      <c r="J340">
        <v>48.341999999999999</v>
      </c>
      <c r="K340">
        <v>203.24141142857101</v>
      </c>
      <c r="L340">
        <v>47.350782857142804</v>
      </c>
      <c r="M340">
        <v>93.450366257468403</v>
      </c>
      <c r="N340">
        <v>0.05</v>
      </c>
      <c r="O340">
        <v>0</v>
      </c>
      <c r="P340">
        <v>0</v>
      </c>
      <c r="Q340">
        <v>0</v>
      </c>
      <c r="R340">
        <v>0.29290972900390599</v>
      </c>
      <c r="S340">
        <v>9.0915763854980403E-2</v>
      </c>
      <c r="T340">
        <v>0</v>
      </c>
      <c r="U340">
        <v>165.57599999999999</v>
      </c>
      <c r="V340">
        <v>-1.3380000000000001</v>
      </c>
      <c r="W340">
        <v>2.1999999999999999E-2</v>
      </c>
      <c r="X340">
        <v>0.752</v>
      </c>
      <c r="Y340" t="b">
        <v>1</v>
      </c>
      <c r="Z340">
        <v>78</v>
      </c>
      <c r="AA340">
        <f t="shared" si="60"/>
        <v>29.290972900390599</v>
      </c>
      <c r="AB340">
        <f t="shared" si="58"/>
        <v>65.918184127037378</v>
      </c>
      <c r="AC340">
        <f t="shared" si="62"/>
        <v>11.270693860600337</v>
      </c>
    </row>
    <row r="341" spans="1:29" x14ac:dyDescent="0.3">
      <c r="A341">
        <f t="shared" si="59"/>
        <v>500</v>
      </c>
      <c r="B341" s="2">
        <f t="shared" si="57"/>
        <v>15.358699999978853</v>
      </c>
      <c r="C341" s="2">
        <f t="shared" si="63"/>
        <v>0.57975999999999317</v>
      </c>
      <c r="D341" s="2">
        <f t="shared" si="61"/>
        <v>7.0918552000002819</v>
      </c>
      <c r="E341" s="2"/>
      <c r="F341">
        <v>2912.6953852000001</v>
      </c>
      <c r="G341">
        <v>219.375</v>
      </c>
      <c r="H341">
        <v>53.625</v>
      </c>
      <c r="I341">
        <v>209.78100000000001</v>
      </c>
      <c r="J341">
        <v>53.494</v>
      </c>
      <c r="K341">
        <v>203.71457142857099</v>
      </c>
      <c r="L341">
        <v>47.930542857142797</v>
      </c>
      <c r="M341">
        <v>94.168068730738995</v>
      </c>
      <c r="N341">
        <v>0.05</v>
      </c>
      <c r="O341">
        <v>0</v>
      </c>
      <c r="P341">
        <v>0</v>
      </c>
      <c r="Q341">
        <v>0</v>
      </c>
      <c r="R341">
        <v>0.32533969116210898</v>
      </c>
      <c r="S341">
        <v>6.3470172882079998E-2</v>
      </c>
      <c r="T341">
        <v>0</v>
      </c>
      <c r="U341">
        <v>165.44</v>
      </c>
      <c r="V341">
        <v>-1.3440000000000001</v>
      </c>
      <c r="W341">
        <v>0.02</v>
      </c>
      <c r="X341">
        <v>0.753</v>
      </c>
      <c r="Y341" t="b">
        <v>1</v>
      </c>
      <c r="Z341">
        <v>78</v>
      </c>
      <c r="AA341">
        <f t="shared" si="60"/>
        <v>32.533969116210898</v>
      </c>
      <c r="AB341">
        <f t="shared" si="58"/>
        <v>66.368055392521981</v>
      </c>
      <c r="AC341">
        <f t="shared" si="62"/>
        <v>37.747986483282531</v>
      </c>
    </row>
    <row r="342" spans="1:29" x14ac:dyDescent="0.3">
      <c r="A342">
        <f t="shared" si="59"/>
        <v>500</v>
      </c>
      <c r="B342" s="2">
        <f t="shared" ref="B342:B405" si="64">(F342-F341)*1000</f>
        <v>45.819199999641569</v>
      </c>
      <c r="C342" s="2">
        <f t="shared" si="63"/>
        <v>0.95816000000000656</v>
      </c>
      <c r="D342" s="2">
        <f t="shared" si="61"/>
        <v>7.1376743999999235</v>
      </c>
      <c r="E342" s="2"/>
      <c r="F342">
        <v>2912.7412043999998</v>
      </c>
      <c r="G342">
        <v>214.5</v>
      </c>
      <c r="H342">
        <v>58.5</v>
      </c>
      <c r="I342">
        <v>210.81</v>
      </c>
      <c r="J342">
        <v>62.167999999999999</v>
      </c>
      <c r="K342">
        <v>204.209211428571</v>
      </c>
      <c r="L342">
        <v>48.888702857142803</v>
      </c>
      <c r="M342">
        <v>95.527738525486399</v>
      </c>
      <c r="N342">
        <v>0.05</v>
      </c>
      <c r="O342">
        <v>0</v>
      </c>
      <c r="P342">
        <v>0</v>
      </c>
      <c r="Q342">
        <v>0</v>
      </c>
      <c r="R342">
        <v>0.32533969116210898</v>
      </c>
      <c r="S342">
        <v>6.3470172882079998E-2</v>
      </c>
      <c r="T342">
        <v>0</v>
      </c>
      <c r="U342">
        <v>165.44</v>
      </c>
      <c r="V342">
        <v>-1.3440000000000001</v>
      </c>
      <c r="W342">
        <v>0.02</v>
      </c>
      <c r="X342">
        <v>0.753</v>
      </c>
      <c r="Y342" t="b">
        <v>1</v>
      </c>
      <c r="Z342">
        <v>78</v>
      </c>
      <c r="AA342">
        <f t="shared" si="60"/>
        <v>32.533969116210898</v>
      </c>
      <c r="AB342">
        <f t="shared" si="58"/>
        <v>67.858735830239809</v>
      </c>
      <c r="AC342">
        <f t="shared" si="62"/>
        <v>20.911757516663364</v>
      </c>
    </row>
    <row r="343" spans="1:29" x14ac:dyDescent="0.3">
      <c r="A343">
        <f t="shared" si="59"/>
        <v>500</v>
      </c>
      <c r="B343" s="2">
        <f t="shared" si="64"/>
        <v>31.271100000139995</v>
      </c>
      <c r="C343" s="2">
        <f t="shared" si="63"/>
        <v>0.97387999999999408</v>
      </c>
      <c r="D343" s="2">
        <f t="shared" si="61"/>
        <v>7.1689455000000635</v>
      </c>
      <c r="E343" s="2"/>
      <c r="F343">
        <v>2912.7724754999999</v>
      </c>
      <c r="G343">
        <v>214.5</v>
      </c>
      <c r="H343">
        <v>58.5</v>
      </c>
      <c r="I343">
        <v>211.05600000000001</v>
      </c>
      <c r="J343">
        <v>61.643999999999998</v>
      </c>
      <c r="K343">
        <v>204.694011428571</v>
      </c>
      <c r="L343">
        <v>49.862582857142797</v>
      </c>
      <c r="M343">
        <v>96.767246787477902</v>
      </c>
      <c r="N343">
        <v>0.05</v>
      </c>
      <c r="O343">
        <v>0</v>
      </c>
      <c r="P343">
        <v>0</v>
      </c>
      <c r="Q343">
        <v>0</v>
      </c>
      <c r="R343">
        <v>0.34375671386718698</v>
      </c>
      <c r="S343">
        <v>6.1980171203613203E-2</v>
      </c>
      <c r="T343">
        <v>0</v>
      </c>
      <c r="U343">
        <v>165.39500000000001</v>
      </c>
      <c r="V343">
        <v>-1.137</v>
      </c>
      <c r="W343">
        <v>0.191</v>
      </c>
      <c r="X343">
        <v>0.754</v>
      </c>
      <c r="Y343" t="b">
        <v>1</v>
      </c>
      <c r="Z343">
        <v>78</v>
      </c>
      <c r="AA343">
        <f t="shared" si="60"/>
        <v>34.3756713867187</v>
      </c>
      <c r="AB343">
        <f t="shared" si="58"/>
        <v>68.876108831874305</v>
      </c>
      <c r="AC343">
        <f t="shared" si="62"/>
        <v>31.143132157027868</v>
      </c>
    </row>
    <row r="344" spans="1:29" x14ac:dyDescent="0.3">
      <c r="A344">
        <f t="shared" si="59"/>
        <v>500</v>
      </c>
      <c r="B344" s="2">
        <f t="shared" si="64"/>
        <v>30.493600000227161</v>
      </c>
      <c r="C344" s="2">
        <f t="shared" si="63"/>
        <v>0.97388000000000119</v>
      </c>
      <c r="D344" s="2">
        <f t="shared" si="61"/>
        <v>7.1994391000002906</v>
      </c>
      <c r="E344" s="2"/>
      <c r="F344">
        <v>2912.8029691000002</v>
      </c>
      <c r="G344">
        <v>214.5</v>
      </c>
      <c r="H344">
        <v>58.5</v>
      </c>
      <c r="I344">
        <v>211.42500000000001</v>
      </c>
      <c r="J344">
        <v>60.595999999999997</v>
      </c>
      <c r="K344">
        <v>205.17881142857101</v>
      </c>
      <c r="L344">
        <v>50.836462857142799</v>
      </c>
      <c r="M344">
        <v>97.993776965817403</v>
      </c>
      <c r="N344">
        <v>0.05</v>
      </c>
      <c r="O344">
        <v>0</v>
      </c>
      <c r="P344">
        <v>0</v>
      </c>
      <c r="Q344">
        <v>0</v>
      </c>
      <c r="R344">
        <v>0.34375671386718698</v>
      </c>
      <c r="S344">
        <v>6.1980171203613203E-2</v>
      </c>
      <c r="T344">
        <v>0</v>
      </c>
      <c r="U344">
        <v>165.39500000000001</v>
      </c>
      <c r="V344">
        <v>-1.137</v>
      </c>
      <c r="W344">
        <v>0.191</v>
      </c>
      <c r="X344">
        <v>0.754</v>
      </c>
      <c r="Y344" t="b">
        <v>1</v>
      </c>
      <c r="Z344">
        <v>78</v>
      </c>
      <c r="AA344">
        <f t="shared" si="60"/>
        <v>34.3756713867187</v>
      </c>
      <c r="AB344">
        <f t="shared" si="58"/>
        <v>69.924346804880159</v>
      </c>
      <c r="AC344">
        <f t="shared" si="62"/>
        <v>31.937193378044778</v>
      </c>
    </row>
    <row r="345" spans="1:29" x14ac:dyDescent="0.3">
      <c r="A345">
        <f t="shared" si="59"/>
        <v>500</v>
      </c>
      <c r="B345" s="2">
        <f t="shared" si="64"/>
        <v>30.937300000005052</v>
      </c>
      <c r="C345" s="2">
        <f t="shared" si="63"/>
        <v>0.5745199999999997</v>
      </c>
      <c r="D345" s="2">
        <f t="shared" si="61"/>
        <v>7.2303764000002957</v>
      </c>
      <c r="E345" s="2"/>
      <c r="F345">
        <v>2912.8339064000002</v>
      </c>
      <c r="G345">
        <v>214.5</v>
      </c>
      <c r="H345">
        <v>58.5</v>
      </c>
      <c r="I345">
        <v>211.67099999999999</v>
      </c>
      <c r="J345">
        <v>59.548000000000002</v>
      </c>
      <c r="K345">
        <v>205.64705142857099</v>
      </c>
      <c r="L345">
        <v>51.410982857142798</v>
      </c>
      <c r="M345">
        <v>98.818350194408794</v>
      </c>
      <c r="N345">
        <v>0.05</v>
      </c>
      <c r="O345">
        <v>0</v>
      </c>
      <c r="P345">
        <v>0</v>
      </c>
      <c r="Q345">
        <v>0</v>
      </c>
      <c r="R345">
        <v>0.34375671386718698</v>
      </c>
      <c r="S345">
        <v>6.1980171203613203E-2</v>
      </c>
      <c r="T345">
        <v>0</v>
      </c>
      <c r="U345">
        <v>165.39500000000001</v>
      </c>
      <c r="V345">
        <v>-1.137</v>
      </c>
      <c r="W345">
        <v>0.191</v>
      </c>
      <c r="X345">
        <v>0.754</v>
      </c>
      <c r="Y345" t="b">
        <v>1</v>
      </c>
      <c r="Z345">
        <v>78</v>
      </c>
      <c r="AA345">
        <f t="shared" si="60"/>
        <v>34.3756713867187</v>
      </c>
      <c r="AB345">
        <f t="shared" si="58"/>
        <v>70.987837263272667</v>
      </c>
      <c r="AC345">
        <f t="shared" si="62"/>
        <v>18.570463485821513</v>
      </c>
    </row>
    <row r="346" spans="1:29" x14ac:dyDescent="0.3">
      <c r="A346">
        <f t="shared" si="59"/>
        <v>500</v>
      </c>
      <c r="B346" s="2">
        <f t="shared" si="64"/>
        <v>30.641599999853497</v>
      </c>
      <c r="C346" s="2">
        <f t="shared" si="63"/>
        <v>0.33176000000000272</v>
      </c>
      <c r="D346" s="2">
        <f t="shared" si="61"/>
        <v>7.2610180000001492</v>
      </c>
      <c r="E346" s="2"/>
      <c r="F346">
        <v>2912.864548</v>
      </c>
      <c r="G346">
        <v>214.5</v>
      </c>
      <c r="H346">
        <v>58.5</v>
      </c>
      <c r="I346">
        <v>212.04</v>
      </c>
      <c r="J346">
        <v>58.5</v>
      </c>
      <c r="K346">
        <v>206.115651428571</v>
      </c>
      <c r="L346">
        <v>51.742742857142801</v>
      </c>
      <c r="M346">
        <v>99.391697540452498</v>
      </c>
      <c r="N346">
        <v>0.05</v>
      </c>
      <c r="O346">
        <v>0</v>
      </c>
      <c r="P346">
        <v>0</v>
      </c>
      <c r="Q346">
        <v>0</v>
      </c>
      <c r="R346">
        <v>0.34278887939453101</v>
      </c>
      <c r="S346">
        <v>8.8527793884277298E-2</v>
      </c>
      <c r="T346">
        <v>0</v>
      </c>
      <c r="U346">
        <v>165.50700000000001</v>
      </c>
      <c r="V346">
        <v>-0.94399999999999995</v>
      </c>
      <c r="W346">
        <v>0.27100000000000002</v>
      </c>
      <c r="X346">
        <v>0.75600000000000001</v>
      </c>
      <c r="Y346" t="b">
        <v>1</v>
      </c>
      <c r="Z346">
        <v>78</v>
      </c>
      <c r="AA346">
        <f t="shared" si="60"/>
        <v>34.278887939453099</v>
      </c>
      <c r="AB346">
        <f t="shared" si="58"/>
        <v>72.041162835630914</v>
      </c>
      <c r="AC346">
        <f t="shared" si="62"/>
        <v>10.827110855881838</v>
      </c>
    </row>
    <row r="347" spans="1:29" x14ac:dyDescent="0.3">
      <c r="A347">
        <f t="shared" si="59"/>
        <v>500</v>
      </c>
      <c r="B347" s="2">
        <f t="shared" si="64"/>
        <v>30.382800000097632</v>
      </c>
      <c r="C347" s="2">
        <f t="shared" si="63"/>
        <v>0.18039999999999878</v>
      </c>
      <c r="D347" s="2">
        <f t="shared" si="61"/>
        <v>7.2914008000002468</v>
      </c>
      <c r="E347" s="2"/>
      <c r="F347">
        <v>2912.8949308000001</v>
      </c>
      <c r="G347">
        <v>214.5</v>
      </c>
      <c r="H347">
        <v>58.5</v>
      </c>
      <c r="I347">
        <v>212.286</v>
      </c>
      <c r="J347">
        <v>57.320999999999998</v>
      </c>
      <c r="K347">
        <v>206.56601142857099</v>
      </c>
      <c r="L347">
        <v>51.9231428571428</v>
      </c>
      <c r="M347">
        <v>99.805819967887899</v>
      </c>
      <c r="N347">
        <v>0.05</v>
      </c>
      <c r="O347">
        <v>0</v>
      </c>
      <c r="P347">
        <v>0</v>
      </c>
      <c r="Q347">
        <v>0</v>
      </c>
      <c r="R347">
        <v>0.34278887939453101</v>
      </c>
      <c r="S347">
        <v>8.8527793884277298E-2</v>
      </c>
      <c r="T347">
        <v>0</v>
      </c>
      <c r="U347">
        <v>165.50700000000001</v>
      </c>
      <c r="V347">
        <v>-0.94399999999999995</v>
      </c>
      <c r="W347">
        <v>0.27100000000000002</v>
      </c>
      <c r="X347">
        <v>0.75600000000000001</v>
      </c>
      <c r="Y347" t="b">
        <v>1</v>
      </c>
      <c r="Z347">
        <v>78</v>
      </c>
      <c r="AA347">
        <f t="shared" si="60"/>
        <v>34.278887939453099</v>
      </c>
      <c r="AB347">
        <f t="shared" si="58"/>
        <v>73.082651432121082</v>
      </c>
      <c r="AC347">
        <f t="shared" si="62"/>
        <v>5.9375699408684879</v>
      </c>
    </row>
    <row r="348" spans="1:29" x14ac:dyDescent="0.3">
      <c r="A348">
        <f t="shared" si="59"/>
        <v>500</v>
      </c>
      <c r="B348" s="2">
        <f t="shared" si="64"/>
        <v>30.798499999946216</v>
      </c>
      <c r="C348" s="2">
        <f t="shared" si="63"/>
        <v>3.0365714285700562E-2</v>
      </c>
      <c r="D348" s="2">
        <f t="shared" si="61"/>
        <v>7.322199300000193</v>
      </c>
      <c r="E348" s="2"/>
      <c r="F348">
        <v>2912.9257293000001</v>
      </c>
      <c r="G348">
        <v>214.5</v>
      </c>
      <c r="H348">
        <v>58.5</v>
      </c>
      <c r="I348">
        <v>212.655</v>
      </c>
      <c r="J348">
        <v>56.272999999999897</v>
      </c>
      <c r="K348">
        <v>207.01983428571401</v>
      </c>
      <c r="L348">
        <v>51.9535085714285</v>
      </c>
      <c r="M348">
        <v>100.067330951035</v>
      </c>
      <c r="N348">
        <v>0.05</v>
      </c>
      <c r="O348">
        <v>0</v>
      </c>
      <c r="P348">
        <v>0</v>
      </c>
      <c r="Q348">
        <v>0</v>
      </c>
      <c r="R348">
        <v>0.34921343994140602</v>
      </c>
      <c r="S348">
        <v>0.11253577423095699</v>
      </c>
      <c r="T348">
        <v>0</v>
      </c>
      <c r="U348">
        <v>165.608</v>
      </c>
      <c r="V348">
        <v>-0.91700000000000004</v>
      </c>
      <c r="W348">
        <v>0.27100000000000002</v>
      </c>
      <c r="X348">
        <v>0.75700000000000001</v>
      </c>
      <c r="Y348" t="b">
        <v>1</v>
      </c>
      <c r="Z348">
        <v>78</v>
      </c>
      <c r="AA348">
        <f t="shared" si="60"/>
        <v>34.921343994140599</v>
      </c>
      <c r="AB348">
        <f t="shared" si="58"/>
        <v>74.13838976232249</v>
      </c>
      <c r="AC348">
        <f t="shared" si="62"/>
        <v>0.98594783141236064</v>
      </c>
    </row>
    <row r="349" spans="1:29" x14ac:dyDescent="0.3">
      <c r="A349">
        <f t="shared" si="59"/>
        <v>500</v>
      </c>
      <c r="B349" s="2">
        <f t="shared" si="64"/>
        <v>46.301699999730772</v>
      </c>
      <c r="C349" s="2">
        <f t="shared" si="63"/>
        <v>3.560571428570114E-2</v>
      </c>
      <c r="D349" s="2">
        <f t="shared" si="61"/>
        <v>7.3685009999999238</v>
      </c>
      <c r="E349" s="2"/>
      <c r="F349">
        <v>2912.9720309999998</v>
      </c>
      <c r="G349">
        <v>214.5</v>
      </c>
      <c r="H349">
        <v>58.5</v>
      </c>
      <c r="I349">
        <v>213.024</v>
      </c>
      <c r="J349">
        <v>55.094000000000001</v>
      </c>
      <c r="K349">
        <v>207.46381714285701</v>
      </c>
      <c r="L349">
        <v>51.989114285714201</v>
      </c>
      <c r="M349">
        <v>100.439805170339</v>
      </c>
      <c r="N349">
        <v>0.05</v>
      </c>
      <c r="O349">
        <v>0</v>
      </c>
      <c r="P349">
        <v>0</v>
      </c>
      <c r="Q349">
        <v>0</v>
      </c>
      <c r="R349">
        <v>0.36979653930664003</v>
      </c>
      <c r="S349">
        <v>9.3062217712402306E-2</v>
      </c>
      <c r="T349">
        <v>0</v>
      </c>
      <c r="U349">
        <v>165.50899999999999</v>
      </c>
      <c r="V349">
        <v>-0.96399999999999997</v>
      </c>
      <c r="W349">
        <v>4.9000000000000002E-2</v>
      </c>
      <c r="X349">
        <v>0.76100000000000001</v>
      </c>
      <c r="Y349" t="b">
        <v>1</v>
      </c>
      <c r="Z349">
        <v>78</v>
      </c>
      <c r="AA349">
        <f t="shared" si="60"/>
        <v>36.979653930664</v>
      </c>
      <c r="AB349">
        <f t="shared" si="58"/>
        <v>75.755307355526583</v>
      </c>
      <c r="AC349">
        <f t="shared" si="62"/>
        <v>0.76899367163426346</v>
      </c>
    </row>
    <row r="350" spans="1:29" x14ac:dyDescent="0.3">
      <c r="A350">
        <f t="shared" si="59"/>
        <v>500</v>
      </c>
      <c r="B350" s="2">
        <f t="shared" si="64"/>
        <v>30.951000000186468</v>
      </c>
      <c r="C350" s="2">
        <f t="shared" si="63"/>
        <v>0.64628571428579562</v>
      </c>
      <c r="D350" s="2">
        <f t="shared" si="61"/>
        <v>7.3994520000001103</v>
      </c>
      <c r="E350" s="2"/>
      <c r="F350">
        <v>2913.002982</v>
      </c>
      <c r="G350">
        <v>210.6</v>
      </c>
      <c r="H350">
        <v>66.3</v>
      </c>
      <c r="I350">
        <v>213.55199999999999</v>
      </c>
      <c r="J350">
        <v>69.837000000000003</v>
      </c>
      <c r="K350">
        <v>207.91416000000001</v>
      </c>
      <c r="L350">
        <v>52.635399999999997</v>
      </c>
      <c r="M350">
        <v>101.304359569401</v>
      </c>
      <c r="N350">
        <v>0.05</v>
      </c>
      <c r="O350">
        <v>0</v>
      </c>
      <c r="P350">
        <v>0</v>
      </c>
      <c r="Q350">
        <v>0</v>
      </c>
      <c r="R350">
        <v>0.36979653930664003</v>
      </c>
      <c r="S350">
        <v>9.3062217712402306E-2</v>
      </c>
      <c r="T350">
        <v>0</v>
      </c>
      <c r="U350">
        <v>165.50899999999999</v>
      </c>
      <c r="V350">
        <v>-0.96399999999999997</v>
      </c>
      <c r="W350">
        <v>4.9000000000000002E-2</v>
      </c>
      <c r="X350">
        <v>0.76100000000000001</v>
      </c>
      <c r="Y350" t="b">
        <v>1</v>
      </c>
      <c r="Z350">
        <v>78</v>
      </c>
      <c r="AA350">
        <f t="shared" si="60"/>
        <v>36.979653930664</v>
      </c>
      <c r="AB350">
        <f t="shared" si="58"/>
        <v>76.899864624341461</v>
      </c>
      <c r="AC350">
        <f t="shared" si="62"/>
        <v>20.88093161067177</v>
      </c>
    </row>
    <row r="351" spans="1:29" x14ac:dyDescent="0.3">
      <c r="A351">
        <f t="shared" si="59"/>
        <v>500</v>
      </c>
      <c r="B351" s="2">
        <f t="shared" si="64"/>
        <v>30.175899999903777</v>
      </c>
      <c r="C351" s="2">
        <f t="shared" si="63"/>
        <v>0.78716571428570603</v>
      </c>
      <c r="D351" s="2">
        <f t="shared" si="61"/>
        <v>7.4296279000000141</v>
      </c>
      <c r="E351" s="2"/>
      <c r="F351">
        <v>2913.0331578999999</v>
      </c>
      <c r="G351">
        <v>214.5</v>
      </c>
      <c r="H351">
        <v>68.25</v>
      </c>
      <c r="I351">
        <v>213.88499999999999</v>
      </c>
      <c r="J351">
        <v>72.834999999999994</v>
      </c>
      <c r="K351">
        <v>208.35814285714201</v>
      </c>
      <c r="L351">
        <v>53.422565714285703</v>
      </c>
      <c r="M351">
        <v>102.29914495545199</v>
      </c>
      <c r="N351">
        <v>0.05</v>
      </c>
      <c r="O351">
        <v>0</v>
      </c>
      <c r="P351">
        <v>0</v>
      </c>
      <c r="Q351">
        <v>0</v>
      </c>
      <c r="R351">
        <v>0.36979653930664003</v>
      </c>
      <c r="S351">
        <v>9.3062217712402306E-2</v>
      </c>
      <c r="T351">
        <v>0</v>
      </c>
      <c r="U351">
        <v>165.50899999999999</v>
      </c>
      <c r="V351">
        <v>-0.96399999999999997</v>
      </c>
      <c r="W351">
        <v>4.9000000000000002E-2</v>
      </c>
      <c r="X351">
        <v>0.76100000000000001</v>
      </c>
      <c r="Y351" t="b">
        <v>1</v>
      </c>
      <c r="Z351">
        <v>78</v>
      </c>
      <c r="AA351">
        <f t="shared" si="60"/>
        <v>36.979653930664</v>
      </c>
      <c r="AB351">
        <f t="shared" si="58"/>
        <v>78.015758963384229</v>
      </c>
      <c r="AC351">
        <f t="shared" si="62"/>
        <v>26.085906776209363</v>
      </c>
    </row>
    <row r="352" spans="1:29" x14ac:dyDescent="0.3">
      <c r="A352">
        <f t="shared" si="59"/>
        <v>500</v>
      </c>
      <c r="B352" s="2">
        <f t="shared" si="64"/>
        <v>30.825499999991735</v>
      </c>
      <c r="C352" s="2">
        <f t="shared" si="63"/>
        <v>0.86383999999999617</v>
      </c>
      <c r="D352" s="2">
        <f t="shared" si="61"/>
        <v>7.4604534000000058</v>
      </c>
      <c r="E352" s="2"/>
      <c r="F352">
        <v>2913.0639833999999</v>
      </c>
      <c r="G352">
        <v>214.5</v>
      </c>
      <c r="H352">
        <v>68.25</v>
      </c>
      <c r="I352">
        <v>214.25399999999999</v>
      </c>
      <c r="J352">
        <v>71.656000000000006</v>
      </c>
      <c r="K352">
        <v>208.80718285714201</v>
      </c>
      <c r="L352">
        <v>54.286405714285699</v>
      </c>
      <c r="M352">
        <v>103.36991946835001</v>
      </c>
      <c r="N352">
        <v>0.05</v>
      </c>
      <c r="O352">
        <v>0</v>
      </c>
      <c r="P352">
        <v>0</v>
      </c>
      <c r="Q352">
        <v>0</v>
      </c>
      <c r="R352">
        <v>0.36632604980468703</v>
      </c>
      <c r="S352">
        <v>9.7222511291503902E-2</v>
      </c>
      <c r="T352">
        <v>0</v>
      </c>
      <c r="U352">
        <v>165.56</v>
      </c>
      <c r="V352">
        <v>-0.88100000000000001</v>
      </c>
      <c r="W352">
        <v>0.19500000000000001</v>
      </c>
      <c r="X352">
        <v>0.76200000000000001</v>
      </c>
      <c r="Y352" t="b">
        <v>1</v>
      </c>
      <c r="Z352">
        <v>78</v>
      </c>
      <c r="AA352">
        <f t="shared" si="60"/>
        <v>36.632604980468706</v>
      </c>
      <c r="AB352">
        <f t="shared" si="58"/>
        <v>79.155675285623602</v>
      </c>
      <c r="AC352">
        <f t="shared" si="62"/>
        <v>28.023551929416485</v>
      </c>
    </row>
    <row r="353" spans="1:29" x14ac:dyDescent="0.3">
      <c r="A353">
        <f t="shared" si="59"/>
        <v>500</v>
      </c>
      <c r="B353" s="2">
        <f t="shared" si="64"/>
        <v>30.688199999985954</v>
      </c>
      <c r="C353" s="2">
        <f t="shared" si="63"/>
        <v>0.81667999999999807</v>
      </c>
      <c r="D353" s="2">
        <f t="shared" si="61"/>
        <v>7.4911415999999917</v>
      </c>
      <c r="E353" s="2"/>
      <c r="F353">
        <v>2913.0946715999999</v>
      </c>
      <c r="G353">
        <v>214.5</v>
      </c>
      <c r="H353">
        <v>68.25</v>
      </c>
      <c r="I353">
        <v>214.37700000000001</v>
      </c>
      <c r="J353">
        <v>70.215000000000003</v>
      </c>
      <c r="K353">
        <v>209.25622285714201</v>
      </c>
      <c r="L353">
        <v>55.103085714285697</v>
      </c>
      <c r="M353">
        <v>104.38756354774701</v>
      </c>
      <c r="N353">
        <v>0.05</v>
      </c>
      <c r="O353">
        <v>0</v>
      </c>
      <c r="P353">
        <v>0</v>
      </c>
      <c r="Q353">
        <v>0</v>
      </c>
      <c r="R353">
        <v>0.36632604980468703</v>
      </c>
      <c r="S353">
        <v>9.7222511291503902E-2</v>
      </c>
      <c r="T353">
        <v>0</v>
      </c>
      <c r="U353">
        <v>165.56</v>
      </c>
      <c r="V353">
        <v>-0.88100000000000001</v>
      </c>
      <c r="W353">
        <v>0.19500000000000001</v>
      </c>
      <c r="X353">
        <v>0.76200000000000001</v>
      </c>
      <c r="Y353" t="b">
        <v>1</v>
      </c>
      <c r="Z353">
        <v>78</v>
      </c>
      <c r="AA353">
        <f t="shared" si="60"/>
        <v>36.632604980468706</v>
      </c>
      <c r="AB353">
        <f t="shared" si="58"/>
        <v>80.279863993784701</v>
      </c>
      <c r="AC353">
        <f t="shared" si="62"/>
        <v>26.612183184428279</v>
      </c>
    </row>
    <row r="354" spans="1:29" x14ac:dyDescent="0.3">
      <c r="A354">
        <f t="shared" si="59"/>
        <v>500</v>
      </c>
      <c r="B354" s="2">
        <f t="shared" si="64"/>
        <v>30.35230000023148</v>
      </c>
      <c r="C354" s="2">
        <f t="shared" si="63"/>
        <v>0.78524000000000171</v>
      </c>
      <c r="D354" s="2">
        <f t="shared" si="61"/>
        <v>7.5214939000002232</v>
      </c>
      <c r="E354" s="2"/>
      <c r="F354">
        <v>2913.1250239000001</v>
      </c>
      <c r="G354">
        <v>214.5</v>
      </c>
      <c r="H354">
        <v>68.25</v>
      </c>
      <c r="I354">
        <v>214.62299999999999</v>
      </c>
      <c r="J354">
        <v>68.905000000000001</v>
      </c>
      <c r="K354">
        <v>209.69542285714201</v>
      </c>
      <c r="L354">
        <v>55.888325714285699</v>
      </c>
      <c r="M354">
        <v>105.366733817625</v>
      </c>
      <c r="N354">
        <v>0.05</v>
      </c>
      <c r="O354">
        <v>0</v>
      </c>
      <c r="P354">
        <v>0</v>
      </c>
      <c r="Q354">
        <v>0</v>
      </c>
      <c r="R354">
        <v>0.37658810424804601</v>
      </c>
      <c r="S354">
        <v>0.117436828613281</v>
      </c>
      <c r="T354">
        <v>0</v>
      </c>
      <c r="U354">
        <v>165.577</v>
      </c>
      <c r="V354">
        <v>-0.92700000000000005</v>
      </c>
      <c r="W354">
        <v>0.10100000000000001</v>
      </c>
      <c r="X354">
        <v>0.76600000000000001</v>
      </c>
      <c r="Y354" t="b">
        <v>1</v>
      </c>
      <c r="Z354">
        <v>78</v>
      </c>
      <c r="AA354">
        <f t="shared" si="60"/>
        <v>37.658810424804599</v>
      </c>
      <c r="AB354">
        <f t="shared" si="58"/>
        <v>81.391747809941862</v>
      </c>
      <c r="AC354">
        <f t="shared" si="62"/>
        <v>25.870856574098607</v>
      </c>
    </row>
    <row r="355" spans="1:29" x14ac:dyDescent="0.3">
      <c r="A355">
        <f t="shared" si="59"/>
        <v>500</v>
      </c>
      <c r="B355" s="2">
        <f t="shared" si="64"/>
        <v>31.561199999941891</v>
      </c>
      <c r="C355" s="2">
        <f t="shared" si="63"/>
        <v>0.73284000000000304</v>
      </c>
      <c r="D355" s="2">
        <f t="shared" si="61"/>
        <v>7.5530551000001651</v>
      </c>
      <c r="E355" s="2"/>
      <c r="F355">
        <v>2913.1565851</v>
      </c>
      <c r="G355">
        <v>214.5</v>
      </c>
      <c r="H355">
        <v>68.25</v>
      </c>
      <c r="I355">
        <v>214.74600000000001</v>
      </c>
      <c r="J355">
        <v>67.332999999999998</v>
      </c>
      <c r="K355">
        <v>210.12970285714201</v>
      </c>
      <c r="L355">
        <v>56.621165714285702</v>
      </c>
      <c r="M355">
        <v>106.29625493710699</v>
      </c>
      <c r="N355">
        <v>0.05</v>
      </c>
      <c r="O355">
        <v>0</v>
      </c>
      <c r="P355">
        <v>0</v>
      </c>
      <c r="Q355">
        <v>0</v>
      </c>
      <c r="R355">
        <v>0.37658810424804601</v>
      </c>
      <c r="S355">
        <v>0.117436828613281</v>
      </c>
      <c r="T355">
        <v>0</v>
      </c>
      <c r="U355">
        <v>165.577</v>
      </c>
      <c r="V355">
        <v>-0.92700000000000005</v>
      </c>
      <c r="W355">
        <v>0.10100000000000001</v>
      </c>
      <c r="X355">
        <v>0.76600000000000001</v>
      </c>
      <c r="Y355" t="b">
        <v>1</v>
      </c>
      <c r="Z355">
        <v>78</v>
      </c>
      <c r="AA355">
        <f t="shared" si="60"/>
        <v>37.658810424804599</v>
      </c>
      <c r="AB355">
        <f t="shared" si="58"/>
        <v>82.580305057519013</v>
      </c>
      <c r="AC355">
        <f t="shared" si="62"/>
        <v>23.219649443029805</v>
      </c>
    </row>
    <row r="356" spans="1:29" x14ac:dyDescent="0.3">
      <c r="A356">
        <f t="shared" si="59"/>
        <v>500</v>
      </c>
      <c r="B356" s="2">
        <f t="shared" si="64"/>
        <v>31.701500000053784</v>
      </c>
      <c r="C356" s="2">
        <f t="shared" si="63"/>
        <v>0.68567999999999785</v>
      </c>
      <c r="D356" s="2">
        <f t="shared" si="61"/>
        <v>7.5847566000002189</v>
      </c>
      <c r="E356" s="2"/>
      <c r="F356">
        <v>2913.1882866000001</v>
      </c>
      <c r="G356">
        <v>214.5</v>
      </c>
      <c r="H356">
        <v>68.25</v>
      </c>
      <c r="I356">
        <v>214.74600000000001</v>
      </c>
      <c r="J356">
        <v>65.760999999999996</v>
      </c>
      <c r="K356">
        <v>210.54922285714201</v>
      </c>
      <c r="L356">
        <v>57.3068457142857</v>
      </c>
      <c r="M356">
        <v>107.17451309199799</v>
      </c>
      <c r="N356">
        <v>0.05</v>
      </c>
      <c r="O356">
        <v>0</v>
      </c>
      <c r="P356">
        <v>0</v>
      </c>
      <c r="Q356">
        <v>0</v>
      </c>
      <c r="R356">
        <v>0.37383474731445299</v>
      </c>
      <c r="S356">
        <v>0.14582182312011699</v>
      </c>
      <c r="T356">
        <v>0</v>
      </c>
      <c r="U356">
        <v>165.63</v>
      </c>
      <c r="V356">
        <v>-0.94499999999999995</v>
      </c>
      <c r="W356">
        <v>4.2999999999999997E-2</v>
      </c>
      <c r="X356">
        <v>0.76700000000000002</v>
      </c>
      <c r="Y356" t="b">
        <v>1</v>
      </c>
      <c r="Z356">
        <v>78</v>
      </c>
      <c r="AA356">
        <f t="shared" si="60"/>
        <v>37.383474731445297</v>
      </c>
      <c r="AB356">
        <f t="shared" si="58"/>
        <v>83.774145836202976</v>
      </c>
      <c r="AC356">
        <f t="shared" si="62"/>
        <v>21.629260445052587</v>
      </c>
    </row>
    <row r="357" spans="1:29" x14ac:dyDescent="0.3">
      <c r="A357">
        <f t="shared" si="59"/>
        <v>500</v>
      </c>
      <c r="B357" s="2">
        <f t="shared" si="64"/>
        <v>45.553299999937735</v>
      </c>
      <c r="C357" s="2">
        <f t="shared" si="63"/>
        <v>0.63327999999999918</v>
      </c>
      <c r="D357" s="2">
        <f t="shared" si="61"/>
        <v>7.6303099000001566</v>
      </c>
      <c r="E357" s="2"/>
      <c r="F357">
        <v>2913.2338399</v>
      </c>
      <c r="G357">
        <v>214.5</v>
      </c>
      <c r="H357">
        <v>68.25</v>
      </c>
      <c r="I357">
        <v>214.99199999999999</v>
      </c>
      <c r="J357">
        <v>64.188999999999993</v>
      </c>
      <c r="K357">
        <v>210.96874285714199</v>
      </c>
      <c r="L357">
        <v>57.940125714285699</v>
      </c>
      <c r="M357">
        <v>108.07603493614999</v>
      </c>
      <c r="N357">
        <v>0.05</v>
      </c>
      <c r="O357">
        <v>0</v>
      </c>
      <c r="P357">
        <v>0</v>
      </c>
      <c r="Q357">
        <v>0</v>
      </c>
      <c r="R357">
        <v>0.37383474731445299</v>
      </c>
      <c r="S357">
        <v>0.14582182312011699</v>
      </c>
      <c r="T357">
        <v>0</v>
      </c>
      <c r="U357">
        <v>165.63</v>
      </c>
      <c r="V357">
        <v>-0.94499999999999995</v>
      </c>
      <c r="W357">
        <v>4.2999999999999997E-2</v>
      </c>
      <c r="X357">
        <v>0.76700000000000002</v>
      </c>
      <c r="Y357" t="b">
        <v>1</v>
      </c>
      <c r="Z357">
        <v>78</v>
      </c>
      <c r="AA357">
        <f t="shared" si="60"/>
        <v>37.383474731445297</v>
      </c>
      <c r="AB357">
        <f t="shared" si="58"/>
        <v>85.477086475684601</v>
      </c>
      <c r="AC357">
        <f t="shared" si="62"/>
        <v>13.901956609090115</v>
      </c>
    </row>
    <row r="358" spans="1:29" x14ac:dyDescent="0.3">
      <c r="A358">
        <f t="shared" si="59"/>
        <v>500</v>
      </c>
      <c r="B358" s="2">
        <f t="shared" si="64"/>
        <v>31.141800000114017</v>
      </c>
      <c r="C358" s="2">
        <f t="shared" si="63"/>
        <v>0.74795999999999907</v>
      </c>
      <c r="D358" s="2">
        <f t="shared" si="61"/>
        <v>7.6614517000002706</v>
      </c>
      <c r="E358" s="2"/>
      <c r="F358">
        <v>2913.2649817000001</v>
      </c>
      <c r="G358">
        <v>218.4</v>
      </c>
      <c r="H358">
        <v>70.2</v>
      </c>
      <c r="I358">
        <v>215.32499999999999</v>
      </c>
      <c r="J358">
        <v>66.793999999999997</v>
      </c>
      <c r="K358">
        <v>211.38682285714199</v>
      </c>
      <c r="L358">
        <v>58.688085714285698</v>
      </c>
      <c r="M358">
        <v>109.001782874611</v>
      </c>
      <c r="N358">
        <v>0.05</v>
      </c>
      <c r="O358">
        <v>0</v>
      </c>
      <c r="P358">
        <v>0</v>
      </c>
      <c r="Q358">
        <v>0</v>
      </c>
      <c r="R358">
        <v>0.37166561889648397</v>
      </c>
      <c r="S358">
        <v>0.13983552551269501</v>
      </c>
      <c r="T358">
        <v>0</v>
      </c>
      <c r="U358">
        <v>165.62899999999999</v>
      </c>
      <c r="V358">
        <v>-1.0289999999999999</v>
      </c>
      <c r="W358">
        <v>-0.14299999999999999</v>
      </c>
      <c r="X358">
        <v>0.76800000000000002</v>
      </c>
      <c r="Y358" t="b">
        <v>1</v>
      </c>
      <c r="Z358">
        <v>78</v>
      </c>
      <c r="AA358">
        <f t="shared" si="60"/>
        <v>37.166561889648399</v>
      </c>
      <c r="AB358">
        <f t="shared" si="58"/>
        <v>86.641275169080586</v>
      </c>
      <c r="AC358">
        <f t="shared" si="62"/>
        <v>24.017879505913616</v>
      </c>
    </row>
    <row r="359" spans="1:29" x14ac:dyDescent="0.3">
      <c r="A359">
        <f t="shared" si="59"/>
        <v>500</v>
      </c>
      <c r="B359" s="2">
        <f t="shared" si="64"/>
        <v>31.22510000002876</v>
      </c>
      <c r="C359" s="2">
        <f t="shared" si="63"/>
        <v>1.3272000000000048</v>
      </c>
      <c r="D359" s="2">
        <f t="shared" si="61"/>
        <v>7.6926768000002994</v>
      </c>
      <c r="E359" s="2"/>
      <c r="F359">
        <v>2913.2962068000002</v>
      </c>
      <c r="G359">
        <v>214.5</v>
      </c>
      <c r="H359">
        <v>78</v>
      </c>
      <c r="I359">
        <v>216.09899999999999</v>
      </c>
      <c r="J359">
        <v>81.013000000000005</v>
      </c>
      <c r="K359">
        <v>211.816182857142</v>
      </c>
      <c r="L359">
        <v>60.015285714285703</v>
      </c>
      <c r="M359">
        <v>110.502817923715</v>
      </c>
      <c r="N359">
        <v>0.05</v>
      </c>
      <c r="O359">
        <v>0</v>
      </c>
      <c r="P359">
        <v>0</v>
      </c>
      <c r="Q359">
        <v>0</v>
      </c>
      <c r="R359">
        <v>0.37166561889648397</v>
      </c>
      <c r="S359">
        <v>0.13983552551269501</v>
      </c>
      <c r="T359">
        <v>0</v>
      </c>
      <c r="U359">
        <v>165.62899999999999</v>
      </c>
      <c r="V359">
        <v>-1.0289999999999999</v>
      </c>
      <c r="W359">
        <v>-0.14299999999999999</v>
      </c>
      <c r="X359">
        <v>0.76800000000000002</v>
      </c>
      <c r="Y359" t="b">
        <v>1</v>
      </c>
      <c r="Z359">
        <v>78</v>
      </c>
      <c r="AA359">
        <f t="shared" si="60"/>
        <v>37.166561889648399</v>
      </c>
      <c r="AB359">
        <f t="shared" si="58"/>
        <v>87.801804780742117</v>
      </c>
      <c r="AC359">
        <f t="shared" si="62"/>
        <v>42.504267400225537</v>
      </c>
    </row>
    <row r="360" spans="1:29" x14ac:dyDescent="0.3">
      <c r="A360">
        <f t="shared" si="59"/>
        <v>500</v>
      </c>
      <c r="B360" s="2">
        <f t="shared" si="64"/>
        <v>16.460599999845726</v>
      </c>
      <c r="C360" s="2">
        <f t="shared" si="63"/>
        <v>1.2852800000000002</v>
      </c>
      <c r="D360" s="2">
        <f t="shared" si="61"/>
        <v>7.7091374000001451</v>
      </c>
      <c r="E360" s="2"/>
      <c r="F360">
        <v>2913.3126674</v>
      </c>
      <c r="G360">
        <v>214.5</v>
      </c>
      <c r="H360">
        <v>78</v>
      </c>
      <c r="I360">
        <v>216.46799999999999</v>
      </c>
      <c r="J360">
        <v>79.572000000000003</v>
      </c>
      <c r="K360">
        <v>212.240622857142</v>
      </c>
      <c r="L360">
        <v>61.300565714285703</v>
      </c>
      <c r="M360">
        <v>111.877989195026</v>
      </c>
      <c r="N360">
        <v>0.05</v>
      </c>
      <c r="O360">
        <v>0</v>
      </c>
      <c r="P360">
        <v>0</v>
      </c>
      <c r="Q360">
        <v>0</v>
      </c>
      <c r="R360">
        <v>0.409082733154296</v>
      </c>
      <c r="S360">
        <v>0.135968627929687</v>
      </c>
      <c r="T360">
        <v>0</v>
      </c>
      <c r="U360">
        <v>165.68199999999999</v>
      </c>
      <c r="V360">
        <v>-1.2310000000000001</v>
      </c>
      <c r="W360">
        <v>-0.17100000000000001</v>
      </c>
      <c r="X360">
        <v>0.77</v>
      </c>
      <c r="Y360" t="b">
        <v>1</v>
      </c>
      <c r="Z360">
        <v>78</v>
      </c>
      <c r="AA360">
        <f t="shared" si="60"/>
        <v>40.908273315429597</v>
      </c>
      <c r="AB360">
        <f t="shared" si="58"/>
        <v>88.413588689377136</v>
      </c>
      <c r="AC360">
        <f t="shared" si="62"/>
        <v>78.082208425698099</v>
      </c>
    </row>
    <row r="361" spans="1:29" x14ac:dyDescent="0.3">
      <c r="A361">
        <f t="shared" si="59"/>
        <v>500</v>
      </c>
      <c r="B361" s="2">
        <f t="shared" si="64"/>
        <v>45.08159999977579</v>
      </c>
      <c r="C361" s="2">
        <f t="shared" si="63"/>
        <v>1.2433599999999956</v>
      </c>
      <c r="D361" s="2">
        <f t="shared" si="61"/>
        <v>7.7542189999999209</v>
      </c>
      <c r="E361" s="2"/>
      <c r="F361">
        <v>2913.3577489999998</v>
      </c>
      <c r="G361">
        <v>214.5</v>
      </c>
      <c r="H361">
        <v>78</v>
      </c>
      <c r="I361">
        <v>216.96</v>
      </c>
      <c r="J361">
        <v>78</v>
      </c>
      <c r="K361">
        <v>212.665062857142</v>
      </c>
      <c r="L361">
        <v>62.543925714285699</v>
      </c>
      <c r="M361">
        <v>113.361515045564</v>
      </c>
      <c r="N361">
        <v>0.05</v>
      </c>
      <c r="O361">
        <v>0</v>
      </c>
      <c r="P361">
        <v>0</v>
      </c>
      <c r="Q361">
        <v>0</v>
      </c>
      <c r="R361">
        <v>0.45041329956054599</v>
      </c>
      <c r="S361">
        <v>0.135754501342773</v>
      </c>
      <c r="T361">
        <v>0</v>
      </c>
      <c r="U361">
        <v>165.63399999999999</v>
      </c>
      <c r="V361">
        <v>-1.3080000000000001</v>
      </c>
      <c r="W361">
        <v>-0.31</v>
      </c>
      <c r="X361">
        <v>0.77</v>
      </c>
      <c r="Y361" t="b">
        <v>1</v>
      </c>
      <c r="Z361">
        <v>78</v>
      </c>
      <c r="AA361">
        <f t="shared" si="60"/>
        <v>45.041329956054597</v>
      </c>
      <c r="AB361">
        <f t="shared" si="58"/>
        <v>90.257799103664837</v>
      </c>
      <c r="AC361">
        <f t="shared" si="62"/>
        <v>27.580210108030311</v>
      </c>
    </row>
    <row r="362" spans="1:29" x14ac:dyDescent="0.3">
      <c r="A362">
        <f t="shared" si="59"/>
        <v>500</v>
      </c>
      <c r="B362" s="2">
        <f t="shared" si="64"/>
        <v>46.885300000212737</v>
      </c>
      <c r="C362" s="2">
        <f t="shared" si="63"/>
        <v>1.3200342857142999</v>
      </c>
      <c r="D362" s="2">
        <f t="shared" si="61"/>
        <v>7.8011043000001337</v>
      </c>
      <c r="E362" s="2"/>
      <c r="F362">
        <v>2913.4046343</v>
      </c>
      <c r="G362">
        <v>214.5</v>
      </c>
      <c r="H362">
        <v>78</v>
      </c>
      <c r="I362">
        <v>217.452</v>
      </c>
      <c r="J362">
        <v>76.558999999999997</v>
      </c>
      <c r="K362">
        <v>213.08472</v>
      </c>
      <c r="L362">
        <v>63.863959999999999</v>
      </c>
      <c r="M362">
        <v>114.92222947447701</v>
      </c>
      <c r="N362">
        <v>0.05</v>
      </c>
      <c r="O362">
        <v>0</v>
      </c>
      <c r="P362">
        <v>0</v>
      </c>
      <c r="Q362">
        <v>0</v>
      </c>
      <c r="R362">
        <v>0.45041329956054599</v>
      </c>
      <c r="S362">
        <v>0.135754501342773</v>
      </c>
      <c r="T362">
        <v>0</v>
      </c>
      <c r="U362">
        <v>165.63399999999999</v>
      </c>
      <c r="V362">
        <v>-1.3080000000000001</v>
      </c>
      <c r="W362">
        <v>-0.31</v>
      </c>
      <c r="X362">
        <v>0.77</v>
      </c>
      <c r="Y362" t="b">
        <v>1</v>
      </c>
      <c r="Z362">
        <v>78</v>
      </c>
      <c r="AA362">
        <f t="shared" si="60"/>
        <v>45.041329956054597</v>
      </c>
      <c r="AB362">
        <f t="shared" si="58"/>
        <v>92.369575371063021</v>
      </c>
      <c r="AC362">
        <f t="shared" si="62"/>
        <v>28.15454493643659</v>
      </c>
    </row>
    <row r="363" spans="1:29" x14ac:dyDescent="0.3">
      <c r="A363">
        <f t="shared" si="59"/>
        <v>500</v>
      </c>
      <c r="B363" s="2">
        <f t="shared" si="64"/>
        <v>15.937699999994948</v>
      </c>
      <c r="C363" s="2">
        <f t="shared" si="63"/>
        <v>1.1647600000000082</v>
      </c>
      <c r="D363" s="2">
        <f t="shared" si="61"/>
        <v>7.8170420000001286</v>
      </c>
      <c r="E363" s="2"/>
      <c r="F363">
        <v>2913.420572</v>
      </c>
      <c r="G363">
        <v>214.5</v>
      </c>
      <c r="H363">
        <v>78</v>
      </c>
      <c r="I363">
        <v>217.821</v>
      </c>
      <c r="J363">
        <v>74.986999999999995</v>
      </c>
      <c r="K363">
        <v>213.49799999999999</v>
      </c>
      <c r="L363">
        <v>65.028720000000007</v>
      </c>
      <c r="M363">
        <v>116.16675243763299</v>
      </c>
      <c r="N363">
        <v>0.05</v>
      </c>
      <c r="O363">
        <v>0</v>
      </c>
      <c r="P363">
        <v>0</v>
      </c>
      <c r="Q363">
        <v>0</v>
      </c>
      <c r="R363">
        <v>0.45041329956054599</v>
      </c>
      <c r="S363">
        <v>0.135754501342773</v>
      </c>
      <c r="T363">
        <v>0</v>
      </c>
      <c r="U363">
        <v>165.63399999999999</v>
      </c>
      <c r="V363">
        <v>-1.3080000000000001</v>
      </c>
      <c r="W363">
        <v>-0.31</v>
      </c>
      <c r="X363">
        <v>0.77</v>
      </c>
      <c r="Y363" t="b">
        <v>1</v>
      </c>
      <c r="Z363">
        <v>78</v>
      </c>
      <c r="AA363">
        <f t="shared" si="60"/>
        <v>45.041329956054597</v>
      </c>
      <c r="AB363">
        <f t="shared" si="58"/>
        <v>93.087430575503404</v>
      </c>
      <c r="AC363">
        <f t="shared" si="62"/>
        <v>73.082063283935412</v>
      </c>
    </row>
    <row r="364" spans="1:29" x14ac:dyDescent="0.3">
      <c r="A364">
        <f t="shared" si="59"/>
        <v>500</v>
      </c>
      <c r="B364" s="2">
        <f t="shared" si="64"/>
        <v>30.014800000117248</v>
      </c>
      <c r="C364" s="2">
        <f t="shared" si="63"/>
        <v>1.7649599999999879</v>
      </c>
      <c r="D364" s="2">
        <f t="shared" si="61"/>
        <v>7.8470568000002459</v>
      </c>
      <c r="E364" s="2"/>
      <c r="F364">
        <v>2913.4505868000001</v>
      </c>
      <c r="G364">
        <v>210.6</v>
      </c>
      <c r="H364">
        <v>85.8</v>
      </c>
      <c r="I364">
        <v>218.47199999999901</v>
      </c>
      <c r="J364">
        <v>89.206000000000003</v>
      </c>
      <c r="K364">
        <v>213.90288000000001</v>
      </c>
      <c r="L364">
        <v>66.793679999999995</v>
      </c>
      <c r="M364">
        <v>118.079170649315</v>
      </c>
      <c r="N364">
        <v>0.05</v>
      </c>
      <c r="O364">
        <v>0</v>
      </c>
      <c r="P364">
        <v>0</v>
      </c>
      <c r="Q364">
        <v>0</v>
      </c>
      <c r="R364">
        <v>0.44082144165039</v>
      </c>
      <c r="S364">
        <v>0.14058312988281199</v>
      </c>
      <c r="T364">
        <v>0</v>
      </c>
      <c r="U364">
        <v>165.78899999999999</v>
      </c>
      <c r="V364">
        <v>-1.242</v>
      </c>
      <c r="W364">
        <v>-0.22700000000000001</v>
      </c>
      <c r="X364">
        <v>0.77300000000000002</v>
      </c>
      <c r="Y364" t="b">
        <v>1</v>
      </c>
      <c r="Z364">
        <v>78</v>
      </c>
      <c r="AA364">
        <f t="shared" si="60"/>
        <v>44.082144165038997</v>
      </c>
      <c r="AB364">
        <f t="shared" si="58"/>
        <v>94.439337085873674</v>
      </c>
      <c r="AC364">
        <f t="shared" si="62"/>
        <v>58.802990524444382</v>
      </c>
    </row>
    <row r="365" spans="1:29" x14ac:dyDescent="0.3">
      <c r="A365">
        <f t="shared" si="59"/>
        <v>500</v>
      </c>
      <c r="B365" s="2">
        <f t="shared" si="64"/>
        <v>31.278200000087963</v>
      </c>
      <c r="C365" s="2">
        <f t="shared" si="63"/>
        <v>1.7439999999999998</v>
      </c>
      <c r="D365" s="2">
        <f t="shared" si="61"/>
        <v>7.8783350000003338</v>
      </c>
      <c r="E365" s="2"/>
      <c r="F365">
        <v>2913.4818650000002</v>
      </c>
      <c r="G365">
        <v>214.5</v>
      </c>
      <c r="H365">
        <v>87.75</v>
      </c>
      <c r="I365">
        <v>218.928</v>
      </c>
      <c r="J365">
        <v>91.941999999999993</v>
      </c>
      <c r="K365">
        <v>214.29792</v>
      </c>
      <c r="L365">
        <v>68.537679999999995</v>
      </c>
      <c r="M365">
        <v>119.973083601401</v>
      </c>
      <c r="N365">
        <v>0.05</v>
      </c>
      <c r="O365">
        <v>0</v>
      </c>
      <c r="P365">
        <v>0</v>
      </c>
      <c r="Q365">
        <v>0</v>
      </c>
      <c r="R365">
        <v>0.44082144165039</v>
      </c>
      <c r="S365">
        <v>0.14058312988281199</v>
      </c>
      <c r="T365">
        <v>0</v>
      </c>
      <c r="U365">
        <v>165.78899999999999</v>
      </c>
      <c r="V365">
        <v>-1.242</v>
      </c>
      <c r="W365">
        <v>-0.22700000000000001</v>
      </c>
      <c r="X365">
        <v>0.77300000000000002</v>
      </c>
      <c r="Y365" t="b">
        <v>1</v>
      </c>
      <c r="Z365">
        <v>78</v>
      </c>
      <c r="AA365">
        <f t="shared" si="60"/>
        <v>44.082144165038997</v>
      </c>
      <c r="AB365">
        <f t="shared" si="58"/>
        <v>95.818147207500473</v>
      </c>
      <c r="AC365">
        <f t="shared" si="62"/>
        <v>55.757684265561799</v>
      </c>
    </row>
    <row r="366" spans="1:29" x14ac:dyDescent="0.3">
      <c r="A366">
        <f t="shared" si="59"/>
        <v>500</v>
      </c>
      <c r="B366" s="2">
        <f t="shared" si="64"/>
        <v>31.079799999588431</v>
      </c>
      <c r="C366" s="2">
        <f t="shared" si="63"/>
        <v>1.5936342857142023</v>
      </c>
      <c r="D366" s="2">
        <f t="shared" si="61"/>
        <v>7.9094147999999223</v>
      </c>
      <c r="E366" s="2"/>
      <c r="F366">
        <v>2913.5129447999998</v>
      </c>
      <c r="G366">
        <v>220.07142857142799</v>
      </c>
      <c r="H366">
        <v>89.142857142857096</v>
      </c>
      <c r="I366">
        <v>219.70242857142799</v>
      </c>
      <c r="J366">
        <v>93.334857142857103</v>
      </c>
      <c r="K366">
        <v>214.69477714285699</v>
      </c>
      <c r="L366">
        <v>70.131314285714197</v>
      </c>
      <c r="M366">
        <v>121.71197984570099</v>
      </c>
      <c r="N366">
        <v>0.05</v>
      </c>
      <c r="O366">
        <v>0</v>
      </c>
      <c r="P366">
        <v>0</v>
      </c>
      <c r="Q366">
        <v>0</v>
      </c>
      <c r="R366">
        <v>0.444244720458984</v>
      </c>
      <c r="S366">
        <v>0.12854421997070301</v>
      </c>
      <c r="T366">
        <v>0</v>
      </c>
      <c r="U366">
        <v>165.578</v>
      </c>
      <c r="V366">
        <v>-1.1859999999999999</v>
      </c>
      <c r="W366">
        <v>-0.39500000000000002</v>
      </c>
      <c r="X366">
        <v>0.77100000000000002</v>
      </c>
      <c r="Y366" t="b">
        <v>1</v>
      </c>
      <c r="Z366">
        <v>78</v>
      </c>
      <c r="AA366">
        <f t="shared" si="60"/>
        <v>44.424472045898398</v>
      </c>
      <c r="AB366">
        <f t="shared" si="58"/>
        <v>97.188211431702911</v>
      </c>
      <c r="AC366">
        <f t="shared" si="62"/>
        <v>51.275564377354605</v>
      </c>
    </row>
    <row r="367" spans="1:29" x14ac:dyDescent="0.3">
      <c r="A367">
        <f t="shared" si="59"/>
        <v>500</v>
      </c>
      <c r="B367" s="2">
        <f t="shared" si="64"/>
        <v>46.674600000187638</v>
      </c>
      <c r="C367" s="2">
        <f t="shared" si="63"/>
        <v>1.0756800000000055</v>
      </c>
      <c r="D367" s="2">
        <f t="shared" si="61"/>
        <v>7.9560894000001099</v>
      </c>
      <c r="E367" s="2"/>
      <c r="F367">
        <v>2913.5596194</v>
      </c>
      <c r="G367">
        <v>224.25</v>
      </c>
      <c r="H367">
        <v>87.75</v>
      </c>
      <c r="I367">
        <v>220.43700000000001</v>
      </c>
      <c r="J367">
        <v>89.06</v>
      </c>
      <c r="K367">
        <v>215.07985714285701</v>
      </c>
      <c r="L367">
        <v>71.206994285714202</v>
      </c>
      <c r="M367">
        <v>122.999080745885</v>
      </c>
      <c r="N367">
        <v>0.05</v>
      </c>
      <c r="O367">
        <v>0</v>
      </c>
      <c r="P367">
        <v>0</v>
      </c>
      <c r="Q367">
        <v>0</v>
      </c>
      <c r="R367">
        <v>0.444244720458984</v>
      </c>
      <c r="S367">
        <v>0.12854421997070301</v>
      </c>
      <c r="T367">
        <v>0</v>
      </c>
      <c r="U367">
        <v>165.578</v>
      </c>
      <c r="V367">
        <v>-1.1859999999999999</v>
      </c>
      <c r="W367">
        <v>-0.39500000000000002</v>
      </c>
      <c r="X367">
        <v>0.77100000000000002</v>
      </c>
      <c r="Y367" t="b">
        <v>1</v>
      </c>
      <c r="Z367">
        <v>78</v>
      </c>
      <c r="AA367">
        <f t="shared" si="60"/>
        <v>44.424472045898398</v>
      </c>
      <c r="AB367">
        <f t="shared" si="58"/>
        <v>99.261705894664729</v>
      </c>
      <c r="AC367">
        <f t="shared" si="62"/>
        <v>23.046367831661783</v>
      </c>
    </row>
    <row r="368" spans="1:29" x14ac:dyDescent="0.3">
      <c r="A368">
        <f t="shared" si="59"/>
        <v>500</v>
      </c>
      <c r="B368" s="2">
        <f t="shared" si="64"/>
        <v>15.20280000022467</v>
      </c>
      <c r="C368" s="2">
        <f t="shared" si="63"/>
        <v>1.0337600000000009</v>
      </c>
      <c r="D368" s="2">
        <f t="shared" si="61"/>
        <v>7.9712922000003346</v>
      </c>
      <c r="E368" s="2"/>
      <c r="F368">
        <v>2913.5748222000002</v>
      </c>
      <c r="G368">
        <v>224.25</v>
      </c>
      <c r="H368">
        <v>87.75</v>
      </c>
      <c r="I368">
        <v>220.929</v>
      </c>
      <c r="J368">
        <v>87.488</v>
      </c>
      <c r="K368">
        <v>215.47477714285699</v>
      </c>
      <c r="L368">
        <v>72.240754285714203</v>
      </c>
      <c r="M368">
        <v>124.100003511815</v>
      </c>
      <c r="N368">
        <v>0.05</v>
      </c>
      <c r="O368">
        <v>0</v>
      </c>
      <c r="P368">
        <v>0</v>
      </c>
      <c r="Q368">
        <v>0</v>
      </c>
      <c r="R368">
        <v>0.45841455078124999</v>
      </c>
      <c r="S368">
        <v>9.4511230468749999E-2</v>
      </c>
      <c r="T368">
        <v>0</v>
      </c>
      <c r="U368">
        <v>165.48099999999999</v>
      </c>
      <c r="V368">
        <v>-1.2929999999999999</v>
      </c>
      <c r="W368">
        <v>-0.27700000000000002</v>
      </c>
      <c r="X368">
        <v>0.77200000000000002</v>
      </c>
      <c r="Y368" t="b">
        <v>1</v>
      </c>
      <c r="Z368">
        <v>78</v>
      </c>
      <c r="AA368">
        <f t="shared" si="60"/>
        <v>45.841455078125001</v>
      </c>
      <c r="AB368">
        <f t="shared" si="58"/>
        <v>99.937082258294097</v>
      </c>
      <c r="AC368">
        <f t="shared" si="62"/>
        <v>67.998000367348368</v>
      </c>
    </row>
    <row r="369" spans="1:29" x14ac:dyDescent="0.3">
      <c r="A369">
        <f t="shared" si="59"/>
        <v>500</v>
      </c>
      <c r="B369" s="2">
        <f t="shared" si="64"/>
        <v>62.050999999883061</v>
      </c>
      <c r="C369" s="2">
        <f t="shared" si="63"/>
        <v>1.0180399999999992</v>
      </c>
      <c r="D369" s="2">
        <f t="shared" si="61"/>
        <v>8.0333432000002176</v>
      </c>
      <c r="E369" s="2"/>
      <c r="F369">
        <v>2913.6368732000001</v>
      </c>
      <c r="G369">
        <v>224.25</v>
      </c>
      <c r="H369">
        <v>87.75</v>
      </c>
      <c r="I369">
        <v>221.667</v>
      </c>
      <c r="J369">
        <v>86.046999999999997</v>
      </c>
      <c r="K369">
        <v>215.884457142857</v>
      </c>
      <c r="L369">
        <v>73.258794285714202</v>
      </c>
      <c r="M369">
        <v>125.38378749607</v>
      </c>
      <c r="N369">
        <v>0.05</v>
      </c>
      <c r="O369">
        <v>0</v>
      </c>
      <c r="P369">
        <v>0</v>
      </c>
      <c r="Q369">
        <v>0</v>
      </c>
      <c r="R369">
        <v>0.45841455078124999</v>
      </c>
      <c r="S369">
        <v>9.4511230468749999E-2</v>
      </c>
      <c r="T369">
        <v>0</v>
      </c>
      <c r="U369">
        <v>165.48099999999999</v>
      </c>
      <c r="V369">
        <v>-1.2929999999999999</v>
      </c>
      <c r="W369">
        <v>-0.27700000000000002</v>
      </c>
      <c r="X369">
        <v>0.77200000000000002</v>
      </c>
      <c r="Y369" t="b">
        <v>1</v>
      </c>
      <c r="Z369">
        <v>78</v>
      </c>
      <c r="AA369">
        <f t="shared" si="60"/>
        <v>45.841455078125001</v>
      </c>
      <c r="AB369">
        <f t="shared" si="58"/>
        <v>102.78159038734147</v>
      </c>
      <c r="AC369">
        <f t="shared" si="62"/>
        <v>16.406504327116689</v>
      </c>
    </row>
    <row r="370" spans="1:29" x14ac:dyDescent="0.3">
      <c r="A370">
        <f t="shared" si="59"/>
        <v>500</v>
      </c>
      <c r="B370" s="2">
        <f t="shared" si="64"/>
        <v>16.072399999757181</v>
      </c>
      <c r="C370" s="2">
        <f t="shared" si="63"/>
        <v>1.0023199999999974</v>
      </c>
      <c r="D370" s="2">
        <f t="shared" si="61"/>
        <v>8.0494155999999748</v>
      </c>
      <c r="E370" s="2"/>
      <c r="F370">
        <v>2913.6529455999998</v>
      </c>
      <c r="G370">
        <v>224.25</v>
      </c>
      <c r="H370">
        <v>87.75</v>
      </c>
      <c r="I370">
        <v>222.15899999999999</v>
      </c>
      <c r="J370">
        <v>84.605999999999995</v>
      </c>
      <c r="K370">
        <v>216.30397714285701</v>
      </c>
      <c r="L370">
        <v>74.2611142857142</v>
      </c>
      <c r="M370">
        <v>126.45279858422499</v>
      </c>
      <c r="N370">
        <v>0.05</v>
      </c>
      <c r="O370">
        <v>0</v>
      </c>
      <c r="P370">
        <v>0</v>
      </c>
      <c r="Q370">
        <v>0</v>
      </c>
      <c r="R370">
        <v>0.46290939331054598</v>
      </c>
      <c r="S370">
        <v>9.1469802856445306E-2</v>
      </c>
      <c r="T370">
        <v>0</v>
      </c>
      <c r="U370">
        <v>165.38900000000001</v>
      </c>
      <c r="V370">
        <v>-1.1319999999999999</v>
      </c>
      <c r="W370">
        <v>-0.187</v>
      </c>
      <c r="X370">
        <v>0.77400000000000002</v>
      </c>
      <c r="Y370" t="b">
        <v>1</v>
      </c>
      <c r="Z370">
        <v>78</v>
      </c>
      <c r="AA370">
        <f t="shared" si="60"/>
        <v>46.290939331054595</v>
      </c>
      <c r="AB370">
        <f t="shared" si="58"/>
        <v>103.51837258992799</v>
      </c>
      <c r="AC370">
        <f t="shared" si="62"/>
        <v>62.362808293418553</v>
      </c>
    </row>
    <row r="371" spans="1:29" x14ac:dyDescent="0.3">
      <c r="A371">
        <f t="shared" si="59"/>
        <v>500</v>
      </c>
      <c r="B371" s="2">
        <f t="shared" si="64"/>
        <v>30.650800000330491</v>
      </c>
      <c r="C371" s="2">
        <f t="shared" si="63"/>
        <v>1.1051942857143047</v>
      </c>
      <c r="D371" s="2">
        <f t="shared" si="61"/>
        <v>8.0800664000003053</v>
      </c>
      <c r="E371" s="2"/>
      <c r="F371">
        <v>2913.6835964000002</v>
      </c>
      <c r="G371">
        <v>228.42857142857099</v>
      </c>
      <c r="H371">
        <v>89.142857142857096</v>
      </c>
      <c r="I371">
        <v>222.89357142857099</v>
      </c>
      <c r="J371">
        <v>86.129857142857105</v>
      </c>
      <c r="K371">
        <v>216.73812000000001</v>
      </c>
      <c r="L371">
        <v>75.366308571428505</v>
      </c>
      <c r="M371">
        <v>127.682803667573</v>
      </c>
      <c r="N371">
        <v>0.05</v>
      </c>
      <c r="O371">
        <v>0</v>
      </c>
      <c r="P371">
        <v>0</v>
      </c>
      <c r="Q371">
        <v>0</v>
      </c>
      <c r="R371">
        <v>0.46290939331054598</v>
      </c>
      <c r="S371">
        <v>9.1469802856445306E-2</v>
      </c>
      <c r="T371">
        <v>0</v>
      </c>
      <c r="U371">
        <v>165.38900000000001</v>
      </c>
      <c r="V371">
        <v>-1.1319999999999999</v>
      </c>
      <c r="W371">
        <v>-0.187</v>
      </c>
      <c r="X371">
        <v>0.77400000000000002</v>
      </c>
      <c r="Y371" t="b">
        <v>1</v>
      </c>
      <c r="Z371">
        <v>78</v>
      </c>
      <c r="AA371">
        <f t="shared" si="60"/>
        <v>46.290939331054595</v>
      </c>
      <c r="AB371">
        <f t="shared" ref="AB371:AB434" si="65">AB370+(AA370*(D371-D370))</f>
        <v>104.93722691319158</v>
      </c>
      <c r="AC371">
        <f t="shared" si="62"/>
        <v>36.057599987680192</v>
      </c>
    </row>
    <row r="372" spans="1:29" x14ac:dyDescent="0.3">
      <c r="A372">
        <f t="shared" si="59"/>
        <v>500</v>
      </c>
      <c r="B372" s="2">
        <f t="shared" si="64"/>
        <v>30.159599999933562</v>
      </c>
      <c r="C372" s="2">
        <f t="shared" si="63"/>
        <v>1.2475999999999914</v>
      </c>
      <c r="D372" s="2">
        <f t="shared" si="61"/>
        <v>8.1102260000002389</v>
      </c>
      <c r="E372" s="2"/>
      <c r="F372">
        <v>2913.7137560000001</v>
      </c>
      <c r="G372">
        <v>230.75</v>
      </c>
      <c r="H372">
        <v>91</v>
      </c>
      <c r="I372">
        <v>223.739</v>
      </c>
      <c r="J372">
        <v>88.510999999999996</v>
      </c>
      <c r="K372">
        <v>217.19623999999999</v>
      </c>
      <c r="L372">
        <v>76.613908571428496</v>
      </c>
      <c r="M372">
        <v>129.05023850549401</v>
      </c>
      <c r="N372">
        <v>0.05</v>
      </c>
      <c r="O372">
        <v>0</v>
      </c>
      <c r="P372">
        <v>0</v>
      </c>
      <c r="Q372">
        <v>0</v>
      </c>
      <c r="R372">
        <v>0.45247817993164002</v>
      </c>
      <c r="S372">
        <v>0.10291957092285101</v>
      </c>
      <c r="T372">
        <v>0</v>
      </c>
      <c r="U372">
        <v>165.40700000000001</v>
      </c>
      <c r="V372">
        <v>-1.0229999999999999</v>
      </c>
      <c r="W372">
        <v>2.5000000000000001E-2</v>
      </c>
      <c r="X372">
        <v>0.77500000000000002</v>
      </c>
      <c r="Y372" t="b">
        <v>1</v>
      </c>
      <c r="Z372">
        <v>78</v>
      </c>
      <c r="AA372">
        <f t="shared" si="60"/>
        <v>45.247817993164006</v>
      </c>
      <c r="AB372">
        <f t="shared" si="65"/>
        <v>106.33334312703738</v>
      </c>
      <c r="AC372">
        <f t="shared" si="62"/>
        <v>41.366596374048058</v>
      </c>
    </row>
    <row r="373" spans="1:29" x14ac:dyDescent="0.3">
      <c r="A373">
        <f t="shared" si="59"/>
        <v>500</v>
      </c>
      <c r="B373" s="2">
        <f t="shared" si="64"/>
        <v>30.825299999833078</v>
      </c>
      <c r="C373" s="2">
        <f t="shared" si="63"/>
        <v>1.7486400000000089</v>
      </c>
      <c r="D373" s="2">
        <f t="shared" si="61"/>
        <v>8.1410513000000719</v>
      </c>
      <c r="E373" s="2"/>
      <c r="F373">
        <v>2913.7445812999999</v>
      </c>
      <c r="G373">
        <v>224.25</v>
      </c>
      <c r="H373">
        <v>97.5</v>
      </c>
      <c r="I373">
        <v>224.37299999999999</v>
      </c>
      <c r="J373">
        <v>99.989000000000004</v>
      </c>
      <c r="K373">
        <v>217.66495999999901</v>
      </c>
      <c r="L373">
        <v>78.362548571428505</v>
      </c>
      <c r="M373">
        <v>130.918382455504</v>
      </c>
      <c r="N373">
        <v>0.05</v>
      </c>
      <c r="O373">
        <v>0</v>
      </c>
      <c r="P373">
        <v>0</v>
      </c>
      <c r="Q373">
        <v>0</v>
      </c>
      <c r="R373">
        <v>0.45247817993164002</v>
      </c>
      <c r="S373">
        <v>0.10291957092285101</v>
      </c>
      <c r="T373">
        <v>0</v>
      </c>
      <c r="U373">
        <v>165.40700000000001</v>
      </c>
      <c r="V373">
        <v>-1.0229999999999999</v>
      </c>
      <c r="W373">
        <v>2.5000000000000001E-2</v>
      </c>
      <c r="X373">
        <v>0.77500000000000002</v>
      </c>
      <c r="Y373" t="b">
        <v>1</v>
      </c>
      <c r="Z373">
        <v>78</v>
      </c>
      <c r="AA373">
        <f t="shared" si="60"/>
        <v>45.247817993164006</v>
      </c>
      <c r="AB373">
        <f t="shared" si="65"/>
        <v>107.72812069101451</v>
      </c>
      <c r="AC373">
        <f t="shared" si="62"/>
        <v>56.72742844382627</v>
      </c>
    </row>
    <row r="374" spans="1:29" x14ac:dyDescent="0.3">
      <c r="A374">
        <f t="shared" si="59"/>
        <v>500</v>
      </c>
      <c r="B374" s="2">
        <f t="shared" si="64"/>
        <v>30.275000000074215</v>
      </c>
      <c r="C374" s="2">
        <f t="shared" si="63"/>
        <v>1.7276799999999923</v>
      </c>
      <c r="D374" s="2">
        <f t="shared" si="61"/>
        <v>8.1713263000001461</v>
      </c>
      <c r="E374" s="2"/>
      <c r="F374">
        <v>2913.7748563</v>
      </c>
      <c r="G374">
        <v>224.25</v>
      </c>
      <c r="H374">
        <v>97.5</v>
      </c>
      <c r="I374">
        <v>224.988</v>
      </c>
      <c r="J374">
        <v>98.286000000000001</v>
      </c>
      <c r="K374">
        <v>218.14352</v>
      </c>
      <c r="L374">
        <v>80.090228571428497</v>
      </c>
      <c r="M374">
        <v>132.76057562729599</v>
      </c>
      <c r="N374">
        <v>0.05</v>
      </c>
      <c r="O374">
        <v>0</v>
      </c>
      <c r="P374">
        <v>0</v>
      </c>
      <c r="Q374">
        <v>0</v>
      </c>
      <c r="R374">
        <v>0.46711889648437499</v>
      </c>
      <c r="S374">
        <v>0.13520840454101499</v>
      </c>
      <c r="T374">
        <v>0</v>
      </c>
      <c r="U374">
        <v>165.50800000000001</v>
      </c>
      <c r="V374">
        <v>-1.0409999999999999</v>
      </c>
      <c r="W374">
        <v>4.3999999999999997E-2</v>
      </c>
      <c r="X374">
        <v>0.77700000000000002</v>
      </c>
      <c r="Y374" t="b">
        <v>1</v>
      </c>
      <c r="Z374">
        <v>78</v>
      </c>
      <c r="AA374">
        <f t="shared" si="60"/>
        <v>46.711889648437499</v>
      </c>
      <c r="AB374">
        <f t="shared" si="65"/>
        <v>109.09799838076091</v>
      </c>
      <c r="AC374">
        <f t="shared" si="62"/>
        <v>57.066226259149701</v>
      </c>
    </row>
    <row r="375" spans="1:29" x14ac:dyDescent="0.3">
      <c r="A375">
        <f t="shared" si="59"/>
        <v>500</v>
      </c>
      <c r="B375" s="2">
        <f t="shared" si="64"/>
        <v>46.968999999990046</v>
      </c>
      <c r="C375" s="2">
        <f t="shared" si="63"/>
        <v>1.0698399999999992</v>
      </c>
      <c r="D375" s="2">
        <f t="shared" si="61"/>
        <v>8.2182953000001362</v>
      </c>
      <c r="E375" s="2"/>
      <c r="F375">
        <v>2913.8218253</v>
      </c>
      <c r="G375">
        <v>224.25</v>
      </c>
      <c r="H375">
        <v>97.5</v>
      </c>
      <c r="I375">
        <v>225.60300000000001</v>
      </c>
      <c r="J375">
        <v>96.582999999999998</v>
      </c>
      <c r="K375">
        <v>218.62556000000001</v>
      </c>
      <c r="L375">
        <v>81.160068571428496</v>
      </c>
      <c r="M375">
        <v>134.002628873959</v>
      </c>
      <c r="N375">
        <v>0.05</v>
      </c>
      <c r="O375">
        <v>0</v>
      </c>
      <c r="P375">
        <v>0</v>
      </c>
      <c r="Q375">
        <v>0</v>
      </c>
      <c r="R375">
        <v>0.46711889648437499</v>
      </c>
      <c r="S375">
        <v>0.13520840454101499</v>
      </c>
      <c r="T375">
        <v>0</v>
      </c>
      <c r="U375">
        <v>165.50800000000001</v>
      </c>
      <c r="V375">
        <v>-1.0409999999999999</v>
      </c>
      <c r="W375">
        <v>4.3999999999999997E-2</v>
      </c>
      <c r="X375">
        <v>0.77700000000000002</v>
      </c>
      <c r="Y375" t="b">
        <v>1</v>
      </c>
      <c r="Z375">
        <v>78</v>
      </c>
      <c r="AA375">
        <f t="shared" si="60"/>
        <v>46.711889648437499</v>
      </c>
      <c r="AB375">
        <f t="shared" si="65"/>
        <v>111.29200912565791</v>
      </c>
      <c r="AC375">
        <f t="shared" si="62"/>
        <v>22.77757669953003</v>
      </c>
    </row>
    <row r="376" spans="1:29" x14ac:dyDescent="0.3">
      <c r="A376">
        <f t="shared" si="59"/>
        <v>500</v>
      </c>
      <c r="B376" s="2">
        <f t="shared" si="64"/>
        <v>32.409800000095856</v>
      </c>
      <c r="C376" s="2">
        <f t="shared" si="63"/>
        <v>1.1845200000000062</v>
      </c>
      <c r="D376" s="2">
        <f t="shared" si="61"/>
        <v>8.2507051000002321</v>
      </c>
      <c r="E376" s="2"/>
      <c r="F376">
        <v>2913.8542351000001</v>
      </c>
      <c r="G376">
        <v>218.4</v>
      </c>
      <c r="H376">
        <v>101.4</v>
      </c>
      <c r="I376">
        <v>226.27199999999999</v>
      </c>
      <c r="J376">
        <v>102.44799999999999</v>
      </c>
      <c r="K376">
        <v>219.121039999999</v>
      </c>
      <c r="L376">
        <v>82.344588571428503</v>
      </c>
      <c r="M376">
        <v>135.30223229956999</v>
      </c>
      <c r="N376">
        <v>0.05</v>
      </c>
      <c r="O376">
        <v>0</v>
      </c>
      <c r="P376">
        <v>0</v>
      </c>
      <c r="Q376">
        <v>0</v>
      </c>
      <c r="R376">
        <v>0.46378384399414002</v>
      </c>
      <c r="S376">
        <v>0.16180728149414</v>
      </c>
      <c r="T376">
        <v>0</v>
      </c>
      <c r="U376">
        <v>165.607</v>
      </c>
      <c r="V376">
        <v>-1.069</v>
      </c>
      <c r="W376">
        <v>-8.8999999999999996E-2</v>
      </c>
      <c r="X376">
        <v>0.77700000000000002</v>
      </c>
      <c r="Y376" t="b">
        <v>1</v>
      </c>
      <c r="Z376">
        <v>78</v>
      </c>
      <c r="AA376">
        <f t="shared" si="60"/>
        <v>46.378384399414003</v>
      </c>
      <c r="AB376">
        <f t="shared" si="65"/>
        <v>112.80593212679032</v>
      </c>
      <c r="AC376">
        <f t="shared" si="62"/>
        <v>36.548204555304345</v>
      </c>
    </row>
    <row r="377" spans="1:29" x14ac:dyDescent="0.3">
      <c r="A377">
        <f t="shared" si="59"/>
        <v>500</v>
      </c>
      <c r="B377" s="2">
        <f t="shared" si="64"/>
        <v>31.456799999887153</v>
      </c>
      <c r="C377" s="2">
        <f t="shared" si="63"/>
        <v>1.3776000000001005</v>
      </c>
      <c r="D377" s="2">
        <f t="shared" si="61"/>
        <v>8.2821619000001192</v>
      </c>
      <c r="E377" s="2"/>
      <c r="F377">
        <v>2913.8856919</v>
      </c>
      <c r="G377">
        <v>217.75</v>
      </c>
      <c r="H377">
        <v>104</v>
      </c>
      <c r="I377">
        <v>226.852</v>
      </c>
      <c r="J377">
        <v>106.096</v>
      </c>
      <c r="K377">
        <v>219.62495999999999</v>
      </c>
      <c r="L377">
        <v>83.722188571428603</v>
      </c>
      <c r="M377">
        <v>136.78869081478999</v>
      </c>
      <c r="N377">
        <v>0.05</v>
      </c>
      <c r="O377">
        <v>0</v>
      </c>
      <c r="P377">
        <v>0</v>
      </c>
      <c r="Q377">
        <v>0</v>
      </c>
      <c r="R377">
        <v>0.46378384399414002</v>
      </c>
      <c r="S377">
        <v>0.16180728149414</v>
      </c>
      <c r="T377">
        <v>0</v>
      </c>
      <c r="U377">
        <v>165.607</v>
      </c>
      <c r="V377">
        <v>-1.069</v>
      </c>
      <c r="W377">
        <v>-8.8999999999999996E-2</v>
      </c>
      <c r="X377">
        <v>0.77700000000000002</v>
      </c>
      <c r="Y377" t="b">
        <v>1</v>
      </c>
      <c r="Z377">
        <v>78</v>
      </c>
      <c r="AA377">
        <f t="shared" si="60"/>
        <v>46.378384399414003</v>
      </c>
      <c r="AB377">
        <f t="shared" si="65"/>
        <v>114.26484768916058</v>
      </c>
      <c r="AC377">
        <f t="shared" si="62"/>
        <v>43.79339284367903</v>
      </c>
    </row>
    <row r="378" spans="1:29" x14ac:dyDescent="0.3">
      <c r="A378">
        <f t="shared" si="59"/>
        <v>500</v>
      </c>
      <c r="B378" s="2">
        <f t="shared" si="64"/>
        <v>31.433900000138237</v>
      </c>
      <c r="C378" s="2">
        <f t="shared" si="63"/>
        <v>1.53572571428559</v>
      </c>
      <c r="D378" s="2">
        <f t="shared" si="61"/>
        <v>8.3135958000002574</v>
      </c>
      <c r="E378" s="2"/>
      <c r="F378">
        <v>2913.9171258000001</v>
      </c>
      <c r="G378">
        <v>228.42857142857099</v>
      </c>
      <c r="H378">
        <v>105.85714285714199</v>
      </c>
      <c r="I378">
        <v>227.936571428571</v>
      </c>
      <c r="J378">
        <v>108.608142857142</v>
      </c>
      <c r="K378">
        <v>220.16734285714199</v>
      </c>
      <c r="L378">
        <v>85.257914285714193</v>
      </c>
      <c r="M378">
        <v>138.43047105853199</v>
      </c>
      <c r="N378">
        <v>0.05</v>
      </c>
      <c r="O378">
        <v>0</v>
      </c>
      <c r="P378">
        <v>0</v>
      </c>
      <c r="Q378">
        <v>0</v>
      </c>
      <c r="R378">
        <v>0.47767456054687502</v>
      </c>
      <c r="S378">
        <v>0.15936225891113201</v>
      </c>
      <c r="T378">
        <v>0</v>
      </c>
      <c r="U378">
        <v>165.72</v>
      </c>
      <c r="V378">
        <v>-1.337</v>
      </c>
      <c r="W378">
        <v>-0.16800000000000001</v>
      </c>
      <c r="X378">
        <v>0.77500000000000002</v>
      </c>
      <c r="Y378" t="b">
        <v>1</v>
      </c>
      <c r="Z378">
        <v>78</v>
      </c>
      <c r="AA378">
        <f t="shared" si="60"/>
        <v>47.7674560546875</v>
      </c>
      <c r="AB378">
        <f t="shared" si="65"/>
        <v>115.72270118653972</v>
      </c>
      <c r="AC378">
        <f t="shared" si="62"/>
        <v>48.855716735080165</v>
      </c>
    </row>
    <row r="379" spans="1:29" x14ac:dyDescent="0.3">
      <c r="A379">
        <f t="shared" si="59"/>
        <v>500</v>
      </c>
      <c r="B379" s="2">
        <f t="shared" si="64"/>
        <v>46.84289999977409</v>
      </c>
      <c r="C379" s="2">
        <f t="shared" si="63"/>
        <v>1.5200057142858014</v>
      </c>
      <c r="D379" s="2">
        <f t="shared" si="61"/>
        <v>8.3604387000000315</v>
      </c>
      <c r="E379" s="2"/>
      <c r="F379">
        <v>2913.9639686999999</v>
      </c>
      <c r="G379">
        <v>228.42857142857099</v>
      </c>
      <c r="H379">
        <v>105.85714285714199</v>
      </c>
      <c r="I379">
        <v>228.42857142857099</v>
      </c>
      <c r="J379">
        <v>106.905142857142</v>
      </c>
      <c r="K379">
        <v>220.71956571428501</v>
      </c>
      <c r="L379">
        <v>86.777919999999995</v>
      </c>
      <c r="M379">
        <v>140.10361258777201</v>
      </c>
      <c r="N379">
        <v>0.05</v>
      </c>
      <c r="O379">
        <v>0</v>
      </c>
      <c r="P379">
        <v>0</v>
      </c>
      <c r="Q379">
        <v>0</v>
      </c>
      <c r="R379">
        <v>0.49019439697265599</v>
      </c>
      <c r="S379">
        <v>0.168631881713867</v>
      </c>
      <c r="T379">
        <v>0</v>
      </c>
      <c r="U379">
        <v>165.88399999999999</v>
      </c>
      <c r="V379">
        <v>-1.3640000000000001</v>
      </c>
      <c r="W379">
        <v>-0.20499999999999999</v>
      </c>
      <c r="X379">
        <v>0.77200000000000002</v>
      </c>
      <c r="Y379" t="b">
        <v>1</v>
      </c>
      <c r="Z379">
        <v>78</v>
      </c>
      <c r="AA379">
        <f t="shared" si="60"/>
        <v>49.019439697265597</v>
      </c>
      <c r="AB379">
        <f t="shared" si="65"/>
        <v>117.96026735375305</v>
      </c>
      <c r="AC379">
        <f t="shared" si="62"/>
        <v>32.449009653397461</v>
      </c>
    </row>
    <row r="380" spans="1:29" x14ac:dyDescent="0.3">
      <c r="A380">
        <f t="shared" si="59"/>
        <v>500</v>
      </c>
      <c r="B380" s="2">
        <f t="shared" si="64"/>
        <v>31.211800000164658</v>
      </c>
      <c r="C380" s="2">
        <f t="shared" si="63"/>
        <v>1.5095257142857008</v>
      </c>
      <c r="D380" s="2">
        <f t="shared" si="61"/>
        <v>8.3916505000001962</v>
      </c>
      <c r="E380" s="2"/>
      <c r="F380">
        <v>2913.9951805000001</v>
      </c>
      <c r="G380">
        <v>228.42857142857099</v>
      </c>
      <c r="H380">
        <v>105.85714285714199</v>
      </c>
      <c r="I380">
        <v>228.79757142857099</v>
      </c>
      <c r="J380">
        <v>105.07114285714199</v>
      </c>
      <c r="K380">
        <v>221.281628571428</v>
      </c>
      <c r="L380">
        <v>88.287445714285695</v>
      </c>
      <c r="M380">
        <v>141.712008225071</v>
      </c>
      <c r="N380">
        <v>0.05</v>
      </c>
      <c r="O380">
        <v>0</v>
      </c>
      <c r="P380">
        <v>0</v>
      </c>
      <c r="Q380">
        <v>0</v>
      </c>
      <c r="R380">
        <v>0.49019439697265599</v>
      </c>
      <c r="S380">
        <v>0.168631881713867</v>
      </c>
      <c r="T380">
        <v>0</v>
      </c>
      <c r="U380">
        <v>165.88399999999999</v>
      </c>
      <c r="V380">
        <v>-1.3640000000000001</v>
      </c>
      <c r="W380">
        <v>-0.20499999999999999</v>
      </c>
      <c r="X380">
        <v>0.77200000000000002</v>
      </c>
      <c r="Y380" t="b">
        <v>1</v>
      </c>
      <c r="Z380">
        <v>78</v>
      </c>
      <c r="AA380">
        <f t="shared" si="60"/>
        <v>49.019439697265597</v>
      </c>
      <c r="AB380">
        <f t="shared" si="65"/>
        <v>119.49025230170425</v>
      </c>
      <c r="AC380">
        <f t="shared" si="62"/>
        <v>48.363942940738355</v>
      </c>
    </row>
    <row r="381" spans="1:29" x14ac:dyDescent="0.3">
      <c r="A381">
        <f t="shared" si="59"/>
        <v>500</v>
      </c>
      <c r="B381" s="2">
        <f t="shared" si="64"/>
        <v>16.124899999795161</v>
      </c>
      <c r="C381" s="2">
        <f t="shared" si="63"/>
        <v>1.4990457142856997</v>
      </c>
      <c r="D381" s="2">
        <f t="shared" si="61"/>
        <v>8.4077753999999914</v>
      </c>
      <c r="E381" s="2"/>
      <c r="F381">
        <v>2914.0113053999999</v>
      </c>
      <c r="G381">
        <v>228.42857142857099</v>
      </c>
      <c r="H381">
        <v>105.85714285714199</v>
      </c>
      <c r="I381">
        <v>229.043571428571</v>
      </c>
      <c r="J381">
        <v>103.237142857142</v>
      </c>
      <c r="K381">
        <v>221.85353142857099</v>
      </c>
      <c r="L381">
        <v>89.786491428571395</v>
      </c>
      <c r="M381">
        <v>143.261165944677</v>
      </c>
      <c r="N381">
        <v>0.05</v>
      </c>
      <c r="O381">
        <v>0</v>
      </c>
      <c r="P381">
        <v>0</v>
      </c>
      <c r="Q381">
        <v>0</v>
      </c>
      <c r="R381">
        <v>0.49019439697265599</v>
      </c>
      <c r="S381">
        <v>0.168631881713867</v>
      </c>
      <c r="T381">
        <v>0</v>
      </c>
      <c r="U381">
        <v>165.88399999999999</v>
      </c>
      <c r="V381">
        <v>-1.3640000000000001</v>
      </c>
      <c r="W381">
        <v>-0.20499999999999999</v>
      </c>
      <c r="X381">
        <v>0.77200000000000002</v>
      </c>
      <c r="Y381" t="b">
        <v>1</v>
      </c>
      <c r="Z381">
        <v>78</v>
      </c>
      <c r="AA381">
        <f t="shared" si="60"/>
        <v>49.019439697265597</v>
      </c>
      <c r="AB381">
        <f t="shared" si="65"/>
        <v>120.28068586486864</v>
      </c>
      <c r="AC381">
        <f t="shared" si="62"/>
        <v>92.964651830693057</v>
      </c>
    </row>
    <row r="382" spans="1:29" x14ac:dyDescent="0.3">
      <c r="A382">
        <f t="shared" si="59"/>
        <v>500</v>
      </c>
      <c r="B382" s="2">
        <f t="shared" si="64"/>
        <v>32.036000000061904</v>
      </c>
      <c r="C382" s="2">
        <f t="shared" si="63"/>
        <v>1.612400000000008</v>
      </c>
      <c r="D382" s="2">
        <f t="shared" si="61"/>
        <v>8.4398114000000533</v>
      </c>
      <c r="E382" s="2"/>
      <c r="F382">
        <v>2914.0433413999999</v>
      </c>
      <c r="G382">
        <v>234</v>
      </c>
      <c r="H382">
        <v>107.25</v>
      </c>
      <c r="I382">
        <v>229.572</v>
      </c>
      <c r="J382">
        <v>104.499</v>
      </c>
      <c r="K382">
        <v>222.43673142857099</v>
      </c>
      <c r="L382">
        <v>91.398891428571403</v>
      </c>
      <c r="M382">
        <v>144.971212170873</v>
      </c>
      <c r="N382">
        <v>0.05</v>
      </c>
      <c r="O382">
        <v>0</v>
      </c>
      <c r="P382">
        <v>0</v>
      </c>
      <c r="Q382">
        <v>0</v>
      </c>
      <c r="R382">
        <v>0.49183422851562503</v>
      </c>
      <c r="S382">
        <v>0.13477842712402299</v>
      </c>
      <c r="T382">
        <v>0</v>
      </c>
      <c r="U382">
        <v>165.76</v>
      </c>
      <c r="V382">
        <v>-1.375</v>
      </c>
      <c r="W382">
        <v>-0.46800000000000003</v>
      </c>
      <c r="X382">
        <v>0.76800000000000002</v>
      </c>
      <c r="Y382" t="b">
        <v>1</v>
      </c>
      <c r="Z382">
        <v>78</v>
      </c>
      <c r="AA382">
        <f t="shared" si="60"/>
        <v>49.183422851562504</v>
      </c>
      <c r="AB382">
        <f t="shared" si="65"/>
        <v>121.85107263501328</v>
      </c>
      <c r="AC382">
        <f t="shared" si="62"/>
        <v>50.330877762420165</v>
      </c>
    </row>
    <row r="383" spans="1:29" x14ac:dyDescent="0.3">
      <c r="A383">
        <f t="shared" si="59"/>
        <v>500</v>
      </c>
      <c r="B383" s="2">
        <f t="shared" si="64"/>
        <v>30.84530000023733</v>
      </c>
      <c r="C383" s="2">
        <f t="shared" si="63"/>
        <v>1.4348399999999941</v>
      </c>
      <c r="D383" s="2">
        <f t="shared" si="61"/>
        <v>8.4706567000002906</v>
      </c>
      <c r="E383" s="2"/>
      <c r="F383">
        <v>2914.0741867000002</v>
      </c>
      <c r="G383">
        <v>234</v>
      </c>
      <c r="H383">
        <v>107.25</v>
      </c>
      <c r="I383">
        <v>229.81800000000001</v>
      </c>
      <c r="J383">
        <v>102.66500000000001</v>
      </c>
      <c r="K383">
        <v>223.016451428571</v>
      </c>
      <c r="L383">
        <v>92.833731428571397</v>
      </c>
      <c r="M383">
        <v>146.497714322576</v>
      </c>
      <c r="N383">
        <v>0.05</v>
      </c>
      <c r="O383">
        <v>0</v>
      </c>
      <c r="P383">
        <v>0</v>
      </c>
      <c r="Q383">
        <v>0</v>
      </c>
      <c r="R383">
        <v>0.49183422851562503</v>
      </c>
      <c r="S383">
        <v>0.13477842712402299</v>
      </c>
      <c r="T383">
        <v>0</v>
      </c>
      <c r="U383">
        <v>165.76</v>
      </c>
      <c r="V383">
        <v>-1.375</v>
      </c>
      <c r="W383">
        <v>-0.46800000000000003</v>
      </c>
      <c r="X383">
        <v>0.76800000000000002</v>
      </c>
      <c r="Y383" t="b">
        <v>1</v>
      </c>
      <c r="Z383">
        <v>78</v>
      </c>
      <c r="AA383">
        <f t="shared" si="60"/>
        <v>49.183422851562504</v>
      </c>
      <c r="AB383">
        <f t="shared" si="65"/>
        <v>123.36815006790826</v>
      </c>
      <c r="AC383">
        <f t="shared" si="62"/>
        <v>46.517297610623146</v>
      </c>
    </row>
    <row r="384" spans="1:29" x14ac:dyDescent="0.3">
      <c r="A384">
        <f t="shared" si="59"/>
        <v>500</v>
      </c>
      <c r="B384" s="2">
        <f t="shared" si="64"/>
        <v>31.039299999974901</v>
      </c>
      <c r="C384" s="2">
        <f t="shared" si="63"/>
        <v>1.5914400000000057</v>
      </c>
      <c r="D384" s="2">
        <f t="shared" si="61"/>
        <v>8.5016960000002655</v>
      </c>
      <c r="E384" s="2"/>
      <c r="F384">
        <v>2914.1052260000001</v>
      </c>
      <c r="G384">
        <v>234</v>
      </c>
      <c r="H384">
        <v>117</v>
      </c>
      <c r="I384">
        <v>230.679</v>
      </c>
      <c r="J384">
        <v>120.79900000000001</v>
      </c>
      <c r="K384">
        <v>223.59965142857101</v>
      </c>
      <c r="L384">
        <v>94.425171428571403</v>
      </c>
      <c r="M384">
        <v>148.17911908942</v>
      </c>
      <c r="N384">
        <v>0.05</v>
      </c>
      <c r="O384">
        <v>0</v>
      </c>
      <c r="P384">
        <v>0</v>
      </c>
      <c r="Q384">
        <v>0</v>
      </c>
      <c r="R384">
        <v>0.527734741210937</v>
      </c>
      <c r="S384">
        <v>9.9550651550292898E-2</v>
      </c>
      <c r="T384">
        <v>0</v>
      </c>
      <c r="U384">
        <v>165.761</v>
      </c>
      <c r="V384">
        <v>-1.43</v>
      </c>
      <c r="W384">
        <v>-0.39800000000000002</v>
      </c>
      <c r="X384">
        <v>0.77100000000000002</v>
      </c>
      <c r="Y384" t="b">
        <v>1</v>
      </c>
      <c r="Z384">
        <v>78</v>
      </c>
      <c r="AA384">
        <f t="shared" si="60"/>
        <v>52.773474121093699</v>
      </c>
      <c r="AB384">
        <f t="shared" si="65"/>
        <v>124.89476908482354</v>
      </c>
      <c r="AC384">
        <f t="shared" si="62"/>
        <v>51.271774814550994</v>
      </c>
    </row>
    <row r="385" spans="1:29" x14ac:dyDescent="0.3">
      <c r="A385">
        <f t="shared" si="59"/>
        <v>500</v>
      </c>
      <c r="B385" s="2">
        <f t="shared" si="64"/>
        <v>31.718199999886565</v>
      </c>
      <c r="C385" s="2">
        <f t="shared" si="63"/>
        <v>1.575720000000004</v>
      </c>
      <c r="D385" s="2">
        <f t="shared" si="61"/>
        <v>8.5334142000001521</v>
      </c>
      <c r="E385" s="2"/>
      <c r="F385">
        <v>2914.1369442</v>
      </c>
      <c r="G385">
        <v>234</v>
      </c>
      <c r="H385">
        <v>117</v>
      </c>
      <c r="I385">
        <v>231.048</v>
      </c>
      <c r="J385">
        <v>118.965</v>
      </c>
      <c r="K385">
        <v>224.18285142857101</v>
      </c>
      <c r="L385">
        <v>96.000891428571407</v>
      </c>
      <c r="M385">
        <v>149.84447375747001</v>
      </c>
      <c r="N385">
        <v>0.05</v>
      </c>
      <c r="O385">
        <v>0</v>
      </c>
      <c r="P385">
        <v>0</v>
      </c>
      <c r="Q385">
        <v>0</v>
      </c>
      <c r="R385">
        <v>0.527734741210937</v>
      </c>
      <c r="S385">
        <v>9.9550651550292898E-2</v>
      </c>
      <c r="T385">
        <v>0</v>
      </c>
      <c r="U385">
        <v>165.761</v>
      </c>
      <c r="V385">
        <v>-1.43</v>
      </c>
      <c r="W385">
        <v>-0.39800000000000002</v>
      </c>
      <c r="X385">
        <v>0.77100000000000002</v>
      </c>
      <c r="Y385" t="b">
        <v>1</v>
      </c>
      <c r="Z385">
        <v>78</v>
      </c>
      <c r="AA385">
        <f t="shared" si="60"/>
        <v>52.773474121093699</v>
      </c>
      <c r="AB385">
        <f t="shared" si="65"/>
        <v>126.56864869168523</v>
      </c>
      <c r="AC385">
        <f t="shared" si="62"/>
        <v>49.678733345701815</v>
      </c>
    </row>
    <row r="386" spans="1:29" x14ac:dyDescent="0.3">
      <c r="A386">
        <f t="shared" si="59"/>
        <v>500</v>
      </c>
      <c r="B386" s="2">
        <f t="shared" si="64"/>
        <v>30.619199999819102</v>
      </c>
      <c r="C386" s="2">
        <f t="shared" si="63"/>
        <v>1.5652399999999886</v>
      </c>
      <c r="D386" s="2">
        <f t="shared" si="61"/>
        <v>8.5640333999999712</v>
      </c>
      <c r="E386" s="2"/>
      <c r="F386">
        <v>2914.1675633999998</v>
      </c>
      <c r="G386">
        <v>234</v>
      </c>
      <c r="H386">
        <v>117</v>
      </c>
      <c r="I386">
        <v>231.417</v>
      </c>
      <c r="J386">
        <v>117.131</v>
      </c>
      <c r="K386">
        <v>224.76113142857099</v>
      </c>
      <c r="L386">
        <v>97.566131428571396</v>
      </c>
      <c r="M386">
        <v>151.49409395628001</v>
      </c>
      <c r="N386">
        <v>0.05</v>
      </c>
      <c r="O386">
        <v>0</v>
      </c>
      <c r="P386">
        <v>0</v>
      </c>
      <c r="Q386">
        <v>0</v>
      </c>
      <c r="R386">
        <v>0.554968566894531</v>
      </c>
      <c r="S386">
        <v>0.150619216918945</v>
      </c>
      <c r="T386">
        <v>0</v>
      </c>
      <c r="U386">
        <v>166.02699999999999</v>
      </c>
      <c r="V386">
        <v>-1.4019999999999999</v>
      </c>
      <c r="W386">
        <v>-0.188</v>
      </c>
      <c r="X386">
        <v>0.77200000000000002</v>
      </c>
      <c r="Y386" t="b">
        <v>1</v>
      </c>
      <c r="Z386">
        <v>78</v>
      </c>
      <c r="AA386">
        <f t="shared" si="60"/>
        <v>55.496856689453097</v>
      </c>
      <c r="AB386">
        <f t="shared" si="65"/>
        <v>128.18453025048427</v>
      </c>
      <c r="AC386">
        <f t="shared" si="62"/>
        <v>51.119558969837101</v>
      </c>
    </row>
    <row r="387" spans="1:29" x14ac:dyDescent="0.3">
      <c r="A387">
        <f t="shared" si="59"/>
        <v>500</v>
      </c>
      <c r="B387" s="2">
        <f t="shared" si="64"/>
        <v>46.349300000201765</v>
      </c>
      <c r="C387" s="2">
        <f t="shared" si="63"/>
        <v>1.5495200000000011</v>
      </c>
      <c r="D387" s="2">
        <f t="shared" si="61"/>
        <v>8.6103827000001729</v>
      </c>
      <c r="E387" s="2"/>
      <c r="F387">
        <v>2914.2139127</v>
      </c>
      <c r="G387">
        <v>234</v>
      </c>
      <c r="H387">
        <v>117</v>
      </c>
      <c r="I387">
        <v>232.155</v>
      </c>
      <c r="J387">
        <v>115.297</v>
      </c>
      <c r="K387">
        <v>225.34925142857099</v>
      </c>
      <c r="L387">
        <v>99.115651428571397</v>
      </c>
      <c r="M387">
        <v>153.16744261409701</v>
      </c>
      <c r="N387">
        <v>0.05</v>
      </c>
      <c r="O387">
        <v>0</v>
      </c>
      <c r="P387">
        <v>0</v>
      </c>
      <c r="Q387">
        <v>0</v>
      </c>
      <c r="R387">
        <v>0.554968566894531</v>
      </c>
      <c r="S387">
        <v>0.150619216918945</v>
      </c>
      <c r="T387">
        <v>0</v>
      </c>
      <c r="U387">
        <v>166.02699999999999</v>
      </c>
      <c r="V387">
        <v>-1.4019999999999999</v>
      </c>
      <c r="W387">
        <v>-0.188</v>
      </c>
      <c r="X387">
        <v>0.77200000000000002</v>
      </c>
      <c r="Y387" t="b">
        <v>1</v>
      </c>
      <c r="Z387">
        <v>78</v>
      </c>
      <c r="AA387">
        <f t="shared" si="60"/>
        <v>55.496856689453097</v>
      </c>
      <c r="AB387">
        <f t="shared" si="65"/>
        <v>130.75677071025194</v>
      </c>
      <c r="AC387">
        <f t="shared" si="62"/>
        <v>33.431357107728829</v>
      </c>
    </row>
    <row r="388" spans="1:29" x14ac:dyDescent="0.3">
      <c r="A388">
        <f t="shared" si="59"/>
        <v>500</v>
      </c>
      <c r="B388" s="2">
        <f t="shared" si="64"/>
        <v>31.269499999780237</v>
      </c>
      <c r="C388" s="2">
        <f t="shared" si="63"/>
        <v>1.933159999999603</v>
      </c>
      <c r="D388" s="2">
        <f t="shared" si="61"/>
        <v>8.6416521999999532</v>
      </c>
      <c r="E388" s="2"/>
      <c r="F388">
        <v>2914.2451821999998</v>
      </c>
      <c r="G388">
        <v>229.125</v>
      </c>
      <c r="H388">
        <v>121.875</v>
      </c>
      <c r="I388">
        <v>232.93799999999999</v>
      </c>
      <c r="J388">
        <v>123.316</v>
      </c>
      <c r="K388">
        <v>225.953931428571</v>
      </c>
      <c r="L388">
        <v>101.048811428571</v>
      </c>
      <c r="M388">
        <v>155.18156592252799</v>
      </c>
      <c r="N388">
        <v>0.05</v>
      </c>
      <c r="O388">
        <v>0</v>
      </c>
      <c r="P388">
        <v>0</v>
      </c>
      <c r="Q388">
        <v>0</v>
      </c>
      <c r="R388">
        <v>0.53409930419921803</v>
      </c>
      <c r="S388">
        <v>0.159754806518554</v>
      </c>
      <c r="T388">
        <v>0</v>
      </c>
      <c r="U388">
        <v>165.9</v>
      </c>
      <c r="V388">
        <v>-1.2749999999999999</v>
      </c>
      <c r="W388">
        <v>-0.313</v>
      </c>
      <c r="X388">
        <v>0.77300000000000002</v>
      </c>
      <c r="Y388" t="b">
        <v>1</v>
      </c>
      <c r="Z388">
        <v>78</v>
      </c>
      <c r="AA388">
        <f t="shared" si="60"/>
        <v>53.4099304199218</v>
      </c>
      <c r="AB388">
        <f t="shared" si="65"/>
        <v>132.49212967049061</v>
      </c>
      <c r="AC388">
        <f t="shared" si="62"/>
        <v>61.822542733756194</v>
      </c>
    </row>
    <row r="389" spans="1:29" x14ac:dyDescent="0.3">
      <c r="A389">
        <f t="shared" si="59"/>
        <v>500</v>
      </c>
      <c r="B389" s="2">
        <f t="shared" si="64"/>
        <v>30.868100000134291</v>
      </c>
      <c r="C389" s="2">
        <f t="shared" si="63"/>
        <v>1.6694399999999945</v>
      </c>
      <c r="D389" s="2">
        <f t="shared" si="61"/>
        <v>8.6725203000000874</v>
      </c>
      <c r="E389" s="2"/>
      <c r="F389">
        <v>2914.2760503</v>
      </c>
      <c r="G389">
        <v>234</v>
      </c>
      <c r="H389">
        <v>126.75</v>
      </c>
      <c r="I389">
        <v>234.369</v>
      </c>
      <c r="J389">
        <v>130.94200000000001</v>
      </c>
      <c r="K389">
        <v>226.58981142857101</v>
      </c>
      <c r="L389">
        <v>102.71825142857099</v>
      </c>
      <c r="M389">
        <v>156.92895158361199</v>
      </c>
      <c r="N389">
        <v>0.05</v>
      </c>
      <c r="O389">
        <v>0</v>
      </c>
      <c r="P389">
        <v>0</v>
      </c>
      <c r="Q389">
        <v>0</v>
      </c>
      <c r="R389">
        <v>0.53409930419921803</v>
      </c>
      <c r="S389">
        <v>0.159754806518554</v>
      </c>
      <c r="T389">
        <v>0</v>
      </c>
      <c r="U389">
        <v>165.9</v>
      </c>
      <c r="V389">
        <v>-1.2749999999999999</v>
      </c>
      <c r="W389">
        <v>-0.313</v>
      </c>
      <c r="X389">
        <v>0.77300000000000002</v>
      </c>
      <c r="Y389" t="b">
        <v>1</v>
      </c>
      <c r="Z389">
        <v>78</v>
      </c>
      <c r="AA389">
        <f t="shared" si="60"/>
        <v>53.4099304199218</v>
      </c>
      <c r="AB389">
        <f t="shared" si="65"/>
        <v>134.14079274369297</v>
      </c>
      <c r="AC389">
        <f t="shared" si="62"/>
        <v>54.083017743001079</v>
      </c>
    </row>
    <row r="390" spans="1:29" x14ac:dyDescent="0.3">
      <c r="A390">
        <f t="shared" si="59"/>
        <v>500</v>
      </c>
      <c r="B390" s="2">
        <f t="shared" si="64"/>
        <v>31.32450000020981</v>
      </c>
      <c r="C390" s="2">
        <f t="shared" si="63"/>
        <v>1.491880000000009</v>
      </c>
      <c r="D390" s="2">
        <f t="shared" si="61"/>
        <v>8.7038448000002973</v>
      </c>
      <c r="E390" s="2"/>
      <c r="F390">
        <v>2914.3073748000002</v>
      </c>
      <c r="G390">
        <v>234</v>
      </c>
      <c r="H390">
        <v>126.75</v>
      </c>
      <c r="I390">
        <v>235.107</v>
      </c>
      <c r="J390">
        <v>129.239</v>
      </c>
      <c r="K390">
        <v>227.236971428571</v>
      </c>
      <c r="L390">
        <v>104.210131428571</v>
      </c>
      <c r="M390">
        <v>158.49797021402901</v>
      </c>
      <c r="N390">
        <v>0.05</v>
      </c>
      <c r="O390">
        <v>0</v>
      </c>
      <c r="P390">
        <v>0</v>
      </c>
      <c r="Q390">
        <v>0</v>
      </c>
      <c r="R390">
        <v>0.55685443115234301</v>
      </c>
      <c r="S390">
        <v>0.13762486267089799</v>
      </c>
      <c r="T390">
        <v>0</v>
      </c>
      <c r="U390">
        <v>165.93299999999999</v>
      </c>
      <c r="V390">
        <v>-1.3440000000000001</v>
      </c>
      <c r="W390">
        <v>-0.38200000000000001</v>
      </c>
      <c r="X390">
        <v>0.77200000000000002</v>
      </c>
      <c r="Y390" t="b">
        <v>1</v>
      </c>
      <c r="Z390">
        <v>78</v>
      </c>
      <c r="AA390">
        <f t="shared" si="60"/>
        <v>55.6854431152343</v>
      </c>
      <c r="AB390">
        <f t="shared" si="65"/>
        <v>135.81383210914302</v>
      </c>
      <c r="AC390">
        <f t="shared" si="62"/>
        <v>47.626618142029926</v>
      </c>
    </row>
    <row r="391" spans="1:29" x14ac:dyDescent="0.3">
      <c r="A391">
        <f t="shared" ref="A391:A454" si="66">N391*10000</f>
        <v>500</v>
      </c>
      <c r="B391" s="2">
        <f t="shared" si="64"/>
        <v>31.285600000046543</v>
      </c>
      <c r="C391" s="2">
        <f t="shared" si="63"/>
        <v>1.3994857142860013</v>
      </c>
      <c r="D391" s="2">
        <f t="shared" si="61"/>
        <v>8.7351304000003438</v>
      </c>
      <c r="E391" s="2"/>
      <c r="F391">
        <v>2914.3386604000002</v>
      </c>
      <c r="G391">
        <v>234</v>
      </c>
      <c r="H391">
        <v>126.75</v>
      </c>
      <c r="I391">
        <v>235.35300000000001</v>
      </c>
      <c r="J391">
        <v>128.322</v>
      </c>
      <c r="K391">
        <v>227.862994285714</v>
      </c>
      <c r="L391">
        <v>105.609617142857</v>
      </c>
      <c r="M391">
        <v>159.972577470651</v>
      </c>
      <c r="N391">
        <v>0.05</v>
      </c>
      <c r="O391">
        <v>0</v>
      </c>
      <c r="P391">
        <v>0</v>
      </c>
      <c r="Q391">
        <v>0</v>
      </c>
      <c r="R391">
        <v>0.55685443115234301</v>
      </c>
      <c r="S391">
        <v>0.13762486267089799</v>
      </c>
      <c r="T391">
        <v>0</v>
      </c>
      <c r="U391">
        <v>165.93299999999999</v>
      </c>
      <c r="V391">
        <v>-1.3440000000000001</v>
      </c>
      <c r="W391">
        <v>-0.38200000000000001</v>
      </c>
      <c r="X391">
        <v>0.77200000000000002</v>
      </c>
      <c r="Y391" t="b">
        <v>1</v>
      </c>
      <c r="Z391">
        <v>78</v>
      </c>
      <c r="AA391">
        <f t="shared" ref="AA391:AA454" si="67">R391*100</f>
        <v>55.6854431152343</v>
      </c>
      <c r="AB391">
        <f t="shared" si="65"/>
        <v>137.55598460827159</v>
      </c>
      <c r="AC391">
        <f t="shared" si="62"/>
        <v>44.732583497964541</v>
      </c>
    </row>
    <row r="392" spans="1:29" x14ac:dyDescent="0.3">
      <c r="A392">
        <f t="shared" si="66"/>
        <v>500</v>
      </c>
      <c r="B392" s="2">
        <f t="shared" si="64"/>
        <v>30.655499999738822</v>
      </c>
      <c r="C392" s="2">
        <f t="shared" si="63"/>
        <v>1.4551999999999907</v>
      </c>
      <c r="D392" s="2">
        <f t="shared" ref="D392:D455" si="68">F392-$F$7</f>
        <v>8.7657859000000826</v>
      </c>
      <c r="E392" s="2"/>
      <c r="F392">
        <v>2914.3693158999999</v>
      </c>
      <c r="G392">
        <v>234</v>
      </c>
      <c r="H392">
        <v>126.75</v>
      </c>
      <c r="I392">
        <v>236.33699999999999</v>
      </c>
      <c r="J392">
        <v>125.44</v>
      </c>
      <c r="K392">
        <v>228.49899428571399</v>
      </c>
      <c r="L392">
        <v>107.064817142857</v>
      </c>
      <c r="M392">
        <v>161.499569694152</v>
      </c>
      <c r="N392">
        <v>0.05</v>
      </c>
      <c r="O392">
        <v>0</v>
      </c>
      <c r="P392">
        <v>0</v>
      </c>
      <c r="Q392">
        <v>0</v>
      </c>
      <c r="R392">
        <v>0.55235906982421801</v>
      </c>
      <c r="S392">
        <v>0.13954832458496</v>
      </c>
      <c r="T392">
        <v>0</v>
      </c>
      <c r="U392">
        <v>165.88399999999999</v>
      </c>
      <c r="V392">
        <v>-1.244</v>
      </c>
      <c r="W392">
        <v>-0.34200000000000003</v>
      </c>
      <c r="X392">
        <v>0.77</v>
      </c>
      <c r="Y392" t="b">
        <v>1</v>
      </c>
      <c r="Z392">
        <v>78</v>
      </c>
      <c r="AA392">
        <f t="shared" si="67"/>
        <v>55.235906982421803</v>
      </c>
      <c r="AB392">
        <f t="shared" si="65"/>
        <v>139.2630497096761</v>
      </c>
      <c r="AC392">
        <f t="shared" ref="AC392:AC455" si="69">IF((L392-L391)/(D392-D391)&lt;100,IF((L392-L391)/(D392-D391)&gt;(-1*20),(L392-L391)/(D392-D391),AC391))</f>
        <v>47.469458988187718</v>
      </c>
    </row>
    <row r="393" spans="1:29" x14ac:dyDescent="0.3">
      <c r="A393">
        <f t="shared" si="66"/>
        <v>500</v>
      </c>
      <c r="B393" s="2">
        <f t="shared" si="64"/>
        <v>46.094100000118488</v>
      </c>
      <c r="C393" s="2">
        <f t="shared" ref="C393:C456" si="70">L393-L392</f>
        <v>1.4814000000000078</v>
      </c>
      <c r="D393" s="2">
        <f t="shared" si="68"/>
        <v>8.8118800000002011</v>
      </c>
      <c r="E393" s="2"/>
      <c r="F393">
        <v>2914.4154100000001</v>
      </c>
      <c r="G393">
        <v>234</v>
      </c>
      <c r="H393">
        <v>126.75</v>
      </c>
      <c r="I393">
        <v>236.70599999999999</v>
      </c>
      <c r="J393">
        <v>124.523</v>
      </c>
      <c r="K393">
        <v>229.13007428571399</v>
      </c>
      <c r="L393">
        <v>108.546217142857</v>
      </c>
      <c r="M393">
        <v>163.08563040089999</v>
      </c>
      <c r="N393">
        <v>0.05</v>
      </c>
      <c r="O393">
        <v>0</v>
      </c>
      <c r="P393">
        <v>0</v>
      </c>
      <c r="Q393">
        <v>0</v>
      </c>
      <c r="R393">
        <v>0.55235906982421801</v>
      </c>
      <c r="S393">
        <v>0.13954832458496</v>
      </c>
      <c r="T393">
        <v>0</v>
      </c>
      <c r="U393">
        <v>165.88399999999999</v>
      </c>
      <c r="V393">
        <v>-1.244</v>
      </c>
      <c r="W393">
        <v>-0.34200000000000003</v>
      </c>
      <c r="X393">
        <v>0.77</v>
      </c>
      <c r="Y393" t="b">
        <v>1</v>
      </c>
      <c r="Z393">
        <v>78</v>
      </c>
      <c r="AA393">
        <f t="shared" si="67"/>
        <v>55.235906982421803</v>
      </c>
      <c r="AB393">
        <f t="shared" si="65"/>
        <v>141.80909912972109</v>
      </c>
      <c r="AC393">
        <f t="shared" si="69"/>
        <v>32.138603422047503</v>
      </c>
    </row>
    <row r="394" spans="1:29" x14ac:dyDescent="0.3">
      <c r="A394">
        <f t="shared" si="66"/>
        <v>500</v>
      </c>
      <c r="B394" s="2">
        <f t="shared" si="64"/>
        <v>30.475999999907799</v>
      </c>
      <c r="C394" s="2">
        <f t="shared" si="70"/>
        <v>1.59084</v>
      </c>
      <c r="D394" s="2">
        <f t="shared" si="68"/>
        <v>8.8423560000001089</v>
      </c>
      <c r="E394" s="2"/>
      <c r="F394">
        <v>2914.445886</v>
      </c>
      <c r="G394">
        <v>237.9</v>
      </c>
      <c r="H394">
        <v>128.69999999999999</v>
      </c>
      <c r="I394">
        <v>237.9</v>
      </c>
      <c r="J394">
        <v>125.817999999999</v>
      </c>
      <c r="K394">
        <v>229.77939428571401</v>
      </c>
      <c r="L394">
        <v>110.137057142857</v>
      </c>
      <c r="M394">
        <v>164.74356213529401</v>
      </c>
      <c r="N394">
        <v>0.05</v>
      </c>
      <c r="O394">
        <v>0</v>
      </c>
      <c r="P394">
        <v>0</v>
      </c>
      <c r="Q394">
        <v>0</v>
      </c>
      <c r="R394">
        <v>0.52719427490234305</v>
      </c>
      <c r="S394">
        <v>0.14787057495117101</v>
      </c>
      <c r="T394">
        <v>0</v>
      </c>
      <c r="U394">
        <v>165.911</v>
      </c>
      <c r="V394">
        <v>-1.2749999999999999</v>
      </c>
      <c r="W394">
        <v>-0.34200000000000003</v>
      </c>
      <c r="X394">
        <v>0.76500000000000001</v>
      </c>
      <c r="Y394" t="b">
        <v>1</v>
      </c>
      <c r="Z394">
        <v>78</v>
      </c>
      <c r="AA394">
        <f t="shared" si="67"/>
        <v>52.719427490234303</v>
      </c>
      <c r="AB394">
        <f t="shared" si="65"/>
        <v>143.49246863091227</v>
      </c>
      <c r="AC394">
        <f t="shared" si="69"/>
        <v>52.199763748681356</v>
      </c>
    </row>
    <row r="395" spans="1:29" x14ac:dyDescent="0.3">
      <c r="A395">
        <f t="shared" si="66"/>
        <v>500</v>
      </c>
      <c r="B395" s="2">
        <f t="shared" si="64"/>
        <v>31.737899999825459</v>
      </c>
      <c r="C395" s="2">
        <f t="shared" si="70"/>
        <v>2.2067600000000027</v>
      </c>
      <c r="D395" s="2">
        <f t="shared" si="68"/>
        <v>8.8740938999999344</v>
      </c>
      <c r="E395" s="2"/>
      <c r="F395">
        <v>2914.4776238999998</v>
      </c>
      <c r="G395">
        <v>234</v>
      </c>
      <c r="H395">
        <v>136.5</v>
      </c>
      <c r="I395">
        <v>238.797</v>
      </c>
      <c r="J395">
        <v>139.77500000000001</v>
      </c>
      <c r="K395">
        <v>230.44491428571399</v>
      </c>
      <c r="L395">
        <v>112.34381714285701</v>
      </c>
      <c r="M395">
        <v>167.01846051946401</v>
      </c>
      <c r="N395">
        <v>0.05</v>
      </c>
      <c r="O395">
        <v>0</v>
      </c>
      <c r="P395">
        <v>0</v>
      </c>
      <c r="Q395">
        <v>0</v>
      </c>
      <c r="R395">
        <v>0.52719427490234305</v>
      </c>
      <c r="S395">
        <v>0.14787057495117101</v>
      </c>
      <c r="T395">
        <v>0</v>
      </c>
      <c r="U395">
        <v>165.911</v>
      </c>
      <c r="V395">
        <v>-1.2749999999999999</v>
      </c>
      <c r="W395">
        <v>-0.34200000000000003</v>
      </c>
      <c r="X395">
        <v>0.76500000000000001</v>
      </c>
      <c r="Y395" t="b">
        <v>1</v>
      </c>
      <c r="Z395">
        <v>78</v>
      </c>
      <c r="AA395">
        <f t="shared" si="67"/>
        <v>52.719427490234303</v>
      </c>
      <c r="AB395">
        <f t="shared" si="65"/>
        <v>145.16567254864538</v>
      </c>
      <c r="AC395">
        <f t="shared" si="69"/>
        <v>69.530750302072249</v>
      </c>
    </row>
    <row r="396" spans="1:29" x14ac:dyDescent="0.3">
      <c r="A396">
        <f t="shared" si="66"/>
        <v>500</v>
      </c>
      <c r="B396" s="2">
        <f t="shared" si="64"/>
        <v>30.533900000136782</v>
      </c>
      <c r="C396" s="2">
        <f t="shared" si="70"/>
        <v>2.056725714284994</v>
      </c>
      <c r="D396" s="2">
        <f t="shared" si="68"/>
        <v>8.9046278000000711</v>
      </c>
      <c r="E396" s="2"/>
      <c r="F396">
        <v>2914.5081577999999</v>
      </c>
      <c r="G396">
        <v>234</v>
      </c>
      <c r="H396">
        <v>136.5</v>
      </c>
      <c r="I396">
        <v>239.28899999999999</v>
      </c>
      <c r="J396">
        <v>137.548</v>
      </c>
      <c r="K396">
        <v>231.10073142857101</v>
      </c>
      <c r="L396">
        <v>114.400542857142</v>
      </c>
      <c r="M396">
        <v>169.13911356300201</v>
      </c>
      <c r="N396">
        <v>0.05</v>
      </c>
      <c r="O396">
        <v>0</v>
      </c>
      <c r="P396">
        <v>0</v>
      </c>
      <c r="Q396">
        <v>0</v>
      </c>
      <c r="R396">
        <v>0.53596618652343697</v>
      </c>
      <c r="S396">
        <v>0.122323410034179</v>
      </c>
      <c r="T396">
        <v>0</v>
      </c>
      <c r="U396">
        <v>165.81700000000001</v>
      </c>
      <c r="V396">
        <v>-1.4830000000000001</v>
      </c>
      <c r="W396">
        <v>-0.41599999999999998</v>
      </c>
      <c r="X396">
        <v>0.75900000000000001</v>
      </c>
      <c r="Y396" t="b">
        <v>1</v>
      </c>
      <c r="Z396">
        <v>78</v>
      </c>
      <c r="AA396">
        <f t="shared" si="67"/>
        <v>53.5966186523437</v>
      </c>
      <c r="AB396">
        <f t="shared" si="65"/>
        <v>146.77540227569665</v>
      </c>
      <c r="AC396">
        <f t="shared" si="69"/>
        <v>67.358762368245806</v>
      </c>
    </row>
    <row r="397" spans="1:29" x14ac:dyDescent="0.3">
      <c r="A397">
        <f t="shared" si="66"/>
        <v>500</v>
      </c>
      <c r="B397" s="2">
        <f t="shared" si="64"/>
        <v>15.798500000073545</v>
      </c>
      <c r="C397" s="2">
        <f t="shared" si="70"/>
        <v>1.8776399999999995</v>
      </c>
      <c r="D397" s="2">
        <f t="shared" si="68"/>
        <v>8.9204263000001447</v>
      </c>
      <c r="E397" s="2"/>
      <c r="F397">
        <v>2914.5239563</v>
      </c>
      <c r="G397">
        <v>234</v>
      </c>
      <c r="H397">
        <v>136.5</v>
      </c>
      <c r="I397">
        <v>239.535</v>
      </c>
      <c r="J397">
        <v>135.452</v>
      </c>
      <c r="K397">
        <v>231.73257142857099</v>
      </c>
      <c r="L397">
        <v>116.278182857142</v>
      </c>
      <c r="M397">
        <v>171.04921709783301</v>
      </c>
      <c r="N397">
        <v>0.05</v>
      </c>
      <c r="O397">
        <v>0</v>
      </c>
      <c r="P397">
        <v>0</v>
      </c>
      <c r="Q397">
        <v>0</v>
      </c>
      <c r="R397">
        <v>0.53596618652343697</v>
      </c>
      <c r="S397">
        <v>0.122323410034179</v>
      </c>
      <c r="T397">
        <v>0</v>
      </c>
      <c r="U397">
        <v>165.81700000000001</v>
      </c>
      <c r="V397">
        <v>-1.4830000000000001</v>
      </c>
      <c r="W397">
        <v>-0.41599999999999998</v>
      </c>
      <c r="X397">
        <v>0.75900000000000001</v>
      </c>
      <c r="Y397" t="b">
        <v>1</v>
      </c>
      <c r="Z397">
        <v>78</v>
      </c>
      <c r="AA397">
        <f t="shared" si="67"/>
        <v>53.5966186523437</v>
      </c>
      <c r="AB397">
        <f t="shared" si="65"/>
        <v>147.62214845547965</v>
      </c>
      <c r="AC397" t="b">
        <f t="shared" si="69"/>
        <v>0</v>
      </c>
    </row>
    <row r="398" spans="1:29" x14ac:dyDescent="0.3">
      <c r="A398">
        <f t="shared" si="66"/>
        <v>500</v>
      </c>
      <c r="B398" s="2">
        <f t="shared" si="64"/>
        <v>32.164600000214705</v>
      </c>
      <c r="C398" s="2">
        <f t="shared" si="70"/>
        <v>1.355639999999994</v>
      </c>
      <c r="D398" s="2">
        <f t="shared" si="68"/>
        <v>8.9525909000003594</v>
      </c>
      <c r="E398" s="2"/>
      <c r="F398">
        <v>2914.5561209000002</v>
      </c>
      <c r="G398">
        <v>243.75</v>
      </c>
      <c r="H398">
        <v>136.5</v>
      </c>
      <c r="I398">
        <v>240.18299999999999</v>
      </c>
      <c r="J398">
        <v>133.88</v>
      </c>
      <c r="K398">
        <v>232.36497142857101</v>
      </c>
      <c r="L398">
        <v>117.63382285714199</v>
      </c>
      <c r="M398">
        <v>172.469685512746</v>
      </c>
      <c r="N398">
        <v>0.05</v>
      </c>
      <c r="O398">
        <v>0</v>
      </c>
      <c r="P398">
        <v>0</v>
      </c>
      <c r="Q398">
        <v>0</v>
      </c>
      <c r="R398">
        <v>0.52924548339843702</v>
      </c>
      <c r="S398">
        <v>0.11961248016357399</v>
      </c>
      <c r="T398">
        <v>0</v>
      </c>
      <c r="U398">
        <v>165.898</v>
      </c>
      <c r="V398">
        <v>-1.377</v>
      </c>
      <c r="W398">
        <v>-0.27300000000000002</v>
      </c>
      <c r="X398">
        <v>0.75700000000000001</v>
      </c>
      <c r="Y398" t="b">
        <v>1</v>
      </c>
      <c r="Z398">
        <v>78</v>
      </c>
      <c r="AA398">
        <f t="shared" si="67"/>
        <v>52.924548339843703</v>
      </c>
      <c r="AB398">
        <f t="shared" si="65"/>
        <v>149.34606225579634</v>
      </c>
      <c r="AC398">
        <f t="shared" si="69"/>
        <v>42.146956591748221</v>
      </c>
    </row>
    <row r="399" spans="1:29" x14ac:dyDescent="0.3">
      <c r="A399">
        <f t="shared" si="66"/>
        <v>500</v>
      </c>
      <c r="B399" s="2">
        <f t="shared" si="64"/>
        <v>31.662599999890517</v>
      </c>
      <c r="C399" s="2">
        <f t="shared" si="70"/>
        <v>2.0148057142860125</v>
      </c>
      <c r="D399" s="2">
        <f t="shared" si="68"/>
        <v>8.9842535000002499</v>
      </c>
      <c r="E399" s="2"/>
      <c r="F399">
        <v>2914.5877835000001</v>
      </c>
      <c r="G399">
        <v>239.57142857142799</v>
      </c>
      <c r="H399">
        <v>144.85714285714201</v>
      </c>
      <c r="I399">
        <v>241.293428571428</v>
      </c>
      <c r="J399">
        <v>148.65614285714199</v>
      </c>
      <c r="K399">
        <v>233.01718857142799</v>
      </c>
      <c r="L399">
        <v>119.64862857142801</v>
      </c>
      <c r="M399">
        <v>174.54668580131801</v>
      </c>
      <c r="N399">
        <v>0.05</v>
      </c>
      <c r="O399">
        <v>0</v>
      </c>
      <c r="P399">
        <v>0</v>
      </c>
      <c r="Q399">
        <v>0</v>
      </c>
      <c r="R399">
        <v>0.52924548339843702</v>
      </c>
      <c r="S399">
        <v>0.11961248016357399</v>
      </c>
      <c r="T399">
        <v>0</v>
      </c>
      <c r="U399">
        <v>165.898</v>
      </c>
      <c r="V399">
        <v>-1.377</v>
      </c>
      <c r="W399">
        <v>-0.27300000000000002</v>
      </c>
      <c r="X399">
        <v>0.75700000000000001</v>
      </c>
      <c r="Y399" t="b">
        <v>1</v>
      </c>
      <c r="Z399">
        <v>78</v>
      </c>
      <c r="AA399">
        <f t="shared" si="67"/>
        <v>52.924548339843703</v>
      </c>
      <c r="AB399">
        <f t="shared" si="65"/>
        <v>151.02179106005568</v>
      </c>
      <c r="AC399">
        <f t="shared" si="69"/>
        <v>63.633615505137904</v>
      </c>
    </row>
    <row r="400" spans="1:29" x14ac:dyDescent="0.3">
      <c r="A400">
        <f t="shared" si="66"/>
        <v>500</v>
      </c>
      <c r="B400" s="2">
        <f t="shared" si="64"/>
        <v>45.625299999755953</v>
      </c>
      <c r="C400" s="2">
        <f t="shared" si="70"/>
        <v>2.1176799999999929</v>
      </c>
      <c r="D400" s="2">
        <f t="shared" si="68"/>
        <v>9.0298788000000059</v>
      </c>
      <c r="E400" s="2"/>
      <c r="F400">
        <v>2914.6334087999999</v>
      </c>
      <c r="G400">
        <v>243.75</v>
      </c>
      <c r="H400">
        <v>146.25</v>
      </c>
      <c r="I400">
        <v>242.15100000000001</v>
      </c>
      <c r="J400">
        <v>149.52500000000001</v>
      </c>
      <c r="K400">
        <v>233.679108571428</v>
      </c>
      <c r="L400">
        <v>121.766308571428</v>
      </c>
      <c r="M400">
        <v>176.751238925282</v>
      </c>
      <c r="N400">
        <v>0.05</v>
      </c>
      <c r="O400">
        <v>0</v>
      </c>
      <c r="P400">
        <v>0</v>
      </c>
      <c r="Q400">
        <v>0</v>
      </c>
      <c r="R400">
        <v>0.49119223022460901</v>
      </c>
      <c r="S400">
        <v>0.16032267761230401</v>
      </c>
      <c r="T400">
        <v>0</v>
      </c>
      <c r="U400">
        <v>165.90899999999999</v>
      </c>
      <c r="V400">
        <v>-1.1000000000000001</v>
      </c>
      <c r="W400">
        <v>-0.152</v>
      </c>
      <c r="X400">
        <v>0.755</v>
      </c>
      <c r="Y400" t="b">
        <v>1</v>
      </c>
      <c r="Z400">
        <v>78</v>
      </c>
      <c r="AA400">
        <f t="shared" si="67"/>
        <v>49.119223022460901</v>
      </c>
      <c r="AB400">
        <f t="shared" si="65"/>
        <v>153.43648945541264</v>
      </c>
      <c r="AC400">
        <f t="shared" si="69"/>
        <v>46.41459891795386</v>
      </c>
    </row>
    <row r="401" spans="1:29" x14ac:dyDescent="0.3">
      <c r="A401">
        <f t="shared" si="66"/>
        <v>500</v>
      </c>
      <c r="B401" s="2">
        <f t="shared" si="64"/>
        <v>31.574600000112696</v>
      </c>
      <c r="C401" s="2">
        <f t="shared" si="70"/>
        <v>1.7992399999999975</v>
      </c>
      <c r="D401" s="2">
        <f t="shared" si="68"/>
        <v>9.0614534000001186</v>
      </c>
      <c r="E401" s="2"/>
      <c r="F401">
        <v>2914.6649834</v>
      </c>
      <c r="G401">
        <v>243.75</v>
      </c>
      <c r="H401">
        <v>146.25</v>
      </c>
      <c r="I401">
        <v>242.76599999999999</v>
      </c>
      <c r="J401">
        <v>147.429</v>
      </c>
      <c r="K401">
        <v>234.33886857142801</v>
      </c>
      <c r="L401">
        <v>123.565548571428</v>
      </c>
      <c r="M401">
        <v>178.60875379051501</v>
      </c>
      <c r="N401">
        <v>0.05</v>
      </c>
      <c r="O401">
        <v>0</v>
      </c>
      <c r="P401">
        <v>0</v>
      </c>
      <c r="Q401">
        <v>0</v>
      </c>
      <c r="R401">
        <v>0.49119223022460901</v>
      </c>
      <c r="S401">
        <v>0.16032267761230401</v>
      </c>
      <c r="T401">
        <v>0</v>
      </c>
      <c r="U401">
        <v>165.90899999999999</v>
      </c>
      <c r="V401">
        <v>-1.1000000000000001</v>
      </c>
      <c r="W401">
        <v>-0.152</v>
      </c>
      <c r="X401">
        <v>0.755</v>
      </c>
      <c r="Y401" t="b">
        <v>1</v>
      </c>
      <c r="Z401">
        <v>78</v>
      </c>
      <c r="AA401">
        <f t="shared" si="67"/>
        <v>49.119223022460901</v>
      </c>
      <c r="AB401">
        <f t="shared" si="65"/>
        <v>154.98740927466318</v>
      </c>
      <c r="AC401">
        <f t="shared" si="69"/>
        <v>56.983778099914986</v>
      </c>
    </row>
    <row r="402" spans="1:29" x14ac:dyDescent="0.3">
      <c r="A402">
        <f t="shared" si="66"/>
        <v>500</v>
      </c>
      <c r="B402" s="2">
        <f t="shared" si="64"/>
        <v>30.609500000082335</v>
      </c>
      <c r="C402" s="2">
        <f t="shared" si="70"/>
        <v>1.5642399999999981</v>
      </c>
      <c r="D402" s="2">
        <f t="shared" si="68"/>
        <v>9.0920629000002009</v>
      </c>
      <c r="E402" s="2"/>
      <c r="F402">
        <v>2914.6955929000001</v>
      </c>
      <c r="G402">
        <v>243.75</v>
      </c>
      <c r="H402">
        <v>146.25</v>
      </c>
      <c r="I402">
        <v>243.381</v>
      </c>
      <c r="J402">
        <v>145.202</v>
      </c>
      <c r="K402">
        <v>235.000028571428</v>
      </c>
      <c r="L402">
        <v>125.12978857142799</v>
      </c>
      <c r="M402">
        <v>180.22808798450799</v>
      </c>
      <c r="N402">
        <v>0.05</v>
      </c>
      <c r="O402">
        <v>0</v>
      </c>
      <c r="P402">
        <v>0</v>
      </c>
      <c r="Q402">
        <v>0</v>
      </c>
      <c r="R402">
        <v>0.484542083740234</v>
      </c>
      <c r="S402">
        <v>0.144098648071289</v>
      </c>
      <c r="T402">
        <v>0</v>
      </c>
      <c r="U402">
        <v>166.113</v>
      </c>
      <c r="V402">
        <v>-1.044</v>
      </c>
      <c r="W402">
        <v>-0.20799999999999999</v>
      </c>
      <c r="X402">
        <v>0.751</v>
      </c>
      <c r="Y402" t="b">
        <v>1</v>
      </c>
      <c r="Z402">
        <v>78</v>
      </c>
      <c r="AA402">
        <f t="shared" si="67"/>
        <v>48.454208374023402</v>
      </c>
      <c r="AB402">
        <f t="shared" si="65"/>
        <v>156.49092413177323</v>
      </c>
      <c r="AC402">
        <f t="shared" si="69"/>
        <v>51.103088910168104</v>
      </c>
    </row>
    <row r="403" spans="1:29" x14ac:dyDescent="0.3">
      <c r="A403">
        <f t="shared" si="66"/>
        <v>500</v>
      </c>
      <c r="B403" s="2">
        <f t="shared" si="64"/>
        <v>30.613500000072236</v>
      </c>
      <c r="C403" s="2">
        <f t="shared" si="70"/>
        <v>1.3746742857140077</v>
      </c>
      <c r="D403" s="2">
        <f t="shared" si="68"/>
        <v>9.1226764000002731</v>
      </c>
      <c r="E403" s="2"/>
      <c r="F403">
        <v>2914.7262064000001</v>
      </c>
      <c r="G403">
        <v>243.75</v>
      </c>
      <c r="H403">
        <v>146.25</v>
      </c>
      <c r="I403">
        <v>243.87299999999999</v>
      </c>
      <c r="J403">
        <v>142.97499999999999</v>
      </c>
      <c r="K403">
        <v>235.63748571428499</v>
      </c>
      <c r="L403">
        <v>126.504462857142</v>
      </c>
      <c r="M403">
        <v>181.65651961772301</v>
      </c>
      <c r="N403">
        <v>0.05</v>
      </c>
      <c r="O403">
        <v>0</v>
      </c>
      <c r="P403">
        <v>0</v>
      </c>
      <c r="Q403">
        <v>0</v>
      </c>
      <c r="R403">
        <v>0.484542083740234</v>
      </c>
      <c r="S403">
        <v>0.144098648071289</v>
      </c>
      <c r="T403">
        <v>0</v>
      </c>
      <c r="U403">
        <v>166.113</v>
      </c>
      <c r="V403">
        <v>-1.044</v>
      </c>
      <c r="W403">
        <v>-0.20799999999999999</v>
      </c>
      <c r="X403">
        <v>0.751</v>
      </c>
      <c r="Y403" t="b">
        <v>1</v>
      </c>
      <c r="Z403">
        <v>78</v>
      </c>
      <c r="AA403">
        <f t="shared" si="67"/>
        <v>48.454208374023402</v>
      </c>
      <c r="AB403">
        <f t="shared" si="65"/>
        <v>157.9742770398349</v>
      </c>
      <c r="AC403">
        <f t="shared" si="69"/>
        <v>44.904185594942234</v>
      </c>
    </row>
    <row r="404" spans="1:29" x14ac:dyDescent="0.3">
      <c r="A404">
        <f t="shared" si="66"/>
        <v>500</v>
      </c>
      <c r="B404" s="2">
        <f t="shared" si="64"/>
        <v>31.810899999982212</v>
      </c>
      <c r="C404" s="2">
        <f t="shared" si="70"/>
        <v>1.8549542857150101</v>
      </c>
      <c r="D404" s="2">
        <f t="shared" si="68"/>
        <v>9.1544873000002553</v>
      </c>
      <c r="E404" s="2"/>
      <c r="F404">
        <v>2914.7580173000001</v>
      </c>
      <c r="G404">
        <v>249.6</v>
      </c>
      <c r="H404">
        <v>152.1</v>
      </c>
      <c r="I404">
        <v>244.68</v>
      </c>
      <c r="J404">
        <v>153.279</v>
      </c>
      <c r="K404">
        <v>236.287542857142</v>
      </c>
      <c r="L404">
        <v>128.35941714285701</v>
      </c>
      <c r="M404">
        <v>183.56594504457499</v>
      </c>
      <c r="N404">
        <v>0.05</v>
      </c>
      <c r="O404">
        <v>0</v>
      </c>
      <c r="P404">
        <v>0</v>
      </c>
      <c r="Q404">
        <v>0</v>
      </c>
      <c r="R404">
        <v>0.51210607910156203</v>
      </c>
      <c r="S404">
        <v>0.18597039794921799</v>
      </c>
      <c r="T404">
        <v>0</v>
      </c>
      <c r="U404">
        <v>166.21299999999999</v>
      </c>
      <c r="V404">
        <v>-1.236</v>
      </c>
      <c r="W404">
        <v>-0.33500000000000002</v>
      </c>
      <c r="X404">
        <v>0.753</v>
      </c>
      <c r="Y404" t="b">
        <v>1</v>
      </c>
      <c r="Z404">
        <v>78</v>
      </c>
      <c r="AA404">
        <f t="shared" si="67"/>
        <v>51.210607910156206</v>
      </c>
      <c r="AB404">
        <f t="shared" si="65"/>
        <v>159.51564901699925</v>
      </c>
      <c r="AC404">
        <f t="shared" si="69"/>
        <v>58.311908362103786</v>
      </c>
    </row>
    <row r="405" spans="1:29" x14ac:dyDescent="0.3">
      <c r="A405">
        <f t="shared" si="66"/>
        <v>500</v>
      </c>
      <c r="B405" s="2">
        <f t="shared" si="64"/>
        <v>31.113099999856786</v>
      </c>
      <c r="C405" s="2">
        <f t="shared" si="70"/>
        <v>2.1471942857139936</v>
      </c>
      <c r="D405" s="2">
        <f t="shared" si="68"/>
        <v>9.1856004000001121</v>
      </c>
      <c r="E405" s="2"/>
      <c r="F405">
        <v>2914.7891304</v>
      </c>
      <c r="G405">
        <v>243.75</v>
      </c>
      <c r="H405">
        <v>156</v>
      </c>
      <c r="I405">
        <v>245.47200000000001</v>
      </c>
      <c r="J405">
        <v>158.751</v>
      </c>
      <c r="K405">
        <v>236.95451999999901</v>
      </c>
      <c r="L405">
        <v>130.50661142857101</v>
      </c>
      <c r="M405">
        <v>185.76508036028</v>
      </c>
      <c r="N405">
        <v>0.05</v>
      </c>
      <c r="O405">
        <v>0</v>
      </c>
      <c r="P405">
        <v>0</v>
      </c>
      <c r="Q405">
        <v>0</v>
      </c>
      <c r="R405">
        <v>0.51210607910156203</v>
      </c>
      <c r="S405">
        <v>0.18597039794921799</v>
      </c>
      <c r="T405">
        <v>0</v>
      </c>
      <c r="U405">
        <v>166.21299999999999</v>
      </c>
      <c r="V405">
        <v>-1.236</v>
      </c>
      <c r="W405">
        <v>-0.33500000000000002</v>
      </c>
      <c r="X405">
        <v>0.753</v>
      </c>
      <c r="Y405" t="b">
        <v>1</v>
      </c>
      <c r="Z405">
        <v>78</v>
      </c>
      <c r="AA405">
        <f t="shared" si="67"/>
        <v>51.210607910156206</v>
      </c>
      <c r="AB405">
        <f t="shared" si="65"/>
        <v>161.10896978196141</v>
      </c>
      <c r="AC405">
        <f t="shared" si="69"/>
        <v>69.012547310421567</v>
      </c>
    </row>
    <row r="406" spans="1:29" x14ac:dyDescent="0.3">
      <c r="A406">
        <f t="shared" si="66"/>
        <v>500</v>
      </c>
      <c r="B406" s="2">
        <f t="shared" ref="B406:B469" si="71">(F406-F405)*1000</f>
        <v>46.360499999991589</v>
      </c>
      <c r="C406" s="2">
        <f t="shared" si="70"/>
        <v>2.1419542857140073</v>
      </c>
      <c r="D406" s="2">
        <f t="shared" si="68"/>
        <v>9.2319609000001037</v>
      </c>
      <c r="E406" s="2"/>
      <c r="F406">
        <v>2914.8354909</v>
      </c>
      <c r="G406">
        <v>243.75</v>
      </c>
      <c r="H406">
        <v>156</v>
      </c>
      <c r="I406">
        <v>245.964</v>
      </c>
      <c r="J406">
        <v>156.786</v>
      </c>
      <c r="K406">
        <v>237.63133714285701</v>
      </c>
      <c r="L406">
        <v>132.64856571428501</v>
      </c>
      <c r="M406">
        <v>187.98205132556899</v>
      </c>
      <c r="N406">
        <v>0.05</v>
      </c>
      <c r="O406">
        <v>0</v>
      </c>
      <c r="P406">
        <v>0</v>
      </c>
      <c r="Q406">
        <v>0</v>
      </c>
      <c r="R406">
        <v>0.53802215576171797</v>
      </c>
      <c r="S406">
        <v>0.17300248718261699</v>
      </c>
      <c r="T406">
        <v>0</v>
      </c>
      <c r="U406">
        <v>166.10900000000001</v>
      </c>
      <c r="V406">
        <v>-1.325</v>
      </c>
      <c r="W406">
        <v>-0.51900000000000002</v>
      </c>
      <c r="X406">
        <v>0.75600000000000001</v>
      </c>
      <c r="Y406" t="b">
        <v>1</v>
      </c>
      <c r="Z406">
        <v>78</v>
      </c>
      <c r="AA406">
        <f t="shared" si="67"/>
        <v>53.802215576171797</v>
      </c>
      <c r="AB406">
        <f t="shared" si="65"/>
        <v>163.48311916997977</v>
      </c>
      <c r="AC406">
        <f t="shared" si="69"/>
        <v>46.202139444449386</v>
      </c>
    </row>
    <row r="407" spans="1:29" x14ac:dyDescent="0.3">
      <c r="A407">
        <f t="shared" si="66"/>
        <v>500</v>
      </c>
      <c r="B407" s="2">
        <f t="shared" si="71"/>
        <v>31.684000000041124</v>
      </c>
      <c r="C407" s="2">
        <f t="shared" si="70"/>
        <v>2.0076399999999808</v>
      </c>
      <c r="D407" s="2">
        <f t="shared" si="68"/>
        <v>9.2636449000001448</v>
      </c>
      <c r="E407" s="2"/>
      <c r="F407">
        <v>2914.8671749</v>
      </c>
      <c r="G407">
        <v>243.75</v>
      </c>
      <c r="H407">
        <v>156</v>
      </c>
      <c r="I407">
        <v>246.57900000000001</v>
      </c>
      <c r="J407">
        <v>154.69</v>
      </c>
      <c r="K407">
        <v>238.31161714285699</v>
      </c>
      <c r="L407">
        <v>134.65620571428499</v>
      </c>
      <c r="M407">
        <v>190.03936940267499</v>
      </c>
      <c r="N407">
        <v>0.05</v>
      </c>
      <c r="O407">
        <v>0</v>
      </c>
      <c r="P407">
        <v>0</v>
      </c>
      <c r="Q407">
        <v>0</v>
      </c>
      <c r="R407">
        <v>0.53802215576171797</v>
      </c>
      <c r="S407">
        <v>0.17300248718261699</v>
      </c>
      <c r="T407">
        <v>0</v>
      </c>
      <c r="U407">
        <v>166.10900000000001</v>
      </c>
      <c r="V407">
        <v>-1.325</v>
      </c>
      <c r="W407">
        <v>-0.51900000000000002</v>
      </c>
      <c r="X407">
        <v>0.75600000000000001</v>
      </c>
      <c r="Y407" t="b">
        <v>1</v>
      </c>
      <c r="Z407">
        <v>78</v>
      </c>
      <c r="AA407">
        <f t="shared" si="67"/>
        <v>53.802215576171797</v>
      </c>
      <c r="AB407">
        <f t="shared" si="65"/>
        <v>165.18778856829741</v>
      </c>
      <c r="AC407">
        <f t="shared" si="69"/>
        <v>63.364474182469856</v>
      </c>
    </row>
    <row r="408" spans="1:29" x14ac:dyDescent="0.3">
      <c r="A408">
        <f t="shared" si="66"/>
        <v>500</v>
      </c>
      <c r="B408" s="2">
        <f t="shared" si="71"/>
        <v>31.15139999999883</v>
      </c>
      <c r="C408" s="2">
        <f t="shared" si="70"/>
        <v>2.0023999999999944</v>
      </c>
      <c r="D408" s="2">
        <f t="shared" si="68"/>
        <v>9.2947963000001437</v>
      </c>
      <c r="E408" s="2"/>
      <c r="F408">
        <v>2914.8983263</v>
      </c>
      <c r="G408">
        <v>243.75</v>
      </c>
      <c r="H408">
        <v>156</v>
      </c>
      <c r="I408">
        <v>247.19399999999999</v>
      </c>
      <c r="J408">
        <v>152.72499999999999</v>
      </c>
      <c r="K408">
        <v>239.00665714285699</v>
      </c>
      <c r="L408">
        <v>136.65860571428499</v>
      </c>
      <c r="M408">
        <v>192.089389989289</v>
      </c>
      <c r="N408">
        <v>0.05</v>
      </c>
      <c r="O408">
        <v>0</v>
      </c>
      <c r="P408">
        <v>0</v>
      </c>
      <c r="Q408">
        <v>0</v>
      </c>
      <c r="R408">
        <v>0.54851641845703103</v>
      </c>
      <c r="S408">
        <v>9.8088569641113205E-2</v>
      </c>
      <c r="T408">
        <v>0</v>
      </c>
      <c r="U408">
        <v>165.953</v>
      </c>
      <c r="V408">
        <v>-1.381</v>
      </c>
      <c r="W408">
        <v>-0.54800000000000004</v>
      </c>
      <c r="X408">
        <v>0.755</v>
      </c>
      <c r="Y408" t="b">
        <v>1</v>
      </c>
      <c r="Z408">
        <v>78</v>
      </c>
      <c r="AA408">
        <f t="shared" si="67"/>
        <v>54.851641845703099</v>
      </c>
      <c r="AB408">
        <f t="shared" si="65"/>
        <v>166.8638029065969</v>
      </c>
      <c r="AC408">
        <f t="shared" si="69"/>
        <v>64.279615041380794</v>
      </c>
    </row>
    <row r="409" spans="1:29" x14ac:dyDescent="0.3">
      <c r="A409">
        <f t="shared" si="66"/>
        <v>500</v>
      </c>
      <c r="B409" s="2">
        <f t="shared" si="71"/>
        <v>30.990899999778776</v>
      </c>
      <c r="C409" s="2">
        <f t="shared" si="70"/>
        <v>1.6187600000000089</v>
      </c>
      <c r="D409" s="2">
        <f t="shared" si="68"/>
        <v>9.3257871999999224</v>
      </c>
      <c r="E409" s="2"/>
      <c r="F409">
        <v>2914.9293171999998</v>
      </c>
      <c r="G409">
        <v>248.625</v>
      </c>
      <c r="H409">
        <v>160.875</v>
      </c>
      <c r="I409">
        <v>247.76400000000001</v>
      </c>
      <c r="J409">
        <v>161.268</v>
      </c>
      <c r="K409">
        <v>239.690057142857</v>
      </c>
      <c r="L409">
        <v>138.277365714285</v>
      </c>
      <c r="M409">
        <v>193.75435248653</v>
      </c>
      <c r="N409">
        <v>0.05</v>
      </c>
      <c r="O409">
        <v>0</v>
      </c>
      <c r="P409">
        <v>0</v>
      </c>
      <c r="Q409">
        <v>0</v>
      </c>
      <c r="R409">
        <v>0.54851641845703103</v>
      </c>
      <c r="S409">
        <v>9.8088569641113205E-2</v>
      </c>
      <c r="T409">
        <v>0</v>
      </c>
      <c r="U409">
        <v>165.953</v>
      </c>
      <c r="V409">
        <v>-1.381</v>
      </c>
      <c r="W409">
        <v>-0.54800000000000004</v>
      </c>
      <c r="X409">
        <v>0.755</v>
      </c>
      <c r="Y409" t="b">
        <v>1</v>
      </c>
      <c r="Z409">
        <v>78</v>
      </c>
      <c r="AA409">
        <f t="shared" si="67"/>
        <v>54.851641845703099</v>
      </c>
      <c r="AB409">
        <f t="shared" si="65"/>
        <v>168.56370465386078</v>
      </c>
      <c r="AC409">
        <f t="shared" si="69"/>
        <v>52.233397546104314</v>
      </c>
    </row>
    <row r="410" spans="1:29" x14ac:dyDescent="0.3">
      <c r="A410">
        <f t="shared" si="66"/>
        <v>500</v>
      </c>
      <c r="B410" s="2">
        <f t="shared" si="71"/>
        <v>31.660000000101718</v>
      </c>
      <c r="C410" s="2">
        <f t="shared" si="70"/>
        <v>2.0286000000000115</v>
      </c>
      <c r="D410" s="2">
        <f t="shared" si="68"/>
        <v>9.3574472000000242</v>
      </c>
      <c r="E410" s="2"/>
      <c r="F410">
        <v>2914.9609771999999</v>
      </c>
      <c r="G410">
        <v>253.5</v>
      </c>
      <c r="H410">
        <v>165.75</v>
      </c>
      <c r="I410">
        <v>248.58</v>
      </c>
      <c r="J410">
        <v>169.68</v>
      </c>
      <c r="K410">
        <v>240.391337142857</v>
      </c>
      <c r="L410">
        <v>140.30596571428501</v>
      </c>
      <c r="M410">
        <v>195.828974729208</v>
      </c>
      <c r="N410">
        <v>0.05</v>
      </c>
      <c r="O410">
        <v>0</v>
      </c>
      <c r="P410">
        <v>0</v>
      </c>
      <c r="Q410">
        <v>0</v>
      </c>
      <c r="R410">
        <v>0.54256372070312497</v>
      </c>
      <c r="S410">
        <v>9.0063323974609297E-2</v>
      </c>
      <c r="T410">
        <v>0</v>
      </c>
      <c r="U410">
        <v>166.101</v>
      </c>
      <c r="V410">
        <v>-1.357</v>
      </c>
      <c r="W410">
        <v>3.7999999999999999E-2</v>
      </c>
      <c r="X410">
        <v>0.75600000000000001</v>
      </c>
      <c r="Y410" t="b">
        <v>1</v>
      </c>
      <c r="Z410">
        <v>78</v>
      </c>
      <c r="AA410">
        <f t="shared" si="67"/>
        <v>54.256372070312494</v>
      </c>
      <c r="AB410">
        <f t="shared" si="65"/>
        <v>170.30030763470131</v>
      </c>
      <c r="AC410">
        <f t="shared" si="69"/>
        <v>64.074542008638474</v>
      </c>
    </row>
    <row r="411" spans="1:29" x14ac:dyDescent="0.3">
      <c r="A411">
        <f t="shared" si="66"/>
        <v>500</v>
      </c>
      <c r="B411" s="2">
        <f t="shared" si="71"/>
        <v>30.683800000133488</v>
      </c>
      <c r="C411" s="2">
        <f t="shared" si="70"/>
        <v>2.0128799999999956</v>
      </c>
      <c r="D411" s="2">
        <f t="shared" si="68"/>
        <v>9.3881310000001577</v>
      </c>
      <c r="E411" s="2"/>
      <c r="F411">
        <v>2914.991661</v>
      </c>
      <c r="G411">
        <v>253.5</v>
      </c>
      <c r="H411">
        <v>165.75</v>
      </c>
      <c r="I411">
        <v>248.94900000000001</v>
      </c>
      <c r="J411">
        <v>167.453</v>
      </c>
      <c r="K411">
        <v>241.09261714285699</v>
      </c>
      <c r="L411">
        <v>142.318845714285</v>
      </c>
      <c r="M411">
        <v>197.885350216772</v>
      </c>
      <c r="N411">
        <v>0.05</v>
      </c>
      <c r="O411">
        <v>0</v>
      </c>
      <c r="P411">
        <v>0</v>
      </c>
      <c r="Q411">
        <v>0</v>
      </c>
      <c r="R411">
        <v>0.54256372070312497</v>
      </c>
      <c r="S411">
        <v>9.0063323974609297E-2</v>
      </c>
      <c r="T411">
        <v>0</v>
      </c>
      <c r="U411">
        <v>166.101</v>
      </c>
      <c r="V411">
        <v>-1.357</v>
      </c>
      <c r="W411">
        <v>3.7999999999999999E-2</v>
      </c>
      <c r="X411">
        <v>0.75600000000000001</v>
      </c>
      <c r="Y411" t="b">
        <v>1</v>
      </c>
      <c r="Z411">
        <v>78</v>
      </c>
      <c r="AA411">
        <f t="shared" si="67"/>
        <v>54.256372070312494</v>
      </c>
      <c r="AB411">
        <f t="shared" si="65"/>
        <v>171.9650993040396</v>
      </c>
      <c r="AC411">
        <f t="shared" si="69"/>
        <v>65.600740455590199</v>
      </c>
    </row>
    <row r="412" spans="1:29" x14ac:dyDescent="0.3">
      <c r="A412">
        <f t="shared" si="66"/>
        <v>500</v>
      </c>
      <c r="B412" s="2">
        <f t="shared" si="71"/>
        <v>31.052400000135094</v>
      </c>
      <c r="C412" s="2">
        <f t="shared" si="70"/>
        <v>2.0023999999999944</v>
      </c>
      <c r="D412" s="2">
        <f t="shared" si="68"/>
        <v>9.4191834000002927</v>
      </c>
      <c r="E412" s="2"/>
      <c r="F412">
        <v>2915.0227134000002</v>
      </c>
      <c r="G412">
        <v>253.5</v>
      </c>
      <c r="H412">
        <v>165.75</v>
      </c>
      <c r="I412">
        <v>249.441</v>
      </c>
      <c r="J412">
        <v>165.357</v>
      </c>
      <c r="K412">
        <v>241.78405714285699</v>
      </c>
      <c r="L412">
        <v>144.321245714285</v>
      </c>
      <c r="M412">
        <v>199.93068564963099</v>
      </c>
      <c r="N412">
        <v>0.05</v>
      </c>
      <c r="O412">
        <v>0</v>
      </c>
      <c r="P412">
        <v>0</v>
      </c>
      <c r="Q412">
        <v>0</v>
      </c>
      <c r="R412">
        <v>0.54887695312499996</v>
      </c>
      <c r="S412">
        <v>0.107307838439941</v>
      </c>
      <c r="T412">
        <v>0</v>
      </c>
      <c r="U412">
        <v>166.15700000000001</v>
      </c>
      <c r="V412">
        <v>-1.3220000000000001</v>
      </c>
      <c r="W412">
        <v>0.32900000000000001</v>
      </c>
      <c r="X412">
        <v>0.75700000000000001</v>
      </c>
      <c r="Y412" t="b">
        <v>1</v>
      </c>
      <c r="Z412">
        <v>78</v>
      </c>
      <c r="AA412">
        <f t="shared" si="67"/>
        <v>54.887695312499993</v>
      </c>
      <c r="AB412">
        <f t="shared" si="65"/>
        <v>173.64988987212311</v>
      </c>
      <c r="AC412">
        <f t="shared" si="69"/>
        <v>64.484548698048556</v>
      </c>
    </row>
    <row r="413" spans="1:29" x14ac:dyDescent="0.3">
      <c r="A413">
        <f t="shared" si="66"/>
        <v>500</v>
      </c>
      <c r="B413" s="2">
        <f t="shared" si="71"/>
        <v>32.001199999740493</v>
      </c>
      <c r="C413" s="2">
        <f t="shared" si="70"/>
        <v>1.5978000000000065</v>
      </c>
      <c r="D413" s="2">
        <f t="shared" si="68"/>
        <v>9.4511846000000332</v>
      </c>
      <c r="E413" s="2"/>
      <c r="F413">
        <v>2915.0547145999999</v>
      </c>
      <c r="G413">
        <v>253.5</v>
      </c>
      <c r="H413">
        <v>165.75</v>
      </c>
      <c r="I413">
        <v>250.05600000000001</v>
      </c>
      <c r="J413">
        <v>163.261</v>
      </c>
      <c r="K413">
        <v>242.46877714285699</v>
      </c>
      <c r="L413">
        <v>145.91904571428501</v>
      </c>
      <c r="M413">
        <v>201.57162188221301</v>
      </c>
      <c r="N413">
        <v>0.05</v>
      </c>
      <c r="O413">
        <v>0</v>
      </c>
      <c r="P413">
        <v>0</v>
      </c>
      <c r="Q413">
        <v>0</v>
      </c>
      <c r="R413">
        <v>0.54887695312499996</v>
      </c>
      <c r="S413">
        <v>0.107307838439941</v>
      </c>
      <c r="T413">
        <v>0</v>
      </c>
      <c r="U413">
        <v>166.15700000000001</v>
      </c>
      <c r="V413">
        <v>-1.3220000000000001</v>
      </c>
      <c r="W413">
        <v>0.32900000000000001</v>
      </c>
      <c r="X413">
        <v>0.75700000000000001</v>
      </c>
      <c r="Y413" t="b">
        <v>1</v>
      </c>
      <c r="Z413">
        <v>78</v>
      </c>
      <c r="AA413">
        <f t="shared" si="67"/>
        <v>54.887695312499993</v>
      </c>
      <c r="AB413">
        <f t="shared" si="65"/>
        <v>175.40636198734325</v>
      </c>
      <c r="AC413">
        <f t="shared" si="69"/>
        <v>49.929377648743284</v>
      </c>
    </row>
    <row r="414" spans="1:29" x14ac:dyDescent="0.3">
      <c r="A414">
        <f t="shared" si="66"/>
        <v>500</v>
      </c>
      <c r="B414" s="2">
        <f t="shared" si="71"/>
        <v>31.291600000258768</v>
      </c>
      <c r="C414" s="2">
        <f t="shared" si="70"/>
        <v>1.6344799999999964</v>
      </c>
      <c r="D414" s="2">
        <f t="shared" si="68"/>
        <v>9.482476200000292</v>
      </c>
      <c r="E414" s="2"/>
      <c r="F414">
        <v>2915.0860062000002</v>
      </c>
      <c r="G414">
        <v>258.375</v>
      </c>
      <c r="H414">
        <v>170.625</v>
      </c>
      <c r="I414">
        <v>250.995</v>
      </c>
      <c r="J414">
        <v>171.804</v>
      </c>
      <c r="K414">
        <v>243.133817142857</v>
      </c>
      <c r="L414">
        <v>147.553525714285</v>
      </c>
      <c r="M414">
        <v>203.24721835555599</v>
      </c>
      <c r="N414">
        <v>0.05</v>
      </c>
      <c r="O414">
        <v>0</v>
      </c>
      <c r="P414">
        <v>0</v>
      </c>
      <c r="Q414">
        <v>0</v>
      </c>
      <c r="R414">
        <v>0.564159240722656</v>
      </c>
      <c r="S414">
        <v>0.117652427673339</v>
      </c>
      <c r="T414">
        <v>0</v>
      </c>
      <c r="U414">
        <v>166.27799999999999</v>
      </c>
      <c r="V414">
        <v>-1.39</v>
      </c>
      <c r="W414">
        <v>0.46899999999999997</v>
      </c>
      <c r="X414">
        <v>0.76</v>
      </c>
      <c r="Y414" t="b">
        <v>1</v>
      </c>
      <c r="Z414">
        <v>78</v>
      </c>
      <c r="AA414">
        <f t="shared" si="67"/>
        <v>56.415924072265597</v>
      </c>
      <c r="AB414">
        <f t="shared" si="65"/>
        <v>177.12388579399808</v>
      </c>
      <c r="AC414">
        <f t="shared" si="69"/>
        <v>52.233826329956919</v>
      </c>
    </row>
    <row r="415" spans="1:29" x14ac:dyDescent="0.3">
      <c r="A415">
        <f t="shared" si="66"/>
        <v>500</v>
      </c>
      <c r="B415" s="2">
        <f t="shared" si="71"/>
        <v>31.347699999969336</v>
      </c>
      <c r="C415" s="2">
        <f t="shared" si="70"/>
        <v>2.0181200000000104</v>
      </c>
      <c r="D415" s="2">
        <f t="shared" si="68"/>
        <v>9.5138239000002613</v>
      </c>
      <c r="E415" s="2"/>
      <c r="F415">
        <v>2915.1173539000001</v>
      </c>
      <c r="G415">
        <v>253.5</v>
      </c>
      <c r="H415">
        <v>175.5</v>
      </c>
      <c r="I415">
        <v>251.90100000000001</v>
      </c>
      <c r="J415">
        <v>179.69200000000001</v>
      </c>
      <c r="K415">
        <v>243.805577142857</v>
      </c>
      <c r="L415">
        <v>149.57164571428501</v>
      </c>
      <c r="M415">
        <v>205.30550087559499</v>
      </c>
      <c r="N415">
        <v>0.05</v>
      </c>
      <c r="O415">
        <v>0</v>
      </c>
      <c r="P415">
        <v>0</v>
      </c>
      <c r="Q415">
        <v>0</v>
      </c>
      <c r="R415">
        <v>0.564159240722656</v>
      </c>
      <c r="S415">
        <v>0.117652427673339</v>
      </c>
      <c r="T415">
        <v>0</v>
      </c>
      <c r="U415">
        <v>166.27799999999999</v>
      </c>
      <c r="V415">
        <v>-1.39</v>
      </c>
      <c r="W415">
        <v>0.46899999999999997</v>
      </c>
      <c r="X415">
        <v>0.76</v>
      </c>
      <c r="Y415" t="b">
        <v>1</v>
      </c>
      <c r="Z415">
        <v>78</v>
      </c>
      <c r="AA415">
        <f t="shared" si="67"/>
        <v>56.415924072265597</v>
      </c>
      <c r="AB415">
        <f t="shared" si="65"/>
        <v>178.89239525703653</v>
      </c>
      <c r="AC415">
        <f t="shared" si="69"/>
        <v>64.37856684866783</v>
      </c>
    </row>
    <row r="416" spans="1:29" x14ac:dyDescent="0.3">
      <c r="A416">
        <f t="shared" si="66"/>
        <v>500</v>
      </c>
      <c r="B416" s="2">
        <f t="shared" si="71"/>
        <v>31.229899999743793</v>
      </c>
      <c r="C416" s="2">
        <f t="shared" si="70"/>
        <v>1.9814399999999921</v>
      </c>
      <c r="D416" s="2">
        <f t="shared" si="68"/>
        <v>9.5450538000000051</v>
      </c>
      <c r="E416" s="2"/>
      <c r="F416">
        <v>2915.1485837999999</v>
      </c>
      <c r="G416">
        <v>253.5</v>
      </c>
      <c r="H416">
        <v>175.5</v>
      </c>
      <c r="I416">
        <v>252.762</v>
      </c>
      <c r="J416">
        <v>177.858</v>
      </c>
      <c r="K416">
        <v>244.501937142857</v>
      </c>
      <c r="L416">
        <v>151.553085714285</v>
      </c>
      <c r="M416">
        <v>207.32595516788999</v>
      </c>
      <c r="N416">
        <v>0.05</v>
      </c>
      <c r="O416">
        <v>0</v>
      </c>
      <c r="P416">
        <v>0</v>
      </c>
      <c r="Q416">
        <v>0</v>
      </c>
      <c r="R416">
        <v>0.55452752685546802</v>
      </c>
      <c r="S416">
        <v>0.13040623474120999</v>
      </c>
      <c r="T416">
        <v>0</v>
      </c>
      <c r="U416">
        <v>166.303</v>
      </c>
      <c r="V416">
        <v>-1.2989999999999999</v>
      </c>
      <c r="W416">
        <v>0.54300000000000004</v>
      </c>
      <c r="X416">
        <v>0.75600000000000001</v>
      </c>
      <c r="Y416" t="b">
        <v>1</v>
      </c>
      <c r="Z416">
        <v>78</v>
      </c>
      <c r="AA416">
        <f t="shared" si="67"/>
        <v>55.452752685546805</v>
      </c>
      <c r="AB416">
        <f t="shared" si="65"/>
        <v>180.65425892420652</v>
      </c>
      <c r="AC416">
        <f t="shared" si="69"/>
        <v>63.446889039550165</v>
      </c>
    </row>
    <row r="417" spans="1:29" x14ac:dyDescent="0.3">
      <c r="A417">
        <f t="shared" si="66"/>
        <v>500</v>
      </c>
      <c r="B417" s="2">
        <f t="shared" si="71"/>
        <v>30.569500000183325</v>
      </c>
      <c r="C417" s="2">
        <f t="shared" si="70"/>
        <v>2.0128799999999956</v>
      </c>
      <c r="D417" s="2">
        <f t="shared" si="68"/>
        <v>9.5756233000001885</v>
      </c>
      <c r="E417" s="2"/>
      <c r="F417">
        <v>2915.1791533000001</v>
      </c>
      <c r="G417">
        <v>253.5</v>
      </c>
      <c r="H417">
        <v>175.5</v>
      </c>
      <c r="I417">
        <v>253.62299999999999</v>
      </c>
      <c r="J417">
        <v>175.762</v>
      </c>
      <c r="K417">
        <v>245.193377142857</v>
      </c>
      <c r="L417">
        <v>153.565965714285</v>
      </c>
      <c r="M417">
        <v>209.37608422373901</v>
      </c>
      <c r="N417">
        <v>0.05</v>
      </c>
      <c r="O417">
        <v>0</v>
      </c>
      <c r="P417">
        <v>0</v>
      </c>
      <c r="Q417">
        <v>0</v>
      </c>
      <c r="R417">
        <v>0.55452752685546802</v>
      </c>
      <c r="S417">
        <v>0.13040623474120999</v>
      </c>
      <c r="T417">
        <v>0</v>
      </c>
      <c r="U417">
        <v>166.303</v>
      </c>
      <c r="V417">
        <v>-1.2989999999999999</v>
      </c>
      <c r="W417">
        <v>0.54300000000000004</v>
      </c>
      <c r="X417">
        <v>0.75600000000000001</v>
      </c>
      <c r="Y417" t="b">
        <v>1</v>
      </c>
      <c r="Z417">
        <v>78</v>
      </c>
      <c r="AA417">
        <f t="shared" si="67"/>
        <v>55.452752685546805</v>
      </c>
      <c r="AB417">
        <f t="shared" si="65"/>
        <v>182.3494218474375</v>
      </c>
      <c r="AC417">
        <f t="shared" si="69"/>
        <v>65.846022996382814</v>
      </c>
    </row>
    <row r="418" spans="1:29" x14ac:dyDescent="0.3">
      <c r="A418">
        <f t="shared" si="66"/>
        <v>500</v>
      </c>
      <c r="B418" s="2">
        <f t="shared" si="71"/>
        <v>46.068199999808712</v>
      </c>
      <c r="C418" s="2">
        <f t="shared" si="70"/>
        <v>1.9657200000000046</v>
      </c>
      <c r="D418" s="2">
        <f t="shared" si="68"/>
        <v>9.6216914999999972</v>
      </c>
      <c r="E418" s="2"/>
      <c r="F418">
        <v>2915.2252214999999</v>
      </c>
      <c r="G418">
        <v>253.5</v>
      </c>
      <c r="H418">
        <v>175.5</v>
      </c>
      <c r="I418">
        <v>254.36099999999999</v>
      </c>
      <c r="J418">
        <v>173.666</v>
      </c>
      <c r="K418">
        <v>245.899577142857</v>
      </c>
      <c r="L418">
        <v>155.531685714285</v>
      </c>
      <c r="M418">
        <v>211.396231567097</v>
      </c>
      <c r="N418">
        <v>0.05</v>
      </c>
      <c r="O418">
        <v>0</v>
      </c>
      <c r="P418">
        <v>0</v>
      </c>
      <c r="Q418">
        <v>0</v>
      </c>
      <c r="R418">
        <v>0.53991937255859301</v>
      </c>
      <c r="S418">
        <v>9.7423080444335897E-2</v>
      </c>
      <c r="T418">
        <v>0</v>
      </c>
      <c r="U418">
        <v>166.09399999999999</v>
      </c>
      <c r="V418">
        <v>-1.4379999999999999</v>
      </c>
      <c r="W418">
        <v>0.54100000000000004</v>
      </c>
      <c r="X418">
        <v>0.75700000000000001</v>
      </c>
      <c r="Y418" t="b">
        <v>1</v>
      </c>
      <c r="Z418">
        <v>78</v>
      </c>
      <c r="AA418">
        <f t="shared" si="67"/>
        <v>53.991937255859298</v>
      </c>
      <c r="AB418">
        <f t="shared" si="65"/>
        <v>184.90403034869519</v>
      </c>
      <c r="AC418">
        <f t="shared" si="69"/>
        <v>42.669780890248951</v>
      </c>
    </row>
    <row r="419" spans="1:29" x14ac:dyDescent="0.3">
      <c r="A419">
        <f t="shared" si="66"/>
        <v>500</v>
      </c>
      <c r="B419" s="2">
        <f t="shared" si="71"/>
        <v>15.468300000065938</v>
      </c>
      <c r="C419" s="2">
        <f t="shared" si="70"/>
        <v>2.4564799999999991</v>
      </c>
      <c r="D419" s="2">
        <f t="shared" si="68"/>
        <v>9.6371598000000631</v>
      </c>
      <c r="E419" s="2"/>
      <c r="F419">
        <v>2915.2406897999999</v>
      </c>
      <c r="G419">
        <v>249.6</v>
      </c>
      <c r="H419">
        <v>183.3</v>
      </c>
      <c r="I419">
        <v>255.012</v>
      </c>
      <c r="J419">
        <v>187.23</v>
      </c>
      <c r="K419">
        <v>246.58405714285701</v>
      </c>
      <c r="L419">
        <v>157.988165714285</v>
      </c>
      <c r="M419">
        <v>213.87053767918201</v>
      </c>
      <c r="N419">
        <v>0.05</v>
      </c>
      <c r="O419">
        <v>0</v>
      </c>
      <c r="P419">
        <v>0</v>
      </c>
      <c r="Q419">
        <v>0</v>
      </c>
      <c r="R419">
        <v>0.53991937255859301</v>
      </c>
      <c r="S419">
        <v>9.7423080444335897E-2</v>
      </c>
      <c r="T419">
        <v>0</v>
      </c>
      <c r="U419">
        <v>166.09399999999999</v>
      </c>
      <c r="V419">
        <v>-1.4379999999999999</v>
      </c>
      <c r="W419">
        <v>0.54100000000000004</v>
      </c>
      <c r="X419">
        <v>0.75700000000000001</v>
      </c>
      <c r="Y419" t="b">
        <v>1</v>
      </c>
      <c r="Z419">
        <v>78</v>
      </c>
      <c r="AA419">
        <f t="shared" si="67"/>
        <v>53.991937255859298</v>
      </c>
      <c r="AB419">
        <f t="shared" si="65"/>
        <v>185.73919383175357</v>
      </c>
      <c r="AC419" t="b">
        <f t="shared" si="69"/>
        <v>0</v>
      </c>
    </row>
    <row r="420" spans="1:29" x14ac:dyDescent="0.3">
      <c r="A420">
        <f t="shared" si="66"/>
        <v>500</v>
      </c>
      <c r="B420" s="2">
        <f t="shared" si="71"/>
        <v>45.672199999899021</v>
      </c>
      <c r="C420" s="2">
        <f t="shared" si="70"/>
        <v>1.9762000000000057</v>
      </c>
      <c r="D420" s="2">
        <f t="shared" si="68"/>
        <v>9.6828319999999621</v>
      </c>
      <c r="E420" s="2"/>
      <c r="F420">
        <v>2915.2863619999998</v>
      </c>
      <c r="G420">
        <v>253.5</v>
      </c>
      <c r="H420">
        <v>185.25</v>
      </c>
      <c r="I420">
        <v>255.46799999999999</v>
      </c>
      <c r="J420">
        <v>189.18</v>
      </c>
      <c r="K420">
        <v>247.25089714285701</v>
      </c>
      <c r="L420">
        <v>159.96436571428501</v>
      </c>
      <c r="M420">
        <v>215.89809205117999</v>
      </c>
      <c r="N420">
        <v>0.05</v>
      </c>
      <c r="O420">
        <v>0</v>
      </c>
      <c r="P420">
        <v>0</v>
      </c>
      <c r="Q420">
        <v>0</v>
      </c>
      <c r="R420">
        <v>0.53502954101562505</v>
      </c>
      <c r="S420">
        <v>7.9247642517089795E-2</v>
      </c>
      <c r="T420">
        <v>0</v>
      </c>
      <c r="U420">
        <v>166.09100000000001</v>
      </c>
      <c r="V420">
        <v>-1.504</v>
      </c>
      <c r="W420">
        <v>0.73599999999999999</v>
      </c>
      <c r="X420">
        <v>0.75600000000000001</v>
      </c>
      <c r="Y420" t="b">
        <v>1</v>
      </c>
      <c r="Z420">
        <v>78</v>
      </c>
      <c r="AA420">
        <f t="shared" si="67"/>
        <v>53.502954101562509</v>
      </c>
      <c r="AB420">
        <f t="shared" si="65"/>
        <v>188.20512438848516</v>
      </c>
      <c r="AC420">
        <f t="shared" si="69"/>
        <v>43.26920971629076</v>
      </c>
    </row>
    <row r="421" spans="1:29" x14ac:dyDescent="0.3">
      <c r="A421">
        <f t="shared" si="66"/>
        <v>500</v>
      </c>
      <c r="B421" s="2">
        <f t="shared" si="71"/>
        <v>31.191600000056496</v>
      </c>
      <c r="C421" s="2">
        <f t="shared" si="70"/>
        <v>1.9814399999999921</v>
      </c>
      <c r="D421" s="2">
        <f t="shared" si="68"/>
        <v>9.7140236000000186</v>
      </c>
      <c r="E421" s="2"/>
      <c r="F421">
        <v>2915.3175535999999</v>
      </c>
      <c r="G421">
        <v>253.5</v>
      </c>
      <c r="H421">
        <v>185.25</v>
      </c>
      <c r="I421">
        <v>255.46799999999999</v>
      </c>
      <c r="J421">
        <v>187.084</v>
      </c>
      <c r="K421">
        <v>247.898057142857</v>
      </c>
      <c r="L421">
        <v>161.945805714285</v>
      </c>
      <c r="M421">
        <v>217.91353255880401</v>
      </c>
      <c r="N421">
        <v>0.05</v>
      </c>
      <c r="O421">
        <v>0</v>
      </c>
      <c r="P421">
        <v>0</v>
      </c>
      <c r="Q421">
        <v>0</v>
      </c>
      <c r="R421">
        <v>0.53502954101562505</v>
      </c>
      <c r="S421">
        <v>7.9247642517089795E-2</v>
      </c>
      <c r="T421">
        <v>0</v>
      </c>
      <c r="U421">
        <v>166.09100000000001</v>
      </c>
      <c r="V421">
        <v>-1.504</v>
      </c>
      <c r="W421">
        <v>0.73599999999999999</v>
      </c>
      <c r="X421">
        <v>0.75600000000000001</v>
      </c>
      <c r="Y421" t="b">
        <v>1</v>
      </c>
      <c r="Z421">
        <v>78</v>
      </c>
      <c r="AA421">
        <f t="shared" si="67"/>
        <v>53.502954101562509</v>
      </c>
      <c r="AB421">
        <f t="shared" si="65"/>
        <v>189.87396713164247</v>
      </c>
      <c r="AC421">
        <f t="shared" si="69"/>
        <v>63.524795137036996</v>
      </c>
    </row>
    <row r="422" spans="1:29" x14ac:dyDescent="0.3">
      <c r="A422">
        <f t="shared" si="66"/>
        <v>500</v>
      </c>
      <c r="B422" s="2">
        <f t="shared" si="71"/>
        <v>31.109500000184198</v>
      </c>
      <c r="C422" s="2">
        <f t="shared" si="70"/>
        <v>1.9762000000000057</v>
      </c>
      <c r="D422" s="2">
        <f t="shared" si="68"/>
        <v>9.7451331000002028</v>
      </c>
      <c r="E422" s="2"/>
      <c r="F422">
        <v>2915.3486631000001</v>
      </c>
      <c r="G422">
        <v>253.5</v>
      </c>
      <c r="H422">
        <v>185.25</v>
      </c>
      <c r="I422">
        <v>255.46799999999999</v>
      </c>
      <c r="J422">
        <v>184.857</v>
      </c>
      <c r="K422">
        <v>248.53537714285699</v>
      </c>
      <c r="L422">
        <v>163.92200571428501</v>
      </c>
      <c r="M422">
        <v>219.922802019183</v>
      </c>
      <c r="N422">
        <v>0.05</v>
      </c>
      <c r="O422">
        <v>0</v>
      </c>
      <c r="P422">
        <v>0</v>
      </c>
      <c r="Q422">
        <v>0</v>
      </c>
      <c r="R422">
        <v>0.53962524414062496</v>
      </c>
      <c r="S422">
        <v>0.11524853515625</v>
      </c>
      <c r="T422">
        <v>0</v>
      </c>
      <c r="U422">
        <v>166.19499999999999</v>
      </c>
      <c r="V422">
        <v>-1.5129999999999999</v>
      </c>
      <c r="W422">
        <v>0.82599999999999996</v>
      </c>
      <c r="X422">
        <v>0.755</v>
      </c>
      <c r="Y422" t="b">
        <v>1</v>
      </c>
      <c r="Z422">
        <v>78</v>
      </c>
      <c r="AA422">
        <f t="shared" si="67"/>
        <v>53.962524414062493</v>
      </c>
      <c r="AB422">
        <f t="shared" si="65"/>
        <v>191.53841728227488</v>
      </c>
      <c r="AC422">
        <f t="shared" si="69"/>
        <v>63.524003921255719</v>
      </c>
    </row>
    <row r="423" spans="1:29" x14ac:dyDescent="0.3">
      <c r="A423">
        <f t="shared" si="66"/>
        <v>500</v>
      </c>
      <c r="B423" s="2">
        <f t="shared" si="71"/>
        <v>30.97170000000915</v>
      </c>
      <c r="C423" s="2">
        <f t="shared" si="70"/>
        <v>1.9499999999999886</v>
      </c>
      <c r="D423" s="2">
        <f t="shared" si="68"/>
        <v>9.776104800000212</v>
      </c>
      <c r="E423" s="2"/>
      <c r="F423">
        <v>2915.3796348000001</v>
      </c>
      <c r="G423">
        <v>253.5</v>
      </c>
      <c r="H423">
        <v>185.25</v>
      </c>
      <c r="I423">
        <v>255.46799999999999</v>
      </c>
      <c r="J423">
        <v>182.63</v>
      </c>
      <c r="K423">
        <v>249.14677714285699</v>
      </c>
      <c r="L423">
        <v>165.872005714285</v>
      </c>
      <c r="M423">
        <v>221.90491080850299</v>
      </c>
      <c r="N423">
        <v>0.05</v>
      </c>
      <c r="O423">
        <v>0</v>
      </c>
      <c r="P423">
        <v>0</v>
      </c>
      <c r="Q423">
        <v>0</v>
      </c>
      <c r="R423">
        <v>0.53962524414062496</v>
      </c>
      <c r="S423">
        <v>0.11524853515625</v>
      </c>
      <c r="T423">
        <v>0</v>
      </c>
      <c r="U423">
        <v>166.19499999999999</v>
      </c>
      <c r="V423">
        <v>-1.5129999999999999</v>
      </c>
      <c r="W423">
        <v>0.82599999999999996</v>
      </c>
      <c r="X423">
        <v>0.755</v>
      </c>
      <c r="Y423" t="b">
        <v>1</v>
      </c>
      <c r="Z423">
        <v>78</v>
      </c>
      <c r="AA423">
        <f t="shared" si="67"/>
        <v>53.962524414062493</v>
      </c>
      <c r="AB423">
        <f t="shared" si="65"/>
        <v>193.20972839967038</v>
      </c>
      <c r="AC423">
        <f t="shared" si="69"/>
        <v>62.96070283514991</v>
      </c>
    </row>
    <row r="424" spans="1:29" x14ac:dyDescent="0.3">
      <c r="A424">
        <f t="shared" si="66"/>
        <v>500</v>
      </c>
      <c r="B424" s="2">
        <f t="shared" si="71"/>
        <v>46.042999999826861</v>
      </c>
      <c r="C424" s="2">
        <f t="shared" si="70"/>
        <v>1.2698742857149909</v>
      </c>
      <c r="D424" s="2">
        <f t="shared" si="68"/>
        <v>9.8221478000000388</v>
      </c>
      <c r="E424" s="2"/>
      <c r="F424">
        <v>2915.4256777999999</v>
      </c>
      <c r="G424">
        <v>253.5</v>
      </c>
      <c r="H424">
        <v>185.25</v>
      </c>
      <c r="I424">
        <v>255.59100000000001</v>
      </c>
      <c r="J424">
        <v>180.40299999999999</v>
      </c>
      <c r="K424">
        <v>249.71867999999901</v>
      </c>
      <c r="L424">
        <v>167.14187999999999</v>
      </c>
      <c r="M424">
        <v>223.22105995266301</v>
      </c>
      <c r="N424">
        <v>0.05</v>
      </c>
      <c r="O424">
        <v>0</v>
      </c>
      <c r="P424">
        <v>0</v>
      </c>
      <c r="Q424">
        <v>0</v>
      </c>
      <c r="R424">
        <v>0.47065316772460902</v>
      </c>
      <c r="S424">
        <v>8.6105911254882803E-2</v>
      </c>
      <c r="T424">
        <v>0</v>
      </c>
      <c r="U424">
        <v>166.05600000000001</v>
      </c>
      <c r="V424">
        <v>-1.5209999999999999</v>
      </c>
      <c r="W424">
        <v>0.28699999999999998</v>
      </c>
      <c r="X424">
        <v>0.755</v>
      </c>
      <c r="Y424" t="b">
        <v>1</v>
      </c>
      <c r="Z424">
        <v>78</v>
      </c>
      <c r="AA424">
        <f t="shared" si="67"/>
        <v>47.065316772460903</v>
      </c>
      <c r="AB424">
        <f t="shared" si="65"/>
        <v>195.69432491125772</v>
      </c>
      <c r="AC424">
        <f t="shared" si="69"/>
        <v>27.580181259252573</v>
      </c>
    </row>
    <row r="425" spans="1:29" x14ac:dyDescent="0.3">
      <c r="A425">
        <f t="shared" si="66"/>
        <v>500</v>
      </c>
      <c r="B425" s="2">
        <f t="shared" si="71"/>
        <v>77.441700000235869</v>
      </c>
      <c r="C425" s="2">
        <f t="shared" si="70"/>
        <v>1.9499999999990223</v>
      </c>
      <c r="D425" s="2">
        <f t="shared" si="68"/>
        <v>9.8995895000002747</v>
      </c>
      <c r="E425" s="2"/>
      <c r="F425">
        <v>2915.5031195000001</v>
      </c>
      <c r="G425">
        <v>253.5</v>
      </c>
      <c r="H425">
        <v>195</v>
      </c>
      <c r="I425">
        <v>256.08300000000003</v>
      </c>
      <c r="J425">
        <v>198.27500000000001</v>
      </c>
      <c r="K425">
        <v>250.275959999999</v>
      </c>
      <c r="L425">
        <v>169.09187999999901</v>
      </c>
      <c r="M425">
        <v>225.245117710377</v>
      </c>
      <c r="N425">
        <v>0.05</v>
      </c>
      <c r="O425">
        <v>0</v>
      </c>
      <c r="P425">
        <v>0</v>
      </c>
      <c r="Q425">
        <v>0</v>
      </c>
      <c r="R425">
        <v>0.47065316772460902</v>
      </c>
      <c r="S425">
        <v>8.6105911254882803E-2</v>
      </c>
      <c r="T425">
        <v>0</v>
      </c>
      <c r="U425">
        <v>166.05600000000001</v>
      </c>
      <c r="V425">
        <v>-1.5209999999999999</v>
      </c>
      <c r="W425">
        <v>0.28699999999999998</v>
      </c>
      <c r="X425">
        <v>0.755</v>
      </c>
      <c r="Y425" t="b">
        <v>1</v>
      </c>
      <c r="Z425">
        <v>78</v>
      </c>
      <c r="AA425">
        <f t="shared" si="67"/>
        <v>47.065316772460903</v>
      </c>
      <c r="AB425">
        <f t="shared" si="65"/>
        <v>199.33914305316671</v>
      </c>
      <c r="AC425">
        <f t="shared" si="69"/>
        <v>25.180232355347094</v>
      </c>
    </row>
    <row r="426" spans="1:29" x14ac:dyDescent="0.3">
      <c r="A426">
        <f t="shared" si="66"/>
        <v>500</v>
      </c>
      <c r="B426" s="2">
        <f t="shared" si="71"/>
        <v>16.216699999858974</v>
      </c>
      <c r="C426" s="2">
        <f t="shared" si="70"/>
        <v>1.944760000000997</v>
      </c>
      <c r="D426" s="2">
        <f t="shared" si="68"/>
        <v>9.9158062000001337</v>
      </c>
      <c r="E426" s="2"/>
      <c r="F426">
        <v>2915.5193362</v>
      </c>
      <c r="G426">
        <v>253.5</v>
      </c>
      <c r="H426">
        <v>195</v>
      </c>
      <c r="I426">
        <v>256.452</v>
      </c>
      <c r="J426">
        <v>196.048</v>
      </c>
      <c r="K426">
        <v>250.823399999999</v>
      </c>
      <c r="L426">
        <v>171.03664000000001</v>
      </c>
      <c r="M426">
        <v>227.20480854218999</v>
      </c>
      <c r="N426">
        <v>0.05</v>
      </c>
      <c r="O426">
        <v>0</v>
      </c>
      <c r="P426">
        <v>0</v>
      </c>
      <c r="Q426">
        <v>0</v>
      </c>
      <c r="R426">
        <v>0.47065316772460902</v>
      </c>
      <c r="S426">
        <v>8.6105911254882803E-2</v>
      </c>
      <c r="T426">
        <v>0</v>
      </c>
      <c r="U426">
        <v>166.05600000000001</v>
      </c>
      <c r="V426">
        <v>-1.5209999999999999</v>
      </c>
      <c r="W426">
        <v>0.28699999999999998</v>
      </c>
      <c r="X426">
        <v>0.755</v>
      </c>
      <c r="Y426" t="b">
        <v>1</v>
      </c>
      <c r="Z426">
        <v>78</v>
      </c>
      <c r="AA426">
        <f t="shared" si="67"/>
        <v>47.065316772460903</v>
      </c>
      <c r="AB426">
        <f t="shared" si="65"/>
        <v>200.10238717566403</v>
      </c>
      <c r="AC426" t="b">
        <f t="shared" si="69"/>
        <v>0</v>
      </c>
    </row>
    <row r="427" spans="1:29" x14ac:dyDescent="0.3">
      <c r="A427">
        <f t="shared" si="66"/>
        <v>500</v>
      </c>
      <c r="B427" s="2">
        <f t="shared" si="71"/>
        <v>31.674800000018877</v>
      </c>
      <c r="C427" s="2">
        <f t="shared" si="70"/>
        <v>1.9395199999999875</v>
      </c>
      <c r="D427" s="2">
        <f t="shared" si="68"/>
        <v>9.9474810000001526</v>
      </c>
      <c r="E427" s="2"/>
      <c r="F427">
        <v>2915.551011</v>
      </c>
      <c r="G427">
        <v>253.5</v>
      </c>
      <c r="H427">
        <v>195</v>
      </c>
      <c r="I427">
        <v>256.69799999999998</v>
      </c>
      <c r="J427">
        <v>193.69</v>
      </c>
      <c r="K427">
        <v>251.356079999999</v>
      </c>
      <c r="L427">
        <v>172.97615999999999</v>
      </c>
      <c r="M427">
        <v>229.17293438282201</v>
      </c>
      <c r="N427">
        <v>0.05</v>
      </c>
      <c r="O427">
        <v>0</v>
      </c>
      <c r="P427">
        <v>0</v>
      </c>
      <c r="Q427">
        <v>0</v>
      </c>
      <c r="R427">
        <v>0.46569784545898402</v>
      </c>
      <c r="S427">
        <v>6.9497337341308599E-2</v>
      </c>
      <c r="T427">
        <v>0</v>
      </c>
      <c r="U427">
        <v>165.983</v>
      </c>
      <c r="V427">
        <v>-1.6759999999999999</v>
      </c>
      <c r="W427">
        <v>0.115</v>
      </c>
      <c r="X427">
        <v>0.754</v>
      </c>
      <c r="Y427" t="b">
        <v>1</v>
      </c>
      <c r="Z427">
        <v>78</v>
      </c>
      <c r="AA427">
        <f t="shared" si="67"/>
        <v>46.569784545898401</v>
      </c>
      <c r="AB427">
        <f t="shared" si="65"/>
        <v>201.59317167136928</v>
      </c>
      <c r="AC427">
        <f t="shared" si="69"/>
        <v>61.232272974062397</v>
      </c>
    </row>
    <row r="428" spans="1:29" x14ac:dyDescent="0.3">
      <c r="A428">
        <f t="shared" si="66"/>
        <v>500</v>
      </c>
      <c r="B428" s="2">
        <f t="shared" si="71"/>
        <v>15.472799999770359</v>
      </c>
      <c r="C428" s="2">
        <f t="shared" si="70"/>
        <v>1.9395199999990211</v>
      </c>
      <c r="D428" s="2">
        <f t="shared" si="68"/>
        <v>9.9629537999999229</v>
      </c>
      <c r="E428" s="2"/>
      <c r="F428">
        <v>2915.5664837999998</v>
      </c>
      <c r="G428">
        <v>253.5</v>
      </c>
      <c r="H428">
        <v>195</v>
      </c>
      <c r="I428">
        <v>257.19</v>
      </c>
      <c r="J428">
        <v>191.46299999999999</v>
      </c>
      <c r="K428">
        <v>251.888759999999</v>
      </c>
      <c r="L428">
        <v>174.91567999999901</v>
      </c>
      <c r="M428">
        <v>231.126164515478</v>
      </c>
      <c r="N428">
        <v>0.05</v>
      </c>
      <c r="O428">
        <v>0</v>
      </c>
      <c r="P428">
        <v>0</v>
      </c>
      <c r="Q428">
        <v>0</v>
      </c>
      <c r="R428">
        <v>0.46569784545898402</v>
      </c>
      <c r="S428">
        <v>6.9497337341308599E-2</v>
      </c>
      <c r="T428">
        <v>0</v>
      </c>
      <c r="U428">
        <v>165.983</v>
      </c>
      <c r="V428">
        <v>-1.6759999999999999</v>
      </c>
      <c r="W428">
        <v>0.115</v>
      </c>
      <c r="X428">
        <v>0.754</v>
      </c>
      <c r="Y428" t="b">
        <v>1</v>
      </c>
      <c r="Z428">
        <v>78</v>
      </c>
      <c r="AA428">
        <f t="shared" si="67"/>
        <v>46.569784545898401</v>
      </c>
      <c r="AB428">
        <f t="shared" si="65"/>
        <v>202.31373663368035</v>
      </c>
      <c r="AC428" t="b">
        <f t="shared" si="69"/>
        <v>0</v>
      </c>
    </row>
    <row r="429" spans="1:29" x14ac:dyDescent="0.3">
      <c r="A429">
        <f t="shared" si="66"/>
        <v>500</v>
      </c>
      <c r="B429" s="2">
        <f t="shared" si="71"/>
        <v>31.388600000354927</v>
      </c>
      <c r="C429" s="2">
        <f t="shared" si="70"/>
        <v>2.2474800000009907</v>
      </c>
      <c r="D429" s="2">
        <f t="shared" si="68"/>
        <v>9.9943424000002778</v>
      </c>
      <c r="E429" s="2"/>
      <c r="F429">
        <v>2915.5978724000001</v>
      </c>
      <c r="G429">
        <v>253.5</v>
      </c>
      <c r="H429">
        <v>204.75</v>
      </c>
      <c r="I429">
        <v>257.80500000000001</v>
      </c>
      <c r="J429">
        <v>209.46600000000001</v>
      </c>
      <c r="K429">
        <v>252.41376</v>
      </c>
      <c r="L429">
        <v>177.16316</v>
      </c>
      <c r="M429">
        <v>233.40093709072599</v>
      </c>
      <c r="N429">
        <v>0.05</v>
      </c>
      <c r="O429">
        <v>0</v>
      </c>
      <c r="P429">
        <v>0</v>
      </c>
      <c r="Q429">
        <v>0</v>
      </c>
      <c r="R429">
        <v>0.472014617919921</v>
      </c>
      <c r="S429">
        <v>5.9353378295898401E-2</v>
      </c>
      <c r="T429">
        <v>0</v>
      </c>
      <c r="U429">
        <v>165.994</v>
      </c>
      <c r="V429">
        <v>-1.8879999999999999</v>
      </c>
      <c r="W429">
        <v>8.4000000000000005E-2</v>
      </c>
      <c r="X429">
        <v>0.753</v>
      </c>
      <c r="Y429" t="b">
        <v>1</v>
      </c>
      <c r="Z429">
        <v>78</v>
      </c>
      <c r="AA429">
        <f t="shared" si="67"/>
        <v>47.201461791992102</v>
      </c>
      <c r="AB429">
        <f t="shared" si="65"/>
        <v>203.77549697289427</v>
      </c>
      <c r="AC429">
        <f t="shared" si="69"/>
        <v>71.601791732526365</v>
      </c>
    </row>
    <row r="430" spans="1:29" x14ac:dyDescent="0.3">
      <c r="A430">
        <f t="shared" si="66"/>
        <v>500</v>
      </c>
      <c r="B430" s="2">
        <f t="shared" si="71"/>
        <v>30.779899999743066</v>
      </c>
      <c r="C430" s="2">
        <f t="shared" si="70"/>
        <v>1.9447600000000023</v>
      </c>
      <c r="D430" s="2">
        <f t="shared" si="68"/>
        <v>10.025122300000021</v>
      </c>
      <c r="E430" s="2"/>
      <c r="F430">
        <v>2915.6286522999999</v>
      </c>
      <c r="G430">
        <v>253.5</v>
      </c>
      <c r="H430">
        <v>204.75</v>
      </c>
      <c r="I430">
        <v>258.17399999999998</v>
      </c>
      <c r="J430">
        <v>207.37</v>
      </c>
      <c r="K430">
        <v>252.92184</v>
      </c>
      <c r="L430">
        <v>179.10792000000001</v>
      </c>
      <c r="M430">
        <v>235.371797597935</v>
      </c>
      <c r="N430">
        <v>0.05</v>
      </c>
      <c r="O430">
        <v>0</v>
      </c>
      <c r="P430">
        <v>0</v>
      </c>
      <c r="Q430">
        <v>0</v>
      </c>
      <c r="R430">
        <v>0.472014617919921</v>
      </c>
      <c r="S430">
        <v>5.9353378295898401E-2</v>
      </c>
      <c r="T430">
        <v>0</v>
      </c>
      <c r="U430">
        <v>165.994</v>
      </c>
      <c r="V430">
        <v>-1.8879999999999999</v>
      </c>
      <c r="W430">
        <v>8.4000000000000005E-2</v>
      </c>
      <c r="X430">
        <v>0.753</v>
      </c>
      <c r="Y430" t="b">
        <v>1</v>
      </c>
      <c r="Z430">
        <v>78</v>
      </c>
      <c r="AA430">
        <f t="shared" si="67"/>
        <v>47.201461791992102</v>
      </c>
      <c r="AB430">
        <f t="shared" si="65"/>
        <v>205.22835324669347</v>
      </c>
      <c r="AC430">
        <f t="shared" si="69"/>
        <v>63.18279136762095</v>
      </c>
    </row>
    <row r="431" spans="1:29" x14ac:dyDescent="0.3">
      <c r="A431">
        <f t="shared" si="66"/>
        <v>500</v>
      </c>
      <c r="B431" s="2">
        <f t="shared" si="71"/>
        <v>45.829500000309054</v>
      </c>
      <c r="C431" s="2">
        <f t="shared" si="70"/>
        <v>1.9395199999999875</v>
      </c>
      <c r="D431" s="2">
        <f t="shared" si="68"/>
        <v>10.07095180000033</v>
      </c>
      <c r="E431" s="2"/>
      <c r="F431">
        <v>2915.6744818000002</v>
      </c>
      <c r="G431">
        <v>253.5</v>
      </c>
      <c r="H431">
        <v>204.75</v>
      </c>
      <c r="I431">
        <v>258.29700000000003</v>
      </c>
      <c r="J431">
        <v>205.274</v>
      </c>
      <c r="K431">
        <v>253.41515999999999</v>
      </c>
      <c r="L431">
        <v>181.04743999999999</v>
      </c>
      <c r="M431">
        <v>237.348998419905</v>
      </c>
      <c r="N431">
        <v>0.05</v>
      </c>
      <c r="O431">
        <v>0</v>
      </c>
      <c r="P431">
        <v>0</v>
      </c>
      <c r="Q431">
        <v>0</v>
      </c>
      <c r="R431">
        <v>0.47653900146484302</v>
      </c>
      <c r="S431">
        <v>5.5510108947753899E-2</v>
      </c>
      <c r="T431">
        <v>0</v>
      </c>
      <c r="U431">
        <v>165.93799999999999</v>
      </c>
      <c r="V431">
        <v>-1.964</v>
      </c>
      <c r="W431">
        <v>7.2999999999999995E-2</v>
      </c>
      <c r="X431">
        <v>0.752</v>
      </c>
      <c r="Y431" t="b">
        <v>1</v>
      </c>
      <c r="Z431">
        <v>78</v>
      </c>
      <c r="AA431">
        <f t="shared" si="67"/>
        <v>47.653900146484304</v>
      </c>
      <c r="AB431">
        <f t="shared" si="65"/>
        <v>207.39157263990415</v>
      </c>
      <c r="AC431">
        <f t="shared" si="69"/>
        <v>42.320339519019591</v>
      </c>
    </row>
    <row r="432" spans="1:29" x14ac:dyDescent="0.3">
      <c r="A432">
        <f t="shared" si="66"/>
        <v>500</v>
      </c>
      <c r="B432" s="2">
        <f t="shared" si="71"/>
        <v>30.716999999640393</v>
      </c>
      <c r="C432" s="2">
        <f t="shared" si="70"/>
        <v>1.9395200000000159</v>
      </c>
      <c r="D432" s="2">
        <f t="shared" si="68"/>
        <v>10.10166879999997</v>
      </c>
      <c r="E432" s="2"/>
      <c r="F432">
        <v>2915.7051987999998</v>
      </c>
      <c r="G432">
        <v>253.5</v>
      </c>
      <c r="H432">
        <v>204.75</v>
      </c>
      <c r="I432">
        <v>258.42</v>
      </c>
      <c r="J432">
        <v>203.178</v>
      </c>
      <c r="K432">
        <v>253.88879999999901</v>
      </c>
      <c r="L432">
        <v>182.98696000000001</v>
      </c>
      <c r="M432">
        <v>239.313005182545</v>
      </c>
      <c r="N432">
        <v>0.05</v>
      </c>
      <c r="O432">
        <v>0</v>
      </c>
      <c r="P432">
        <v>0</v>
      </c>
      <c r="Q432">
        <v>0</v>
      </c>
      <c r="R432">
        <v>0.47653900146484302</v>
      </c>
      <c r="S432">
        <v>5.5510108947753899E-2</v>
      </c>
      <c r="T432">
        <v>0</v>
      </c>
      <c r="U432">
        <v>165.93799999999999</v>
      </c>
      <c r="V432">
        <v>-1.964</v>
      </c>
      <c r="W432">
        <v>7.2999999999999995E-2</v>
      </c>
      <c r="X432">
        <v>0.752</v>
      </c>
      <c r="Y432" t="b">
        <v>1</v>
      </c>
      <c r="Z432">
        <v>78</v>
      </c>
      <c r="AA432">
        <f t="shared" si="67"/>
        <v>47.653900146484304</v>
      </c>
      <c r="AB432">
        <f t="shared" si="65"/>
        <v>208.85535749068657</v>
      </c>
      <c r="AC432">
        <f t="shared" si="69"/>
        <v>63.141582837605299</v>
      </c>
    </row>
    <row r="433" spans="1:29" x14ac:dyDescent="0.3">
      <c r="A433">
        <f t="shared" si="66"/>
        <v>500</v>
      </c>
      <c r="B433" s="2">
        <f t="shared" si="71"/>
        <v>31.481400000302528</v>
      </c>
      <c r="C433" s="2">
        <f t="shared" si="70"/>
        <v>1.9342800000000011</v>
      </c>
      <c r="D433" s="2">
        <f t="shared" si="68"/>
        <v>10.133150200000273</v>
      </c>
      <c r="E433" s="2"/>
      <c r="F433">
        <v>2915.7366802000001</v>
      </c>
      <c r="G433">
        <v>253.5</v>
      </c>
      <c r="H433">
        <v>204.75</v>
      </c>
      <c r="I433">
        <v>258.666</v>
      </c>
      <c r="J433">
        <v>201.08199999999999</v>
      </c>
      <c r="K433">
        <v>254.34768</v>
      </c>
      <c r="L433">
        <v>184.92124000000001</v>
      </c>
      <c r="M433">
        <v>241.271759554205</v>
      </c>
      <c r="N433">
        <v>0.05</v>
      </c>
      <c r="O433">
        <v>0</v>
      </c>
      <c r="P433">
        <v>0</v>
      </c>
      <c r="Q433">
        <v>0</v>
      </c>
      <c r="R433">
        <v>0.46798928833007802</v>
      </c>
      <c r="S433">
        <v>2.12284526824951E-2</v>
      </c>
      <c r="T433">
        <v>0</v>
      </c>
      <c r="U433">
        <v>165.88800000000001</v>
      </c>
      <c r="V433">
        <v>-1.992</v>
      </c>
      <c r="W433">
        <v>0.155</v>
      </c>
      <c r="X433">
        <v>0.75600000000000001</v>
      </c>
      <c r="Y433" t="b">
        <v>1</v>
      </c>
      <c r="Z433">
        <v>78</v>
      </c>
      <c r="AA433">
        <f t="shared" si="67"/>
        <v>46.7989288330078</v>
      </c>
      <c r="AB433">
        <f t="shared" si="65"/>
        <v>210.35556898277252</v>
      </c>
      <c r="AC433">
        <f t="shared" si="69"/>
        <v>61.441994319865479</v>
      </c>
    </row>
    <row r="434" spans="1:29" x14ac:dyDescent="0.3">
      <c r="A434">
        <f t="shared" si="66"/>
        <v>500</v>
      </c>
      <c r="B434" s="2">
        <f t="shared" si="71"/>
        <v>31.715599999643018</v>
      </c>
      <c r="C434" s="2">
        <f t="shared" si="70"/>
        <v>1.9185599999999852</v>
      </c>
      <c r="D434" s="2">
        <f t="shared" si="68"/>
        <v>10.164865799999916</v>
      </c>
      <c r="E434" s="2"/>
      <c r="F434">
        <v>2915.7683957999998</v>
      </c>
      <c r="G434">
        <v>258.375</v>
      </c>
      <c r="H434">
        <v>209.625</v>
      </c>
      <c r="I434">
        <v>258.99</v>
      </c>
      <c r="J434">
        <v>209.232</v>
      </c>
      <c r="K434">
        <v>254.79671999999999</v>
      </c>
      <c r="L434">
        <v>186.8398</v>
      </c>
      <c r="M434">
        <v>243.21435543653001</v>
      </c>
      <c r="N434">
        <v>0.05</v>
      </c>
      <c r="O434">
        <v>0</v>
      </c>
      <c r="P434">
        <v>0</v>
      </c>
      <c r="Q434">
        <v>0</v>
      </c>
      <c r="R434">
        <v>0.46798928833007802</v>
      </c>
      <c r="S434">
        <v>2.12284526824951E-2</v>
      </c>
      <c r="T434">
        <v>0</v>
      </c>
      <c r="U434">
        <v>165.88800000000001</v>
      </c>
      <c r="V434">
        <v>-1.992</v>
      </c>
      <c r="W434">
        <v>0.155</v>
      </c>
      <c r="X434">
        <v>0.75600000000000001</v>
      </c>
      <c r="Y434" t="b">
        <v>1</v>
      </c>
      <c r="Z434">
        <v>78</v>
      </c>
      <c r="AA434">
        <f t="shared" si="67"/>
        <v>46.7989288330078</v>
      </c>
      <c r="AB434">
        <f t="shared" si="65"/>
        <v>211.83982509005196</v>
      </c>
      <c r="AC434">
        <f t="shared" si="69"/>
        <v>60.492628234104984</v>
      </c>
    </row>
    <row r="435" spans="1:29" x14ac:dyDescent="0.3">
      <c r="A435">
        <f t="shared" si="66"/>
        <v>500</v>
      </c>
      <c r="B435" s="2">
        <f t="shared" si="71"/>
        <v>30.517700000018522</v>
      </c>
      <c r="C435" s="2">
        <f t="shared" si="70"/>
        <v>1.8976000000000113</v>
      </c>
      <c r="D435" s="2">
        <f t="shared" si="68"/>
        <v>10.195383499999934</v>
      </c>
      <c r="E435" s="2"/>
      <c r="F435">
        <v>2915.7989134999998</v>
      </c>
      <c r="G435">
        <v>253.5</v>
      </c>
      <c r="H435">
        <v>214.5</v>
      </c>
      <c r="I435">
        <v>259.64999999999998</v>
      </c>
      <c r="J435">
        <v>217.12</v>
      </c>
      <c r="K435">
        <v>255.23952</v>
      </c>
      <c r="L435">
        <v>188.73740000000001</v>
      </c>
      <c r="M435">
        <v>245.13451009861501</v>
      </c>
      <c r="N435">
        <v>0.05</v>
      </c>
      <c r="O435">
        <v>0</v>
      </c>
      <c r="P435">
        <v>0</v>
      </c>
      <c r="Q435">
        <v>0</v>
      </c>
      <c r="R435">
        <v>0.49400256347656202</v>
      </c>
      <c r="S435">
        <v>2.0952438354492099E-2</v>
      </c>
      <c r="T435">
        <v>0</v>
      </c>
      <c r="U435">
        <v>165.886</v>
      </c>
      <c r="V435">
        <v>-2.0830000000000002</v>
      </c>
      <c r="W435">
        <v>0.28799999999999998</v>
      </c>
      <c r="X435">
        <v>0.754</v>
      </c>
      <c r="Y435" t="b">
        <v>1</v>
      </c>
      <c r="Z435">
        <v>78</v>
      </c>
      <c r="AA435">
        <f t="shared" si="67"/>
        <v>49.400256347656203</v>
      </c>
      <c r="AB435">
        <f t="shared" ref="AB435:AB498" si="72">AB434+(AA434*(D435-D434))</f>
        <v>213.26802076049992</v>
      </c>
      <c r="AC435">
        <f t="shared" si="69"/>
        <v>62.180308476682697</v>
      </c>
    </row>
    <row r="436" spans="1:29" x14ac:dyDescent="0.3">
      <c r="A436">
        <f t="shared" si="66"/>
        <v>500</v>
      </c>
      <c r="B436" s="2">
        <f t="shared" si="71"/>
        <v>30.422100000123464</v>
      </c>
      <c r="C436" s="2">
        <f t="shared" si="70"/>
        <v>1.9028399999999976</v>
      </c>
      <c r="D436" s="2">
        <f t="shared" si="68"/>
        <v>10.225805600000058</v>
      </c>
      <c r="E436" s="2"/>
      <c r="F436">
        <v>2915.8293355999999</v>
      </c>
      <c r="G436">
        <v>253.5</v>
      </c>
      <c r="H436">
        <v>214.5</v>
      </c>
      <c r="I436">
        <v>260.142</v>
      </c>
      <c r="J436">
        <v>215.024</v>
      </c>
      <c r="K436">
        <v>255.68723999999901</v>
      </c>
      <c r="L436">
        <v>190.64024000000001</v>
      </c>
      <c r="M436">
        <v>247.05928817284601</v>
      </c>
      <c r="N436">
        <v>0.05</v>
      </c>
      <c r="O436">
        <v>0</v>
      </c>
      <c r="P436">
        <v>0</v>
      </c>
      <c r="Q436">
        <v>0</v>
      </c>
      <c r="R436">
        <v>0.49400256347656202</v>
      </c>
      <c r="S436">
        <v>2.0952438354492099E-2</v>
      </c>
      <c r="T436">
        <v>0</v>
      </c>
      <c r="U436">
        <v>165.886</v>
      </c>
      <c r="V436">
        <v>-2.0830000000000002</v>
      </c>
      <c r="W436">
        <v>0.28799999999999998</v>
      </c>
      <c r="X436">
        <v>0.754</v>
      </c>
      <c r="Y436" t="b">
        <v>1</v>
      </c>
      <c r="Z436">
        <v>78</v>
      </c>
      <c r="AA436">
        <f t="shared" si="67"/>
        <v>49.400256347656203</v>
      </c>
      <c r="AB436">
        <f t="shared" si="72"/>
        <v>214.77088029914006</v>
      </c>
      <c r="AC436">
        <f t="shared" si="69"/>
        <v>62.547950338480092</v>
      </c>
    </row>
    <row r="437" spans="1:29" x14ac:dyDescent="0.3">
      <c r="A437">
        <f t="shared" si="66"/>
        <v>500</v>
      </c>
      <c r="B437" s="2">
        <f t="shared" si="71"/>
        <v>22.518700000091485</v>
      </c>
      <c r="C437" s="2">
        <f t="shared" si="70"/>
        <v>1.9238</v>
      </c>
      <c r="D437" s="2">
        <f t="shared" si="68"/>
        <v>10.248324300000149</v>
      </c>
      <c r="E437" s="2"/>
      <c r="F437">
        <v>2915.8518543</v>
      </c>
      <c r="G437">
        <v>263.25</v>
      </c>
      <c r="H437">
        <v>214.5</v>
      </c>
      <c r="I437">
        <v>260.66699999999997</v>
      </c>
      <c r="J437">
        <v>213.452</v>
      </c>
      <c r="K437">
        <v>256.13627999999898</v>
      </c>
      <c r="L437">
        <v>192.56404000000001</v>
      </c>
      <c r="M437">
        <v>248.99898365778901</v>
      </c>
      <c r="N437">
        <v>0.05</v>
      </c>
      <c r="O437">
        <v>0</v>
      </c>
      <c r="P437">
        <v>0</v>
      </c>
      <c r="Q437">
        <v>0</v>
      </c>
      <c r="R437">
        <v>0.49084829711914002</v>
      </c>
      <c r="S437">
        <v>2.4546646118164001E-2</v>
      </c>
      <c r="T437">
        <v>0</v>
      </c>
      <c r="U437">
        <v>166.09299999999999</v>
      </c>
      <c r="V437">
        <v>-2.048</v>
      </c>
      <c r="W437">
        <v>0.46700000000000003</v>
      </c>
      <c r="X437">
        <v>0.753</v>
      </c>
      <c r="Y437" t="b">
        <v>1</v>
      </c>
      <c r="Z437">
        <v>78</v>
      </c>
      <c r="AA437">
        <f t="shared" si="67"/>
        <v>49.084829711914004</v>
      </c>
      <c r="AB437">
        <f t="shared" si="72"/>
        <v>215.88330985176054</v>
      </c>
      <c r="AC437">
        <f t="shared" si="69"/>
        <v>85.431219386207204</v>
      </c>
    </row>
    <row r="438" spans="1:29" x14ac:dyDescent="0.3">
      <c r="A438">
        <f t="shared" si="66"/>
        <v>500</v>
      </c>
      <c r="B438" s="2">
        <f t="shared" si="71"/>
        <v>55.542399999922054</v>
      </c>
      <c r="C438" s="2">
        <f t="shared" si="70"/>
        <v>2.3986400000000003</v>
      </c>
      <c r="D438" s="2">
        <f t="shared" si="68"/>
        <v>10.303866700000071</v>
      </c>
      <c r="E438" s="2"/>
      <c r="F438">
        <v>2915.9073966999999</v>
      </c>
      <c r="G438">
        <v>256.75</v>
      </c>
      <c r="H438">
        <v>221</v>
      </c>
      <c r="I438">
        <v>261.79300000000001</v>
      </c>
      <c r="J438">
        <v>223.227</v>
      </c>
      <c r="K438">
        <v>256.60575999999998</v>
      </c>
      <c r="L438">
        <v>194.96268000000001</v>
      </c>
      <c r="M438">
        <v>251.43561731438501</v>
      </c>
      <c r="N438">
        <v>0.05</v>
      </c>
      <c r="O438">
        <v>0</v>
      </c>
      <c r="P438">
        <v>0</v>
      </c>
      <c r="Q438">
        <v>0</v>
      </c>
      <c r="R438">
        <v>0.49084829711914002</v>
      </c>
      <c r="S438">
        <v>2.4546646118164001E-2</v>
      </c>
      <c r="T438">
        <v>0</v>
      </c>
      <c r="U438">
        <v>166.09299999999999</v>
      </c>
      <c r="V438">
        <v>-2.048</v>
      </c>
      <c r="W438">
        <v>0.46700000000000003</v>
      </c>
      <c r="X438">
        <v>0.753</v>
      </c>
      <c r="Y438" t="b">
        <v>1</v>
      </c>
      <c r="Z438">
        <v>78</v>
      </c>
      <c r="AA438">
        <f t="shared" si="67"/>
        <v>49.084829711914004</v>
      </c>
      <c r="AB438">
        <f t="shared" si="72"/>
        <v>218.60959909754774</v>
      </c>
      <c r="AC438">
        <f t="shared" si="69"/>
        <v>43.185746384804517</v>
      </c>
    </row>
    <row r="439" spans="1:29" x14ac:dyDescent="0.3">
      <c r="A439">
        <f t="shared" si="66"/>
        <v>500</v>
      </c>
      <c r="B439" s="2">
        <f t="shared" si="71"/>
        <v>29.624300000250514</v>
      </c>
      <c r="C439" s="2">
        <f t="shared" si="70"/>
        <v>2.2655199999999809</v>
      </c>
      <c r="D439" s="2">
        <f t="shared" si="68"/>
        <v>10.333491000000322</v>
      </c>
      <c r="E439" s="2"/>
      <c r="F439">
        <v>2915.9370210000002</v>
      </c>
      <c r="G439">
        <v>263.25</v>
      </c>
      <c r="H439">
        <v>224.25</v>
      </c>
      <c r="I439">
        <v>262.26600000000002</v>
      </c>
      <c r="J439">
        <v>228.44200000000001</v>
      </c>
      <c r="K439">
        <v>257.05659999999898</v>
      </c>
      <c r="L439">
        <v>197.22819999999999</v>
      </c>
      <c r="M439">
        <v>253.720716267044</v>
      </c>
      <c r="N439">
        <v>0.05</v>
      </c>
      <c r="O439">
        <v>0</v>
      </c>
      <c r="P439">
        <v>0</v>
      </c>
      <c r="Q439">
        <v>0</v>
      </c>
      <c r="R439">
        <v>0.464291900634765</v>
      </c>
      <c r="S439">
        <v>5.9628063201904197E-2</v>
      </c>
      <c r="T439">
        <v>0</v>
      </c>
      <c r="U439">
        <v>166.19399999999999</v>
      </c>
      <c r="V439">
        <v>-1.8320000000000001</v>
      </c>
      <c r="W439">
        <v>0.47</v>
      </c>
      <c r="X439">
        <v>0.751</v>
      </c>
      <c r="Y439" t="b">
        <v>1</v>
      </c>
      <c r="Z439">
        <v>78</v>
      </c>
      <c r="AA439">
        <f t="shared" si="67"/>
        <v>46.429190063476497</v>
      </c>
      <c r="AB439">
        <f t="shared" si="72"/>
        <v>220.06370281839469</v>
      </c>
      <c r="AC439">
        <f t="shared" si="69"/>
        <v>76.475055950041778</v>
      </c>
    </row>
    <row r="440" spans="1:29" x14ac:dyDescent="0.3">
      <c r="A440">
        <f t="shared" si="66"/>
        <v>500</v>
      </c>
      <c r="B440" s="2">
        <f t="shared" si="71"/>
        <v>31.32919999961814</v>
      </c>
      <c r="C440" s="2">
        <f t="shared" si="70"/>
        <v>1.876640000000009</v>
      </c>
      <c r="D440" s="2">
        <f t="shared" si="68"/>
        <v>10.36482019999994</v>
      </c>
      <c r="E440" s="2"/>
      <c r="F440">
        <v>2915.9683501999998</v>
      </c>
      <c r="G440">
        <v>263.25</v>
      </c>
      <c r="H440">
        <v>224.25</v>
      </c>
      <c r="I440">
        <v>262.512</v>
      </c>
      <c r="J440">
        <v>226.608</v>
      </c>
      <c r="K440">
        <v>257.48103999999898</v>
      </c>
      <c r="L440">
        <v>199.10484</v>
      </c>
      <c r="M440">
        <v>255.61755919632</v>
      </c>
      <c r="N440">
        <v>0.05</v>
      </c>
      <c r="O440">
        <v>0</v>
      </c>
      <c r="P440">
        <v>0</v>
      </c>
      <c r="Q440">
        <v>0</v>
      </c>
      <c r="R440">
        <v>0.464291900634765</v>
      </c>
      <c r="S440">
        <v>5.9628063201904197E-2</v>
      </c>
      <c r="T440">
        <v>0</v>
      </c>
      <c r="U440">
        <v>166.19399999999999</v>
      </c>
      <c r="V440">
        <v>-1.8320000000000001</v>
      </c>
      <c r="W440">
        <v>0.47</v>
      </c>
      <c r="X440">
        <v>0.751</v>
      </c>
      <c r="Y440" t="b">
        <v>1</v>
      </c>
      <c r="Z440">
        <v>78</v>
      </c>
      <c r="AA440">
        <f t="shared" si="67"/>
        <v>46.429190063476497</v>
      </c>
      <c r="AB440">
        <f t="shared" si="72"/>
        <v>221.51829219971361</v>
      </c>
      <c r="AC440">
        <f t="shared" si="69"/>
        <v>59.900667748390724</v>
      </c>
    </row>
    <row r="441" spans="1:29" x14ac:dyDescent="0.3">
      <c r="A441">
        <f t="shared" si="66"/>
        <v>500</v>
      </c>
      <c r="B441" s="2">
        <f t="shared" si="71"/>
        <v>31.074100000296312</v>
      </c>
      <c r="C441" s="2">
        <f t="shared" si="70"/>
        <v>1.8871200000000101</v>
      </c>
      <c r="D441" s="2">
        <f t="shared" si="68"/>
        <v>10.395894300000236</v>
      </c>
      <c r="E441" s="2"/>
      <c r="F441">
        <v>2915.9994243000001</v>
      </c>
      <c r="G441">
        <v>263.25</v>
      </c>
      <c r="H441">
        <v>224.25</v>
      </c>
      <c r="I441">
        <v>262.75799999999998</v>
      </c>
      <c r="J441">
        <v>225.036</v>
      </c>
      <c r="K441">
        <v>257.88087999999902</v>
      </c>
      <c r="L441">
        <v>200.99196000000001</v>
      </c>
      <c r="M441">
        <v>257.524219526423</v>
      </c>
      <c r="N441">
        <v>0.05</v>
      </c>
      <c r="O441">
        <v>0</v>
      </c>
      <c r="P441">
        <v>0</v>
      </c>
      <c r="Q441">
        <v>0</v>
      </c>
      <c r="R441">
        <v>0.40866888427734299</v>
      </c>
      <c r="S441">
        <v>5.3322097778320303E-2</v>
      </c>
      <c r="T441">
        <v>0</v>
      </c>
      <c r="U441">
        <v>166.20400000000001</v>
      </c>
      <c r="V441">
        <v>-1.643</v>
      </c>
      <c r="W441">
        <v>0.15</v>
      </c>
      <c r="X441">
        <v>0.75600000000000001</v>
      </c>
      <c r="Y441" t="b">
        <v>1</v>
      </c>
      <c r="Z441">
        <v>78</v>
      </c>
      <c r="AA441">
        <f t="shared" si="67"/>
        <v>40.866888427734303</v>
      </c>
      <c r="AB441">
        <f t="shared" si="72"/>
        <v>222.96103749467883</v>
      </c>
      <c r="AC441">
        <f t="shared" si="69"/>
        <v>60.729675195163018</v>
      </c>
    </row>
    <row r="442" spans="1:29" x14ac:dyDescent="0.3">
      <c r="A442">
        <f t="shared" si="66"/>
        <v>500</v>
      </c>
      <c r="B442" s="2">
        <f t="shared" si="71"/>
        <v>30.75330000001486</v>
      </c>
      <c r="C442" s="2">
        <f t="shared" si="70"/>
        <v>1.8975999999999829</v>
      </c>
      <c r="D442" s="2">
        <f t="shared" si="68"/>
        <v>10.426647600000251</v>
      </c>
      <c r="E442" s="2"/>
      <c r="F442">
        <v>2916.0301776000001</v>
      </c>
      <c r="G442">
        <v>263.25</v>
      </c>
      <c r="H442">
        <v>224.25</v>
      </c>
      <c r="I442">
        <v>263.00400000000002</v>
      </c>
      <c r="J442">
        <v>223.202</v>
      </c>
      <c r="K442">
        <v>258.25611999999899</v>
      </c>
      <c r="L442">
        <v>202.88955999999999</v>
      </c>
      <c r="M442">
        <v>259.440681806886</v>
      </c>
      <c r="N442">
        <v>0.05</v>
      </c>
      <c r="O442">
        <v>0</v>
      </c>
      <c r="P442">
        <v>0</v>
      </c>
      <c r="Q442">
        <v>0</v>
      </c>
      <c r="R442">
        <v>0.40866888427734299</v>
      </c>
      <c r="S442">
        <v>5.3322097778320303E-2</v>
      </c>
      <c r="T442">
        <v>0</v>
      </c>
      <c r="U442">
        <v>166.20400000000001</v>
      </c>
      <c r="V442">
        <v>-1.643</v>
      </c>
      <c r="W442">
        <v>0.15</v>
      </c>
      <c r="X442">
        <v>0.75600000000000001</v>
      </c>
      <c r="Y442" t="b">
        <v>1</v>
      </c>
      <c r="Z442">
        <v>78</v>
      </c>
      <c r="AA442">
        <f t="shared" si="67"/>
        <v>40.866888427734303</v>
      </c>
      <c r="AB442">
        <f t="shared" si="72"/>
        <v>224.21782917456409</v>
      </c>
      <c r="AC442">
        <f t="shared" si="69"/>
        <v>61.703947218642092</v>
      </c>
    </row>
    <row r="443" spans="1:29" x14ac:dyDescent="0.3">
      <c r="A443">
        <f t="shared" si="66"/>
        <v>500</v>
      </c>
      <c r="B443" s="2">
        <f t="shared" si="71"/>
        <v>31.048800000007759</v>
      </c>
      <c r="C443" s="2">
        <f t="shared" si="70"/>
        <v>1.9080800000000124</v>
      </c>
      <c r="D443" s="2">
        <f t="shared" si="68"/>
        <v>10.457696400000259</v>
      </c>
      <c r="E443" s="2"/>
      <c r="F443">
        <v>2916.0612264000001</v>
      </c>
      <c r="G443">
        <v>263.25</v>
      </c>
      <c r="H443">
        <v>224.25</v>
      </c>
      <c r="I443">
        <v>263.25</v>
      </c>
      <c r="J443">
        <v>221.36799999999999</v>
      </c>
      <c r="K443">
        <v>258.61167999999901</v>
      </c>
      <c r="L443">
        <v>204.79764</v>
      </c>
      <c r="M443">
        <v>261.36733648556998</v>
      </c>
      <c r="N443">
        <v>0.05</v>
      </c>
      <c r="O443">
        <v>0</v>
      </c>
      <c r="P443">
        <v>0</v>
      </c>
      <c r="Q443">
        <v>0</v>
      </c>
      <c r="R443">
        <v>0.37128228759765602</v>
      </c>
      <c r="S443">
        <v>2.9717363357543901E-2</v>
      </c>
      <c r="T443">
        <v>0</v>
      </c>
      <c r="U443">
        <v>166.178</v>
      </c>
      <c r="V443">
        <v>-1.806</v>
      </c>
      <c r="W443">
        <v>-0.1</v>
      </c>
      <c r="X443">
        <v>0.755</v>
      </c>
      <c r="Y443" t="b">
        <v>1</v>
      </c>
      <c r="Z443">
        <v>78</v>
      </c>
      <c r="AA443">
        <f t="shared" si="67"/>
        <v>37.128228759765605</v>
      </c>
      <c r="AB443">
        <f t="shared" si="72"/>
        <v>225.48669701997943</v>
      </c>
      <c r="AC443">
        <f t="shared" si="69"/>
        <v>61.454226894422185</v>
      </c>
    </row>
    <row r="444" spans="1:29" x14ac:dyDescent="0.3">
      <c r="A444">
        <f t="shared" si="66"/>
        <v>500</v>
      </c>
      <c r="B444" s="2">
        <f t="shared" si="71"/>
        <v>31.05039999991277</v>
      </c>
      <c r="C444" s="2">
        <f t="shared" si="70"/>
        <v>1.4159942857139924</v>
      </c>
      <c r="D444" s="2">
        <f t="shared" si="68"/>
        <v>10.488746800000172</v>
      </c>
      <c r="E444" s="2"/>
      <c r="F444">
        <v>2916.0922768</v>
      </c>
      <c r="G444">
        <v>264.642857142857</v>
      </c>
      <c r="H444">
        <v>225.642857142857</v>
      </c>
      <c r="I444">
        <v>263.41285714285698</v>
      </c>
      <c r="J444">
        <v>222.62985714285699</v>
      </c>
      <c r="K444">
        <v>258.94771428571403</v>
      </c>
      <c r="L444">
        <v>206.21363428571399</v>
      </c>
      <c r="M444">
        <v>262.80144690207402</v>
      </c>
      <c r="N444">
        <v>0.05</v>
      </c>
      <c r="O444">
        <v>0</v>
      </c>
      <c r="P444">
        <v>0</v>
      </c>
      <c r="Q444">
        <v>0</v>
      </c>
      <c r="R444">
        <v>0.37128228759765602</v>
      </c>
      <c r="S444">
        <v>2.9717363357543901E-2</v>
      </c>
      <c r="T444">
        <v>0</v>
      </c>
      <c r="U444">
        <v>166.178</v>
      </c>
      <c r="V444">
        <v>-1.806</v>
      </c>
      <c r="W444">
        <v>-0.1</v>
      </c>
      <c r="X444">
        <v>0.755</v>
      </c>
      <c r="Y444" t="b">
        <v>1</v>
      </c>
      <c r="Z444">
        <v>78</v>
      </c>
      <c r="AA444">
        <f t="shared" si="67"/>
        <v>37.128228759765605</v>
      </c>
      <c r="AB444">
        <f t="shared" si="72"/>
        <v>226.63954337425841</v>
      </c>
      <c r="AC444">
        <f t="shared" si="69"/>
        <v>45.603093219989773</v>
      </c>
    </row>
    <row r="445" spans="1:29" x14ac:dyDescent="0.3">
      <c r="A445">
        <f t="shared" si="66"/>
        <v>500</v>
      </c>
      <c r="B445" s="2">
        <f t="shared" si="71"/>
        <v>46.915599999920232</v>
      </c>
      <c r="C445" s="2">
        <f t="shared" si="70"/>
        <v>1.9552400000000034</v>
      </c>
      <c r="D445" s="2">
        <f t="shared" si="68"/>
        <v>10.535662400000092</v>
      </c>
      <c r="E445" s="2"/>
      <c r="F445">
        <v>2916.1391924</v>
      </c>
      <c r="G445">
        <v>263.25</v>
      </c>
      <c r="H445">
        <v>234</v>
      </c>
      <c r="I445">
        <v>263.74200000000002</v>
      </c>
      <c r="J445">
        <v>238.06100000000001</v>
      </c>
      <c r="K445">
        <v>259.27867428571398</v>
      </c>
      <c r="L445">
        <v>208.168874285714</v>
      </c>
      <c r="M445">
        <v>264.78321293936699</v>
      </c>
      <c r="N445">
        <v>0.05</v>
      </c>
      <c r="O445">
        <v>0</v>
      </c>
      <c r="P445">
        <v>0</v>
      </c>
      <c r="Q445">
        <v>0</v>
      </c>
      <c r="R445">
        <v>0.31934851074218701</v>
      </c>
      <c r="S445">
        <v>9.3774490356445302E-3</v>
      </c>
      <c r="T445">
        <v>0</v>
      </c>
      <c r="U445">
        <v>166.131</v>
      </c>
      <c r="V445">
        <v>-1.883</v>
      </c>
      <c r="W445">
        <v>-0.16</v>
      </c>
      <c r="X445">
        <v>0.752</v>
      </c>
      <c r="Y445" t="b">
        <v>1</v>
      </c>
      <c r="Z445">
        <v>78</v>
      </c>
      <c r="AA445">
        <f t="shared" si="67"/>
        <v>31.934851074218702</v>
      </c>
      <c r="AB445">
        <f t="shared" si="72"/>
        <v>228.38143650345711</v>
      </c>
      <c r="AC445">
        <f t="shared" si="69"/>
        <v>41.675689962471495</v>
      </c>
    </row>
    <row r="446" spans="1:29" x14ac:dyDescent="0.3">
      <c r="A446">
        <f t="shared" si="66"/>
        <v>500</v>
      </c>
      <c r="B446" s="2">
        <f t="shared" si="71"/>
        <v>31.336300000020856</v>
      </c>
      <c r="C446" s="2">
        <f t="shared" si="70"/>
        <v>1.9657200000000046</v>
      </c>
      <c r="D446" s="2">
        <f t="shared" si="68"/>
        <v>10.566998700000113</v>
      </c>
      <c r="E446" s="2"/>
      <c r="F446">
        <v>2916.1705287</v>
      </c>
      <c r="G446">
        <v>263.25</v>
      </c>
      <c r="H446">
        <v>234</v>
      </c>
      <c r="I446">
        <v>263.74200000000002</v>
      </c>
      <c r="J446">
        <v>236.227</v>
      </c>
      <c r="K446">
        <v>259.60963428571398</v>
      </c>
      <c r="L446">
        <v>210.134594285714</v>
      </c>
      <c r="M446">
        <v>266.76609939615901</v>
      </c>
      <c r="N446">
        <v>0.05</v>
      </c>
      <c r="O446">
        <v>0</v>
      </c>
      <c r="P446">
        <v>0</v>
      </c>
      <c r="Q446">
        <v>0</v>
      </c>
      <c r="R446">
        <v>0.31934851074218701</v>
      </c>
      <c r="S446">
        <v>9.3774490356445302E-3</v>
      </c>
      <c r="T446">
        <v>0</v>
      </c>
      <c r="U446">
        <v>166.131</v>
      </c>
      <c r="V446">
        <v>-1.883</v>
      </c>
      <c r="W446">
        <v>-0.16</v>
      </c>
      <c r="X446">
        <v>0.752</v>
      </c>
      <c r="Y446" t="b">
        <v>1</v>
      </c>
      <c r="Z446">
        <v>78</v>
      </c>
      <c r="AA446">
        <f t="shared" si="67"/>
        <v>31.934851074218702</v>
      </c>
      <c r="AB446">
        <f t="shared" si="72"/>
        <v>229.38215657717481</v>
      </c>
      <c r="AC446">
        <f t="shared" si="69"/>
        <v>62.729805369450006</v>
      </c>
    </row>
    <row r="447" spans="1:29" x14ac:dyDescent="0.3">
      <c r="A447">
        <f t="shared" si="66"/>
        <v>500</v>
      </c>
      <c r="B447" s="2">
        <f t="shared" si="71"/>
        <v>15.381700000034471</v>
      </c>
      <c r="C447" s="2">
        <f t="shared" si="70"/>
        <v>1.9814399999999921</v>
      </c>
      <c r="D447" s="2">
        <f t="shared" si="68"/>
        <v>10.582380400000147</v>
      </c>
      <c r="E447" s="2"/>
      <c r="F447">
        <v>2916.1859104</v>
      </c>
      <c r="G447">
        <v>263.25</v>
      </c>
      <c r="H447">
        <v>234</v>
      </c>
      <c r="I447">
        <v>263.61900000000003</v>
      </c>
      <c r="J447">
        <v>234.393</v>
      </c>
      <c r="K447">
        <v>259.93567428571401</v>
      </c>
      <c r="L447">
        <v>212.11603428571399</v>
      </c>
      <c r="M447">
        <v>268.75580823771298</v>
      </c>
      <c r="N447">
        <v>0.05</v>
      </c>
      <c r="O447">
        <v>0</v>
      </c>
      <c r="P447">
        <v>0</v>
      </c>
      <c r="Q447">
        <v>0</v>
      </c>
      <c r="R447">
        <v>0.31477761840820301</v>
      </c>
      <c r="S447">
        <v>3.6157176971435501E-2</v>
      </c>
      <c r="T447">
        <v>0</v>
      </c>
      <c r="U447">
        <v>166.23699999999999</v>
      </c>
      <c r="V447">
        <v>-2.2269999999999999</v>
      </c>
      <c r="W447">
        <v>-2.1000000000000001E-2</v>
      </c>
      <c r="X447">
        <v>0.75</v>
      </c>
      <c r="Y447" t="b">
        <v>1</v>
      </c>
      <c r="Z447">
        <v>78</v>
      </c>
      <c r="AA447">
        <f t="shared" si="67"/>
        <v>31.4777618408203</v>
      </c>
      <c r="AB447">
        <f t="shared" si="72"/>
        <v>229.87336887594421</v>
      </c>
      <c r="AC447" t="b">
        <f t="shared" si="69"/>
        <v>0</v>
      </c>
    </row>
    <row r="448" spans="1:29" x14ac:dyDescent="0.3">
      <c r="A448">
        <f t="shared" si="66"/>
        <v>500</v>
      </c>
      <c r="B448" s="2">
        <f t="shared" si="71"/>
        <v>47.103100000185805</v>
      </c>
      <c r="C448" s="2">
        <f t="shared" si="70"/>
        <v>1.997160000000008</v>
      </c>
      <c r="D448" s="2">
        <f t="shared" si="68"/>
        <v>10.629483500000333</v>
      </c>
      <c r="E448" s="2"/>
      <c r="F448">
        <v>2916.2330135000002</v>
      </c>
      <c r="G448">
        <v>263.25</v>
      </c>
      <c r="H448">
        <v>234</v>
      </c>
      <c r="I448">
        <v>263.61900000000003</v>
      </c>
      <c r="J448">
        <v>232.559</v>
      </c>
      <c r="K448">
        <v>260.26171428571399</v>
      </c>
      <c r="L448">
        <v>214.113194285714</v>
      </c>
      <c r="M448">
        <v>270.77766086918899</v>
      </c>
      <c r="N448">
        <v>0.05</v>
      </c>
      <c r="O448">
        <v>0</v>
      </c>
      <c r="P448">
        <v>0</v>
      </c>
      <c r="Q448">
        <v>0</v>
      </c>
      <c r="R448">
        <v>0.31477761840820301</v>
      </c>
      <c r="S448">
        <v>3.6157176971435501E-2</v>
      </c>
      <c r="T448">
        <v>0</v>
      </c>
      <c r="U448">
        <v>166.23699999999999</v>
      </c>
      <c r="V448">
        <v>-2.2269999999999999</v>
      </c>
      <c r="W448">
        <v>-2.1000000000000001E-2</v>
      </c>
      <c r="X448">
        <v>0.75</v>
      </c>
      <c r="Y448" t="b">
        <v>1</v>
      </c>
      <c r="Z448">
        <v>78</v>
      </c>
      <c r="AA448">
        <f t="shared" si="67"/>
        <v>31.4777618408203</v>
      </c>
      <c r="AB448">
        <f t="shared" si="72"/>
        <v>231.35606903971441</v>
      </c>
      <c r="AC448">
        <f t="shared" si="69"/>
        <v>42.399757128344632</v>
      </c>
    </row>
    <row r="449" spans="1:29" x14ac:dyDescent="0.3">
      <c r="A449">
        <f t="shared" si="66"/>
        <v>500</v>
      </c>
      <c r="B449" s="2">
        <f t="shared" si="71"/>
        <v>30.969899999945483</v>
      </c>
      <c r="C449" s="2">
        <f t="shared" si="70"/>
        <v>2.0076400000000092</v>
      </c>
      <c r="D449" s="2">
        <f t="shared" si="68"/>
        <v>10.660453400000279</v>
      </c>
      <c r="E449" s="2"/>
      <c r="F449">
        <v>2916.2639834000001</v>
      </c>
      <c r="G449">
        <v>263.25</v>
      </c>
      <c r="H449">
        <v>234</v>
      </c>
      <c r="I449">
        <v>263.49599999999998</v>
      </c>
      <c r="J449">
        <v>230.59399999999999</v>
      </c>
      <c r="K449">
        <v>260.57791428571397</v>
      </c>
      <c r="L449">
        <v>216.12083428571401</v>
      </c>
      <c r="M449">
        <v>272.801032233814</v>
      </c>
      <c r="N449">
        <v>0.05</v>
      </c>
      <c r="O449">
        <v>0</v>
      </c>
      <c r="P449">
        <v>0</v>
      </c>
      <c r="Q449">
        <v>0</v>
      </c>
      <c r="R449">
        <v>0.31739752197265603</v>
      </c>
      <c r="S449">
        <v>2.6025650024413999E-2</v>
      </c>
      <c r="T449">
        <v>0</v>
      </c>
      <c r="U449">
        <v>166.18</v>
      </c>
      <c r="V449">
        <v>-2.33</v>
      </c>
      <c r="W449">
        <v>-0.14199999999999999</v>
      </c>
      <c r="X449">
        <v>0.749</v>
      </c>
      <c r="Y449" t="b">
        <v>1</v>
      </c>
      <c r="Z449">
        <v>78</v>
      </c>
      <c r="AA449">
        <f t="shared" si="67"/>
        <v>31.739752197265602</v>
      </c>
      <c r="AB449">
        <f t="shared" si="72"/>
        <v>232.33093217614672</v>
      </c>
      <c r="AC449">
        <f t="shared" si="69"/>
        <v>64.825524138067721</v>
      </c>
    </row>
    <row r="450" spans="1:29" x14ac:dyDescent="0.3">
      <c r="A450">
        <f t="shared" si="66"/>
        <v>500</v>
      </c>
      <c r="B450" s="2">
        <f t="shared" si="71"/>
        <v>30.881499999850348</v>
      </c>
      <c r="C450" s="2">
        <f t="shared" si="70"/>
        <v>1.8995257142859998</v>
      </c>
      <c r="D450" s="2">
        <f t="shared" si="68"/>
        <v>10.691334900000129</v>
      </c>
      <c r="E450" s="2"/>
      <c r="F450">
        <v>2916.2948649</v>
      </c>
      <c r="G450">
        <v>259.07142857142799</v>
      </c>
      <c r="H450">
        <v>242.35714285714201</v>
      </c>
      <c r="I450">
        <v>263.62242857142797</v>
      </c>
      <c r="J450">
        <v>245.76314285714199</v>
      </c>
      <c r="K450">
        <v>260.87949142857099</v>
      </c>
      <c r="L450">
        <v>218.02036000000001</v>
      </c>
      <c r="M450">
        <v>274.71585790059902</v>
      </c>
      <c r="N450">
        <v>0.05</v>
      </c>
      <c r="O450">
        <v>0</v>
      </c>
      <c r="P450">
        <v>0</v>
      </c>
      <c r="Q450">
        <v>0</v>
      </c>
      <c r="R450">
        <v>0.31739752197265603</v>
      </c>
      <c r="S450">
        <v>2.6025650024413999E-2</v>
      </c>
      <c r="T450">
        <v>0</v>
      </c>
      <c r="U450">
        <v>166.18</v>
      </c>
      <c r="V450">
        <v>-2.33</v>
      </c>
      <c r="W450">
        <v>-0.14199999999999999</v>
      </c>
      <c r="X450">
        <v>0.749</v>
      </c>
      <c r="Y450" t="b">
        <v>1</v>
      </c>
      <c r="Z450">
        <v>78</v>
      </c>
      <c r="AA450">
        <f t="shared" si="67"/>
        <v>31.739752197265602</v>
      </c>
      <c r="AB450">
        <f t="shared" si="72"/>
        <v>233.31110333362182</v>
      </c>
      <c r="AC450">
        <f t="shared" si="69"/>
        <v>61.510150552764756</v>
      </c>
    </row>
    <row r="451" spans="1:29" x14ac:dyDescent="0.3">
      <c r="A451">
        <f t="shared" si="66"/>
        <v>500</v>
      </c>
      <c r="B451" s="2">
        <f t="shared" si="71"/>
        <v>31.784899999820482</v>
      </c>
      <c r="C451" s="2">
        <f t="shared" si="70"/>
        <v>2.0338399999999979</v>
      </c>
      <c r="D451" s="2">
        <f t="shared" si="68"/>
        <v>10.723119799999949</v>
      </c>
      <c r="E451" s="2"/>
      <c r="F451">
        <v>2916.3266497999998</v>
      </c>
      <c r="G451">
        <v>263.25</v>
      </c>
      <c r="H451">
        <v>243.75</v>
      </c>
      <c r="I451">
        <v>263.86500000000001</v>
      </c>
      <c r="J451">
        <v>246.89400000000001</v>
      </c>
      <c r="K451">
        <v>261.17601142857097</v>
      </c>
      <c r="L451">
        <v>220.05420000000001</v>
      </c>
      <c r="M451">
        <v>276.76505239814003</v>
      </c>
      <c r="N451">
        <v>0.05</v>
      </c>
      <c r="O451">
        <v>0</v>
      </c>
      <c r="P451">
        <v>0</v>
      </c>
      <c r="Q451">
        <v>0</v>
      </c>
      <c r="R451">
        <v>0.303512237548828</v>
      </c>
      <c r="S451">
        <v>9.8653249740600496E-3</v>
      </c>
      <c r="T451">
        <v>0</v>
      </c>
      <c r="U451">
        <v>166.06299999999999</v>
      </c>
      <c r="V451">
        <v>-2.355</v>
      </c>
      <c r="W451">
        <v>-0.23699999999999999</v>
      </c>
      <c r="X451">
        <v>0.751</v>
      </c>
      <c r="Y451" t="b">
        <v>1</v>
      </c>
      <c r="Z451">
        <v>78</v>
      </c>
      <c r="AA451">
        <f t="shared" si="67"/>
        <v>30.351223754882799</v>
      </c>
      <c r="AB451">
        <f t="shared" si="72"/>
        <v>234.31994818323099</v>
      </c>
      <c r="AC451">
        <f t="shared" si="69"/>
        <v>63.987616761779485</v>
      </c>
    </row>
    <row r="452" spans="1:29" x14ac:dyDescent="0.3">
      <c r="A452">
        <f t="shared" si="66"/>
        <v>500</v>
      </c>
      <c r="B452" s="2">
        <f t="shared" si="71"/>
        <v>31.79790000012872</v>
      </c>
      <c r="C452" s="2">
        <f t="shared" si="70"/>
        <v>2.0495599999999854</v>
      </c>
      <c r="D452" s="2">
        <f t="shared" si="68"/>
        <v>10.754917700000078</v>
      </c>
      <c r="E452" s="2"/>
      <c r="F452">
        <v>2916.3584476999999</v>
      </c>
      <c r="G452">
        <v>263.25</v>
      </c>
      <c r="H452">
        <v>243.75</v>
      </c>
      <c r="I452">
        <v>264.11099999999999</v>
      </c>
      <c r="J452">
        <v>244.929</v>
      </c>
      <c r="K452">
        <v>261.47253142857102</v>
      </c>
      <c r="L452">
        <v>222.10375999999999</v>
      </c>
      <c r="M452">
        <v>278.829584234641</v>
      </c>
      <c r="N452">
        <v>0.05</v>
      </c>
      <c r="O452">
        <v>0</v>
      </c>
      <c r="P452">
        <v>0</v>
      </c>
      <c r="Q452">
        <v>0</v>
      </c>
      <c r="R452">
        <v>0.303512237548828</v>
      </c>
      <c r="S452">
        <v>9.8653249740600496E-3</v>
      </c>
      <c r="T452">
        <v>0</v>
      </c>
      <c r="U452">
        <v>166.06299999999999</v>
      </c>
      <c r="V452">
        <v>-2.355</v>
      </c>
      <c r="W452">
        <v>-0.23699999999999999</v>
      </c>
      <c r="X452">
        <v>0.751</v>
      </c>
      <c r="Y452" t="b">
        <v>1</v>
      </c>
      <c r="Z452">
        <v>78</v>
      </c>
      <c r="AA452">
        <f t="shared" si="67"/>
        <v>30.351223754882799</v>
      </c>
      <c r="AB452">
        <f t="shared" si="72"/>
        <v>235.28505336107028</v>
      </c>
      <c r="AC452">
        <f t="shared" si="69"/>
        <v>64.455828843781774</v>
      </c>
    </row>
    <row r="453" spans="1:29" x14ac:dyDescent="0.3">
      <c r="A453">
        <f t="shared" si="66"/>
        <v>500</v>
      </c>
      <c r="B453" s="2">
        <f t="shared" si="71"/>
        <v>31.254699999863078</v>
      </c>
      <c r="C453" s="2">
        <f t="shared" si="70"/>
        <v>2.0652800000000013</v>
      </c>
      <c r="D453" s="2">
        <f t="shared" si="68"/>
        <v>10.786172399999941</v>
      </c>
      <c r="E453" s="2"/>
      <c r="F453">
        <v>2916.3897023999998</v>
      </c>
      <c r="G453">
        <v>263.25</v>
      </c>
      <c r="H453">
        <v>243.75</v>
      </c>
      <c r="I453">
        <v>264.48</v>
      </c>
      <c r="J453">
        <v>243.095</v>
      </c>
      <c r="K453">
        <v>261.76413142857098</v>
      </c>
      <c r="L453">
        <v>224.16904</v>
      </c>
      <c r="M453">
        <v>280.909210746209</v>
      </c>
      <c r="N453">
        <v>0.05</v>
      </c>
      <c r="O453">
        <v>0</v>
      </c>
      <c r="P453">
        <v>0</v>
      </c>
      <c r="Q453">
        <v>0</v>
      </c>
      <c r="R453">
        <v>0.29260604858398398</v>
      </c>
      <c r="S453">
        <v>-1.45677781105041E-3</v>
      </c>
      <c r="T453">
        <v>0</v>
      </c>
      <c r="U453">
        <v>166.11</v>
      </c>
      <c r="V453">
        <v>-2.395</v>
      </c>
      <c r="W453">
        <v>-0.16</v>
      </c>
      <c r="X453">
        <v>0.748</v>
      </c>
      <c r="Y453" t="b">
        <v>1</v>
      </c>
      <c r="Z453">
        <v>78</v>
      </c>
      <c r="AA453">
        <f t="shared" si="67"/>
        <v>29.260604858398398</v>
      </c>
      <c r="AB453">
        <f t="shared" si="72"/>
        <v>236.23367175415785</v>
      </c>
      <c r="AC453">
        <f t="shared" si="69"/>
        <v>66.079021715423565</v>
      </c>
    </row>
    <row r="454" spans="1:29" x14ac:dyDescent="0.3">
      <c r="A454">
        <f t="shared" si="66"/>
        <v>500</v>
      </c>
      <c r="B454" s="2">
        <f t="shared" si="71"/>
        <v>46.444500000234257</v>
      </c>
      <c r="C454" s="2">
        <f t="shared" si="70"/>
        <v>1.2822800000000143</v>
      </c>
      <c r="D454" s="2">
        <f t="shared" si="68"/>
        <v>10.832616900000176</v>
      </c>
      <c r="E454" s="2"/>
      <c r="F454">
        <v>2916.4361469</v>
      </c>
      <c r="G454">
        <v>263.25</v>
      </c>
      <c r="H454">
        <v>243.75</v>
      </c>
      <c r="I454">
        <v>264.97199999999998</v>
      </c>
      <c r="J454">
        <v>241.523</v>
      </c>
      <c r="K454">
        <v>262.05081142857102</v>
      </c>
      <c r="L454">
        <v>225.45132000000001</v>
      </c>
      <c r="M454">
        <v>282.21215254803599</v>
      </c>
      <c r="N454">
        <v>0.05</v>
      </c>
      <c r="O454">
        <v>0</v>
      </c>
      <c r="P454">
        <v>0</v>
      </c>
      <c r="Q454">
        <v>0</v>
      </c>
      <c r="R454">
        <v>0.29260604858398398</v>
      </c>
      <c r="S454">
        <v>-1.45677781105041E-3</v>
      </c>
      <c r="T454">
        <v>0</v>
      </c>
      <c r="U454">
        <v>166.11</v>
      </c>
      <c r="V454">
        <v>-2.395</v>
      </c>
      <c r="W454">
        <v>-0.16</v>
      </c>
      <c r="X454">
        <v>0.748</v>
      </c>
      <c r="Y454" t="b">
        <v>1</v>
      </c>
      <c r="Z454">
        <v>78</v>
      </c>
      <c r="AA454">
        <f t="shared" si="67"/>
        <v>29.260604858398398</v>
      </c>
      <c r="AB454">
        <f t="shared" si="72"/>
        <v>237.59266591651058</v>
      </c>
      <c r="AC454">
        <f t="shared" si="69"/>
        <v>27.608866496432231</v>
      </c>
    </row>
    <row r="455" spans="1:29" x14ac:dyDescent="0.3">
      <c r="A455">
        <f t="shared" ref="A455:A518" si="73">N455*10000</f>
        <v>500</v>
      </c>
      <c r="B455" s="2">
        <f t="shared" si="71"/>
        <v>30.900499999916065</v>
      </c>
      <c r="C455" s="2">
        <f t="shared" si="70"/>
        <v>1.308480000000003</v>
      </c>
      <c r="D455" s="2">
        <f t="shared" si="68"/>
        <v>10.863517400000092</v>
      </c>
      <c r="E455" s="2"/>
      <c r="F455">
        <v>2916.4670474</v>
      </c>
      <c r="G455">
        <v>263.25</v>
      </c>
      <c r="H455">
        <v>243.75</v>
      </c>
      <c r="I455">
        <v>265.21800000000002</v>
      </c>
      <c r="J455">
        <v>240.08199999999999</v>
      </c>
      <c r="K455">
        <v>262.33257142857099</v>
      </c>
      <c r="L455">
        <v>226.75980000000001</v>
      </c>
      <c r="M455">
        <v>283.53395660004099</v>
      </c>
      <c r="N455">
        <v>0.05</v>
      </c>
      <c r="O455">
        <v>0</v>
      </c>
      <c r="P455">
        <v>0</v>
      </c>
      <c r="Q455">
        <v>0</v>
      </c>
      <c r="R455">
        <v>0.27423370361328098</v>
      </c>
      <c r="S455">
        <v>2.36274585723876E-2</v>
      </c>
      <c r="T455">
        <v>0</v>
      </c>
      <c r="U455">
        <v>166.102</v>
      </c>
      <c r="V455">
        <v>-2.3730000000000002</v>
      </c>
      <c r="W455">
        <v>-3.9E-2</v>
      </c>
      <c r="X455">
        <v>0.749</v>
      </c>
      <c r="Y455" t="b">
        <v>1</v>
      </c>
      <c r="Z455">
        <v>78</v>
      </c>
      <c r="AA455">
        <f t="shared" ref="AA455:AA518" si="74">R455*100</f>
        <v>27.423370361328097</v>
      </c>
      <c r="AB455">
        <f t="shared" si="72"/>
        <v>238.49683323693506</v>
      </c>
      <c r="AC455">
        <f t="shared" si="69"/>
        <v>42.344945874777338</v>
      </c>
    </row>
    <row r="456" spans="1:29" x14ac:dyDescent="0.3">
      <c r="A456">
        <f t="shared" si="73"/>
        <v>500</v>
      </c>
      <c r="B456" s="2">
        <f t="shared" si="71"/>
        <v>30.534399999851303</v>
      </c>
      <c r="C456" s="2">
        <f t="shared" si="70"/>
        <v>1.6271199999999908</v>
      </c>
      <c r="D456" s="2">
        <f t="shared" ref="D456:D519" si="75">F456-$F$7</f>
        <v>10.894051799999943</v>
      </c>
      <c r="E456" s="2"/>
      <c r="F456">
        <v>2916.4975817999998</v>
      </c>
      <c r="G456">
        <v>269.75</v>
      </c>
      <c r="H456">
        <v>247</v>
      </c>
      <c r="I456">
        <v>265.44499999999999</v>
      </c>
      <c r="J456">
        <v>245.952</v>
      </c>
      <c r="K456">
        <v>262.61849142857102</v>
      </c>
      <c r="L456">
        <v>228.38692</v>
      </c>
      <c r="M456">
        <v>285.17392053400403</v>
      </c>
      <c r="N456">
        <v>0.05</v>
      </c>
      <c r="O456">
        <v>0</v>
      </c>
      <c r="P456">
        <v>0</v>
      </c>
      <c r="Q456">
        <v>0</v>
      </c>
      <c r="R456">
        <v>0.27423370361328098</v>
      </c>
      <c r="S456">
        <v>2.36274585723876E-2</v>
      </c>
      <c r="T456">
        <v>0</v>
      </c>
      <c r="U456">
        <v>166.102</v>
      </c>
      <c r="V456">
        <v>-2.3730000000000002</v>
      </c>
      <c r="W456">
        <v>-3.9E-2</v>
      </c>
      <c r="X456">
        <v>0.749</v>
      </c>
      <c r="Y456" t="b">
        <v>1</v>
      </c>
      <c r="Z456">
        <v>78</v>
      </c>
      <c r="AA456">
        <f t="shared" si="74"/>
        <v>27.423370361328097</v>
      </c>
      <c r="AB456">
        <f t="shared" si="72"/>
        <v>239.33418939689193</v>
      </c>
      <c r="AC456">
        <f t="shared" ref="AC456:AC519" si="76">IF((L456-L455)/(D456-D455)&lt;100,IF((L456-L455)/(D456-D455)&gt;(-1*20),(L456-L455)/(D456-D455),AC455))</f>
        <v>53.288094739307617</v>
      </c>
    </row>
    <row r="457" spans="1:29" x14ac:dyDescent="0.3">
      <c r="A457">
        <f t="shared" si="73"/>
        <v>500</v>
      </c>
      <c r="B457" s="2">
        <f t="shared" si="71"/>
        <v>30.968100000336563</v>
      </c>
      <c r="C457" s="2">
        <f t="shared" ref="C457:C520" si="77">L457-L456</f>
        <v>1.877839999999992</v>
      </c>
      <c r="D457" s="2">
        <f t="shared" si="75"/>
        <v>10.925019900000279</v>
      </c>
      <c r="E457" s="2"/>
      <c r="F457">
        <v>2916.5285499000001</v>
      </c>
      <c r="G457">
        <v>269.10000000000002</v>
      </c>
      <c r="H457">
        <v>249.6</v>
      </c>
      <c r="I457">
        <v>265.53300000000002</v>
      </c>
      <c r="J457">
        <v>250.124</v>
      </c>
      <c r="K457">
        <v>262.90301142857101</v>
      </c>
      <c r="L457">
        <v>230.26476</v>
      </c>
      <c r="M457">
        <v>287.06446773303901</v>
      </c>
      <c r="N457">
        <v>0.05</v>
      </c>
      <c r="O457">
        <v>0</v>
      </c>
      <c r="P457">
        <v>0</v>
      </c>
      <c r="Q457">
        <v>0</v>
      </c>
      <c r="R457">
        <v>0.25711502075195303</v>
      </c>
      <c r="S457">
        <v>3.1712860107421803E-2</v>
      </c>
      <c r="T457">
        <v>0</v>
      </c>
      <c r="U457">
        <v>166.19200000000001</v>
      </c>
      <c r="V457">
        <v>-2.355</v>
      </c>
      <c r="W457">
        <v>-0.123</v>
      </c>
      <c r="X457">
        <v>0.752</v>
      </c>
      <c r="Y457" t="b">
        <v>1</v>
      </c>
      <c r="Z457">
        <v>78</v>
      </c>
      <c r="AA457">
        <f t="shared" si="74"/>
        <v>25.711502075195302</v>
      </c>
      <c r="AB457">
        <f t="shared" si="72"/>
        <v>240.18343907258782</v>
      </c>
      <c r="AC457">
        <f t="shared" si="76"/>
        <v>60.637882207161034</v>
      </c>
    </row>
    <row r="458" spans="1:29" x14ac:dyDescent="0.3">
      <c r="A458">
        <f t="shared" si="73"/>
        <v>500</v>
      </c>
      <c r="B458" s="2">
        <f t="shared" si="71"/>
        <v>31.15559999969264</v>
      </c>
      <c r="C458" s="2">
        <f t="shared" si="77"/>
        <v>2.2329599999999914</v>
      </c>
      <c r="D458" s="2">
        <f t="shared" si="75"/>
        <v>10.956175499999972</v>
      </c>
      <c r="E458" s="2"/>
      <c r="F458">
        <v>2916.5597054999998</v>
      </c>
      <c r="G458">
        <v>263.25</v>
      </c>
      <c r="H458">
        <v>253.5</v>
      </c>
      <c r="I458">
        <v>265.83300000000003</v>
      </c>
      <c r="J458">
        <v>256.90600000000001</v>
      </c>
      <c r="K458">
        <v>263.189691428571</v>
      </c>
      <c r="L458">
        <v>232.49771999999999</v>
      </c>
      <c r="M458">
        <v>289.30989550911102</v>
      </c>
      <c r="N458">
        <v>0.05</v>
      </c>
      <c r="O458">
        <v>0</v>
      </c>
      <c r="P458">
        <v>0</v>
      </c>
      <c r="Q458">
        <v>0</v>
      </c>
      <c r="R458">
        <v>0.25711502075195303</v>
      </c>
      <c r="S458">
        <v>3.1712860107421803E-2</v>
      </c>
      <c r="T458">
        <v>0</v>
      </c>
      <c r="U458">
        <v>166.19200000000001</v>
      </c>
      <c r="V458">
        <v>-2.355</v>
      </c>
      <c r="W458">
        <v>-0.123</v>
      </c>
      <c r="X458">
        <v>0.752</v>
      </c>
      <c r="Y458" t="b">
        <v>1</v>
      </c>
      <c r="Z458">
        <v>78</v>
      </c>
      <c r="AA458">
        <f t="shared" si="74"/>
        <v>25.711502075195302</v>
      </c>
      <c r="AB458">
        <f t="shared" si="72"/>
        <v>240.98449634663388</v>
      </c>
      <c r="AC458">
        <f t="shared" si="76"/>
        <v>71.671224435479346</v>
      </c>
    </row>
    <row r="459" spans="1:29" x14ac:dyDescent="0.3">
      <c r="A459">
        <f t="shared" si="73"/>
        <v>500</v>
      </c>
      <c r="B459" s="2">
        <f t="shared" si="71"/>
        <v>30.608000000029278</v>
      </c>
      <c r="C459" s="2">
        <f t="shared" si="77"/>
        <v>1.8650400000000218</v>
      </c>
      <c r="D459" s="2">
        <f t="shared" si="75"/>
        <v>10.986783500000001</v>
      </c>
      <c r="E459" s="2"/>
      <c r="F459">
        <v>2916.5903134999999</v>
      </c>
      <c r="G459">
        <v>263.25</v>
      </c>
      <c r="H459">
        <v>253.5</v>
      </c>
      <c r="I459">
        <v>265.83300000000003</v>
      </c>
      <c r="J459">
        <v>255.858</v>
      </c>
      <c r="K459">
        <v>263.46341142857102</v>
      </c>
      <c r="L459">
        <v>234.36276000000001</v>
      </c>
      <c r="M459">
        <v>291.18688275974</v>
      </c>
      <c r="N459">
        <v>0.05</v>
      </c>
      <c r="O459">
        <v>0</v>
      </c>
      <c r="P459">
        <v>0</v>
      </c>
      <c r="Q459">
        <v>0</v>
      </c>
      <c r="R459">
        <v>0.25460108947753901</v>
      </c>
      <c r="S459">
        <v>1.9972209930419899E-2</v>
      </c>
      <c r="T459">
        <v>0</v>
      </c>
      <c r="U459">
        <v>166.297</v>
      </c>
      <c r="V459">
        <v>-2.4700000000000002</v>
      </c>
      <c r="W459">
        <v>-0.30499999999999999</v>
      </c>
      <c r="X459">
        <v>0.751</v>
      </c>
      <c r="Y459" t="b">
        <v>1</v>
      </c>
      <c r="Z459">
        <v>78</v>
      </c>
      <c r="AA459">
        <f t="shared" si="74"/>
        <v>25.460108947753902</v>
      </c>
      <c r="AB459">
        <f t="shared" si="72"/>
        <v>241.77147400215222</v>
      </c>
      <c r="AC459">
        <f t="shared" si="76"/>
        <v>60.933089388337613</v>
      </c>
    </row>
    <row r="460" spans="1:29" x14ac:dyDescent="0.3">
      <c r="A460">
        <f t="shared" si="73"/>
        <v>500</v>
      </c>
      <c r="B460" s="2">
        <f t="shared" si="71"/>
        <v>31.883399999969697</v>
      </c>
      <c r="C460" s="2">
        <f t="shared" si="77"/>
        <v>1.4866399999999942</v>
      </c>
      <c r="D460" s="2">
        <f t="shared" si="75"/>
        <v>11.018666899999971</v>
      </c>
      <c r="E460" s="2"/>
      <c r="F460">
        <v>2916.6221968999998</v>
      </c>
      <c r="G460">
        <v>263.25</v>
      </c>
      <c r="H460">
        <v>253.5</v>
      </c>
      <c r="I460">
        <v>266.07900000000001</v>
      </c>
      <c r="J460">
        <v>254.286</v>
      </c>
      <c r="K460">
        <v>263.72057142857102</v>
      </c>
      <c r="L460">
        <v>235.8494</v>
      </c>
      <c r="M460">
        <v>292.68565809115398</v>
      </c>
      <c r="N460">
        <v>0.05</v>
      </c>
      <c r="O460">
        <v>0</v>
      </c>
      <c r="P460">
        <v>0</v>
      </c>
      <c r="Q460">
        <v>0</v>
      </c>
      <c r="R460">
        <v>0.25460108947753901</v>
      </c>
      <c r="S460">
        <v>1.9972209930419899E-2</v>
      </c>
      <c r="T460">
        <v>0</v>
      </c>
      <c r="U460">
        <v>166.297</v>
      </c>
      <c r="V460">
        <v>-2.4700000000000002</v>
      </c>
      <c r="W460">
        <v>-0.30499999999999999</v>
      </c>
      <c r="X460">
        <v>0.751</v>
      </c>
      <c r="Y460" t="b">
        <v>1</v>
      </c>
      <c r="Z460">
        <v>78</v>
      </c>
      <c r="AA460">
        <f t="shared" si="74"/>
        <v>25.460108947753902</v>
      </c>
      <c r="AB460">
        <f t="shared" si="72"/>
        <v>242.58322883977627</v>
      </c>
      <c r="AC460">
        <f t="shared" si="76"/>
        <v>46.627398583633088</v>
      </c>
    </row>
    <row r="461" spans="1:29" x14ac:dyDescent="0.3">
      <c r="A461">
        <f t="shared" si="73"/>
        <v>500</v>
      </c>
      <c r="B461" s="2">
        <f t="shared" si="71"/>
        <v>30.284500000107073</v>
      </c>
      <c r="C461" s="2">
        <f t="shared" si="77"/>
        <v>1.5285599999999988</v>
      </c>
      <c r="D461" s="2">
        <f t="shared" si="75"/>
        <v>11.048951400000078</v>
      </c>
      <c r="E461" s="2"/>
      <c r="F461">
        <v>2916.6524813999999</v>
      </c>
      <c r="G461">
        <v>263.25</v>
      </c>
      <c r="H461">
        <v>253.5</v>
      </c>
      <c r="I461">
        <v>266.202</v>
      </c>
      <c r="J461">
        <v>253.238</v>
      </c>
      <c r="K461">
        <v>263.962971428571</v>
      </c>
      <c r="L461">
        <v>237.37796</v>
      </c>
      <c r="M461">
        <v>294.225459376537</v>
      </c>
      <c r="N461">
        <v>0.05</v>
      </c>
      <c r="O461">
        <v>0</v>
      </c>
      <c r="P461">
        <v>0</v>
      </c>
      <c r="Q461">
        <v>0</v>
      </c>
      <c r="R461">
        <v>0.25150241088867098</v>
      </c>
      <c r="S461">
        <v>1.1444834709167399E-2</v>
      </c>
      <c r="T461">
        <v>0</v>
      </c>
      <c r="U461">
        <v>166.21</v>
      </c>
      <c r="V461">
        <v>-2.4129999999999998</v>
      </c>
      <c r="W461">
        <v>-0.23899999999999999</v>
      </c>
      <c r="X461">
        <v>0.75600000000000001</v>
      </c>
      <c r="Y461" t="b">
        <v>1</v>
      </c>
      <c r="Z461">
        <v>78</v>
      </c>
      <c r="AA461">
        <f t="shared" si="74"/>
        <v>25.150241088867098</v>
      </c>
      <c r="AB461">
        <f t="shared" si="72"/>
        <v>243.35427550920724</v>
      </c>
      <c r="AC461">
        <f t="shared" si="76"/>
        <v>50.473344449952762</v>
      </c>
    </row>
    <row r="462" spans="1:29" x14ac:dyDescent="0.3">
      <c r="A462">
        <f t="shared" si="73"/>
        <v>500</v>
      </c>
      <c r="B462" s="2">
        <f t="shared" si="71"/>
        <v>46.863900000062131</v>
      </c>
      <c r="C462" s="2">
        <f t="shared" si="77"/>
        <v>1.5652399999999886</v>
      </c>
      <c r="D462" s="2">
        <f t="shared" si="75"/>
        <v>11.09581530000014</v>
      </c>
      <c r="E462" s="2"/>
      <c r="F462">
        <v>2916.6993453</v>
      </c>
      <c r="G462">
        <v>263.25</v>
      </c>
      <c r="H462">
        <v>253.5</v>
      </c>
      <c r="I462">
        <v>266.202</v>
      </c>
      <c r="J462">
        <v>252.583</v>
      </c>
      <c r="K462">
        <v>264.18437142857101</v>
      </c>
      <c r="L462">
        <v>238.94319999999999</v>
      </c>
      <c r="M462">
        <v>295.80756236587598</v>
      </c>
      <c r="N462">
        <v>0.05</v>
      </c>
      <c r="O462">
        <v>0</v>
      </c>
      <c r="P462">
        <v>0</v>
      </c>
      <c r="Q462">
        <v>0</v>
      </c>
      <c r="R462">
        <v>0.25150241088867098</v>
      </c>
      <c r="S462">
        <v>1.1444834709167399E-2</v>
      </c>
      <c r="T462">
        <v>0</v>
      </c>
      <c r="U462">
        <v>166.21</v>
      </c>
      <c r="V462">
        <v>-2.4129999999999998</v>
      </c>
      <c r="W462">
        <v>-0.23899999999999999</v>
      </c>
      <c r="X462">
        <v>0.75600000000000001</v>
      </c>
      <c r="Y462" t="b">
        <v>1</v>
      </c>
      <c r="Z462">
        <v>78</v>
      </c>
      <c r="AA462">
        <f t="shared" si="74"/>
        <v>25.150241088867098</v>
      </c>
      <c r="AB462">
        <f t="shared" si="72"/>
        <v>244.53291389257336</v>
      </c>
      <c r="AC462">
        <f t="shared" si="76"/>
        <v>33.399695714567365</v>
      </c>
    </row>
    <row r="463" spans="1:29" x14ac:dyDescent="0.3">
      <c r="A463">
        <f t="shared" si="73"/>
        <v>500</v>
      </c>
      <c r="B463" s="2">
        <f t="shared" si="71"/>
        <v>30.814400000053865</v>
      </c>
      <c r="C463" s="2">
        <f t="shared" si="77"/>
        <v>1.1061200000000042</v>
      </c>
      <c r="D463" s="2">
        <f t="shared" si="75"/>
        <v>11.126629700000194</v>
      </c>
      <c r="E463" s="2"/>
      <c r="F463">
        <v>2916.7301597000001</v>
      </c>
      <c r="G463">
        <v>263.25</v>
      </c>
      <c r="H463">
        <v>253.5</v>
      </c>
      <c r="I463">
        <v>266.44799999999998</v>
      </c>
      <c r="J463">
        <v>250.88</v>
      </c>
      <c r="K463">
        <v>264.370571428571</v>
      </c>
      <c r="L463">
        <v>240.04931999999999</v>
      </c>
      <c r="M463">
        <v>296.92442789626398</v>
      </c>
      <c r="N463">
        <v>0.05</v>
      </c>
      <c r="O463">
        <v>0</v>
      </c>
      <c r="P463">
        <v>0</v>
      </c>
      <c r="Q463">
        <v>0</v>
      </c>
      <c r="R463">
        <v>0.24120329284667899</v>
      </c>
      <c r="S463">
        <v>-2.85321826934814E-2</v>
      </c>
      <c r="T463">
        <v>0</v>
      </c>
      <c r="U463">
        <v>166.113</v>
      </c>
      <c r="V463">
        <v>-2.35</v>
      </c>
      <c r="W463">
        <v>-0.159</v>
      </c>
      <c r="X463">
        <v>0.75600000000000001</v>
      </c>
      <c r="Y463" t="b">
        <v>1</v>
      </c>
      <c r="Z463">
        <v>78</v>
      </c>
      <c r="AA463">
        <f t="shared" si="74"/>
        <v>24.1203292846679</v>
      </c>
      <c r="AB463">
        <f t="shared" si="72"/>
        <v>245.30790348158351</v>
      </c>
      <c r="AC463">
        <f t="shared" si="76"/>
        <v>35.896204371919318</v>
      </c>
    </row>
    <row r="464" spans="1:29" x14ac:dyDescent="0.3">
      <c r="A464">
        <f t="shared" si="73"/>
        <v>500</v>
      </c>
      <c r="B464" s="2">
        <f t="shared" si="71"/>
        <v>15.944199999921693</v>
      </c>
      <c r="C464" s="2">
        <f t="shared" si="77"/>
        <v>0.85560000000000969</v>
      </c>
      <c r="D464" s="2">
        <f t="shared" si="75"/>
        <v>11.142573900000116</v>
      </c>
      <c r="E464" s="2"/>
      <c r="F464">
        <v>2916.7461039</v>
      </c>
      <c r="G464">
        <v>263.25</v>
      </c>
      <c r="H464">
        <v>253.5</v>
      </c>
      <c r="I464">
        <v>266.32499999999999</v>
      </c>
      <c r="J464">
        <v>249.83199999999999</v>
      </c>
      <c r="K464">
        <v>264.53293142857098</v>
      </c>
      <c r="L464">
        <v>240.90492</v>
      </c>
      <c r="M464">
        <v>297.78548393866402</v>
      </c>
      <c r="N464">
        <v>0.05</v>
      </c>
      <c r="O464">
        <v>0</v>
      </c>
      <c r="P464">
        <v>0</v>
      </c>
      <c r="Q464">
        <v>0</v>
      </c>
      <c r="R464">
        <v>0.24120329284667899</v>
      </c>
      <c r="S464">
        <v>-2.85321826934814E-2</v>
      </c>
      <c r="T464">
        <v>0</v>
      </c>
      <c r="U464">
        <v>166.113</v>
      </c>
      <c r="V464">
        <v>-2.35</v>
      </c>
      <c r="W464">
        <v>-0.159</v>
      </c>
      <c r="X464">
        <v>0.75600000000000001</v>
      </c>
      <c r="Y464" t="b">
        <v>1</v>
      </c>
      <c r="Z464">
        <v>78</v>
      </c>
      <c r="AA464">
        <f t="shared" si="74"/>
        <v>24.1203292846679</v>
      </c>
      <c r="AB464">
        <f t="shared" si="72"/>
        <v>245.69248283576223</v>
      </c>
      <c r="AC464">
        <f t="shared" si="76"/>
        <v>53.662146737008555</v>
      </c>
    </row>
    <row r="465" spans="1:29" x14ac:dyDescent="0.3">
      <c r="A465">
        <f t="shared" si="73"/>
        <v>500</v>
      </c>
      <c r="B465" s="2">
        <f t="shared" si="71"/>
        <v>31.192800000098941</v>
      </c>
      <c r="C465" s="2">
        <f t="shared" si="77"/>
        <v>1.2054799999999943</v>
      </c>
      <c r="D465" s="2">
        <f t="shared" si="75"/>
        <v>11.173766700000215</v>
      </c>
      <c r="E465" s="2"/>
      <c r="F465">
        <v>2916.7772967000001</v>
      </c>
      <c r="G465">
        <v>261.3</v>
      </c>
      <c r="H465">
        <v>257.39999999999998</v>
      </c>
      <c r="I465">
        <v>266.46600000000001</v>
      </c>
      <c r="J465">
        <v>256.745</v>
      </c>
      <c r="K465">
        <v>264.69109142857099</v>
      </c>
      <c r="L465">
        <v>242.1104</v>
      </c>
      <c r="M465">
        <v>299.00143716749301</v>
      </c>
      <c r="N465">
        <v>0.05</v>
      </c>
      <c r="O465">
        <v>0</v>
      </c>
      <c r="P465">
        <v>0</v>
      </c>
      <c r="Q465">
        <v>0</v>
      </c>
      <c r="R465">
        <v>0.24568544006347601</v>
      </c>
      <c r="S465">
        <v>-4.5903228759765602E-2</v>
      </c>
      <c r="T465">
        <v>0</v>
      </c>
      <c r="U465">
        <v>166.13800000000001</v>
      </c>
      <c r="V465">
        <v>-2.427</v>
      </c>
      <c r="W465">
        <v>1.6E-2</v>
      </c>
      <c r="X465">
        <v>0.75800000000000001</v>
      </c>
      <c r="Y465" t="b">
        <v>1</v>
      </c>
      <c r="Z465">
        <v>78</v>
      </c>
      <c r="AA465">
        <f t="shared" si="74"/>
        <v>24.568544006347601</v>
      </c>
      <c r="AB465">
        <f t="shared" si="72"/>
        <v>246.44486344307541</v>
      </c>
      <c r="AC465">
        <f t="shared" si="76"/>
        <v>38.646097817322286</v>
      </c>
    </row>
    <row r="466" spans="1:29" x14ac:dyDescent="0.3">
      <c r="A466">
        <f t="shared" si="73"/>
        <v>500</v>
      </c>
      <c r="B466" s="2">
        <f t="shared" si="71"/>
        <v>31.929100000070321</v>
      </c>
      <c r="C466" s="2">
        <f t="shared" si="77"/>
        <v>1.6090857142850155</v>
      </c>
      <c r="D466" s="2">
        <f t="shared" si="75"/>
        <v>11.205695800000285</v>
      </c>
      <c r="E466" s="2"/>
      <c r="F466">
        <v>2916.8092258000001</v>
      </c>
      <c r="G466">
        <v>267.42857142857099</v>
      </c>
      <c r="H466">
        <v>261.85714285714198</v>
      </c>
      <c r="I466">
        <v>266.567571428571</v>
      </c>
      <c r="J466">
        <v>265.26314285714199</v>
      </c>
      <c r="K466">
        <v>264.84347428571402</v>
      </c>
      <c r="L466">
        <v>243.71948571428501</v>
      </c>
      <c r="M466">
        <v>300.620973838797</v>
      </c>
      <c r="N466">
        <v>0.05</v>
      </c>
      <c r="O466">
        <v>0</v>
      </c>
      <c r="P466">
        <v>0</v>
      </c>
      <c r="Q466">
        <v>0</v>
      </c>
      <c r="R466">
        <v>0.24568544006347601</v>
      </c>
      <c r="S466">
        <v>-4.5903228759765602E-2</v>
      </c>
      <c r="T466">
        <v>0</v>
      </c>
      <c r="U466">
        <v>166.13800000000001</v>
      </c>
      <c r="V466">
        <v>-2.427</v>
      </c>
      <c r="W466">
        <v>1.6E-2</v>
      </c>
      <c r="X466">
        <v>0.75800000000000001</v>
      </c>
      <c r="Y466" t="b">
        <v>1</v>
      </c>
      <c r="Z466">
        <v>78</v>
      </c>
      <c r="AA466">
        <f t="shared" si="74"/>
        <v>24.568544006347601</v>
      </c>
      <c r="AB466">
        <f t="shared" si="72"/>
        <v>247.22931494151021</v>
      </c>
      <c r="AC466">
        <f t="shared" si="76"/>
        <v>50.395586292174585</v>
      </c>
    </row>
    <row r="467" spans="1:29" x14ac:dyDescent="0.3">
      <c r="A467">
        <f t="shared" si="73"/>
        <v>500</v>
      </c>
      <c r="B467" s="2">
        <f t="shared" si="71"/>
        <v>32.041399999798159</v>
      </c>
      <c r="C467" s="2">
        <f t="shared" si="77"/>
        <v>1.753879999999981</v>
      </c>
      <c r="D467" s="2">
        <f t="shared" si="75"/>
        <v>11.237737200000083</v>
      </c>
      <c r="E467" s="2"/>
      <c r="F467">
        <v>2916.8412671999999</v>
      </c>
      <c r="G467">
        <v>263.25</v>
      </c>
      <c r="H467">
        <v>263.25</v>
      </c>
      <c r="I467">
        <v>266.57100000000003</v>
      </c>
      <c r="J467">
        <v>267.04899999999998</v>
      </c>
      <c r="K467">
        <v>264.98615428571401</v>
      </c>
      <c r="L467">
        <v>245.47336571428499</v>
      </c>
      <c r="M467">
        <v>302.385074403793</v>
      </c>
      <c r="N467">
        <v>0.05</v>
      </c>
      <c r="O467">
        <v>0</v>
      </c>
      <c r="P467">
        <v>0</v>
      </c>
      <c r="Q467">
        <v>0</v>
      </c>
      <c r="R467">
        <v>0.219180191040039</v>
      </c>
      <c r="S467">
        <v>-4.9065589904785101E-2</v>
      </c>
      <c r="T467">
        <v>0</v>
      </c>
      <c r="U467">
        <v>166.226</v>
      </c>
      <c r="V467">
        <v>-2.3769999999999998</v>
      </c>
      <c r="W467">
        <v>0.16900000000000001</v>
      </c>
      <c r="X467">
        <v>0.75700000000000001</v>
      </c>
      <c r="Y467" t="b">
        <v>1</v>
      </c>
      <c r="Z467">
        <v>78</v>
      </c>
      <c r="AA467">
        <f t="shared" si="74"/>
        <v>21.9180191040039</v>
      </c>
      <c r="AB467">
        <f t="shared" si="72"/>
        <v>248.01652548743024</v>
      </c>
      <c r="AC467">
        <f t="shared" si="76"/>
        <v>54.737932799784943</v>
      </c>
    </row>
    <row r="468" spans="1:29" x14ac:dyDescent="0.3">
      <c r="A468">
        <f t="shared" si="73"/>
        <v>500</v>
      </c>
      <c r="B468" s="2">
        <f t="shared" si="71"/>
        <v>46.777600000041275</v>
      </c>
      <c r="C468" s="2">
        <f t="shared" si="77"/>
        <v>1.7853200000000129</v>
      </c>
      <c r="D468" s="2">
        <f t="shared" si="75"/>
        <v>11.284514800000125</v>
      </c>
      <c r="E468" s="2"/>
      <c r="F468">
        <v>2916.8880448</v>
      </c>
      <c r="G468">
        <v>263.25</v>
      </c>
      <c r="H468">
        <v>263.25</v>
      </c>
      <c r="I468">
        <v>266.57100000000003</v>
      </c>
      <c r="J468">
        <v>266.00099999999998</v>
      </c>
      <c r="K468">
        <v>265.118994285714</v>
      </c>
      <c r="L468">
        <v>247.25868571428501</v>
      </c>
      <c r="M468">
        <v>304.18484906431399</v>
      </c>
      <c r="N468">
        <v>0.05</v>
      </c>
      <c r="O468">
        <v>0</v>
      </c>
      <c r="P468">
        <v>0</v>
      </c>
      <c r="Q468">
        <v>0</v>
      </c>
      <c r="R468">
        <v>0.219180191040039</v>
      </c>
      <c r="S468">
        <v>-4.9065589904785101E-2</v>
      </c>
      <c r="T468">
        <v>0</v>
      </c>
      <c r="U468">
        <v>166.226</v>
      </c>
      <c r="V468">
        <v>-2.3769999999999998</v>
      </c>
      <c r="W468">
        <v>0.16900000000000001</v>
      </c>
      <c r="X468">
        <v>0.75700000000000001</v>
      </c>
      <c r="Y468" t="b">
        <v>1</v>
      </c>
      <c r="Z468">
        <v>78</v>
      </c>
      <c r="AA468">
        <f t="shared" si="74"/>
        <v>21.9180191040039</v>
      </c>
      <c r="AB468">
        <f t="shared" si="72"/>
        <v>249.04179781787059</v>
      </c>
      <c r="AC468">
        <f t="shared" si="76"/>
        <v>38.166130797613334</v>
      </c>
    </row>
    <row r="469" spans="1:29" x14ac:dyDescent="0.3">
      <c r="A469">
        <f t="shared" si="73"/>
        <v>500</v>
      </c>
      <c r="B469" s="2">
        <f t="shared" si="71"/>
        <v>31.234800000220275</v>
      </c>
      <c r="C469" s="2">
        <f t="shared" si="77"/>
        <v>1.5848114285719817</v>
      </c>
      <c r="D469" s="2">
        <f t="shared" si="75"/>
        <v>11.315749600000345</v>
      </c>
      <c r="E469" s="2"/>
      <c r="F469">
        <v>2916.9192796000002</v>
      </c>
      <c r="G469">
        <v>267.42857142857099</v>
      </c>
      <c r="H469">
        <v>261.85714285714198</v>
      </c>
      <c r="I469">
        <v>266.69057142857099</v>
      </c>
      <c r="J469">
        <v>262.25014285714201</v>
      </c>
      <c r="K469">
        <v>265.250102857142</v>
      </c>
      <c r="L469">
        <v>248.84349714285699</v>
      </c>
      <c r="M469">
        <v>305.77901301124302</v>
      </c>
      <c r="N469">
        <v>0.05</v>
      </c>
      <c r="O469">
        <v>0</v>
      </c>
      <c r="P469">
        <v>0</v>
      </c>
      <c r="Q469">
        <v>0</v>
      </c>
      <c r="R469">
        <v>0.207605895996093</v>
      </c>
      <c r="S469">
        <v>-6.3984130859375002E-2</v>
      </c>
      <c r="T469">
        <v>0</v>
      </c>
      <c r="U469">
        <v>165.90100000000001</v>
      </c>
      <c r="V469">
        <v>-2.4710000000000001</v>
      </c>
      <c r="W469">
        <v>0.13800000000000001</v>
      </c>
      <c r="X469">
        <v>0.754</v>
      </c>
      <c r="Y469" t="b">
        <v>1</v>
      </c>
      <c r="Z469">
        <v>78</v>
      </c>
      <c r="AA469">
        <f t="shared" si="74"/>
        <v>20.7605895996093</v>
      </c>
      <c r="AB469">
        <f t="shared" si="72"/>
        <v>249.72640276098517</v>
      </c>
      <c r="AC469">
        <f t="shared" si="76"/>
        <v>50.738644990869325</v>
      </c>
    </row>
    <row r="470" spans="1:29" x14ac:dyDescent="0.3">
      <c r="A470">
        <f t="shared" si="73"/>
        <v>500</v>
      </c>
      <c r="B470" s="2">
        <f t="shared" ref="B470:B533" si="78">(F470-F469)*1000</f>
        <v>30.404899999666668</v>
      </c>
      <c r="C470" s="2">
        <f t="shared" si="77"/>
        <v>1.0494800000000168</v>
      </c>
      <c r="D470" s="2">
        <f t="shared" si="75"/>
        <v>11.346154500000011</v>
      </c>
      <c r="E470" s="2"/>
      <c r="F470">
        <v>2916.9496844999999</v>
      </c>
      <c r="G470">
        <v>273</v>
      </c>
      <c r="H470">
        <v>263.25</v>
      </c>
      <c r="I470">
        <v>266.97300000000001</v>
      </c>
      <c r="J470">
        <v>264.298</v>
      </c>
      <c r="K470">
        <v>265.37934285714198</v>
      </c>
      <c r="L470">
        <v>249.89297714285701</v>
      </c>
      <c r="M470">
        <v>306.83737346315598</v>
      </c>
      <c r="N470">
        <v>0.05</v>
      </c>
      <c r="O470">
        <v>0</v>
      </c>
      <c r="P470">
        <v>0</v>
      </c>
      <c r="Q470">
        <v>0</v>
      </c>
      <c r="R470">
        <v>0.207605895996093</v>
      </c>
      <c r="S470">
        <v>-6.3984130859375002E-2</v>
      </c>
      <c r="T470">
        <v>0</v>
      </c>
      <c r="U470">
        <v>165.90100000000001</v>
      </c>
      <c r="V470">
        <v>-2.4710000000000001</v>
      </c>
      <c r="W470">
        <v>0.13800000000000001</v>
      </c>
      <c r="X470">
        <v>0.754</v>
      </c>
      <c r="Y470" t="b">
        <v>1</v>
      </c>
      <c r="Z470">
        <v>78</v>
      </c>
      <c r="AA470">
        <f t="shared" si="74"/>
        <v>20.7605895996093</v>
      </c>
      <c r="AB470">
        <f t="shared" si="72"/>
        <v>250.35762641169541</v>
      </c>
      <c r="AC470">
        <f t="shared" si="76"/>
        <v>34.516804857490811</v>
      </c>
    </row>
    <row r="471" spans="1:29" x14ac:dyDescent="0.3">
      <c r="A471">
        <f t="shared" si="73"/>
        <v>500</v>
      </c>
      <c r="B471" s="2">
        <f t="shared" si="78"/>
        <v>31.33109999998851</v>
      </c>
      <c r="C471" s="2">
        <f t="shared" si="77"/>
        <v>1.091399999999993</v>
      </c>
      <c r="D471" s="2">
        <f t="shared" si="75"/>
        <v>11.3774856</v>
      </c>
      <c r="E471" s="2"/>
      <c r="F471">
        <v>2916.9810155999999</v>
      </c>
      <c r="G471">
        <v>273</v>
      </c>
      <c r="H471">
        <v>263.25</v>
      </c>
      <c r="I471">
        <v>267.096</v>
      </c>
      <c r="J471">
        <v>263.512</v>
      </c>
      <c r="K471">
        <v>265.51350285714199</v>
      </c>
      <c r="L471">
        <v>250.984377142857</v>
      </c>
      <c r="M471">
        <v>307.937699387149</v>
      </c>
      <c r="N471">
        <v>0.05</v>
      </c>
      <c r="O471">
        <v>0</v>
      </c>
      <c r="P471">
        <v>0</v>
      </c>
      <c r="Q471">
        <v>0</v>
      </c>
      <c r="R471">
        <v>0.21827922058105401</v>
      </c>
      <c r="S471">
        <v>-4.7902114868164002E-2</v>
      </c>
      <c r="T471">
        <v>0</v>
      </c>
      <c r="U471">
        <v>166.13900000000001</v>
      </c>
      <c r="V471">
        <v>-2.5259999999999998</v>
      </c>
      <c r="W471">
        <v>0.35</v>
      </c>
      <c r="X471">
        <v>0.754</v>
      </c>
      <c r="Y471" t="b">
        <v>1</v>
      </c>
      <c r="Z471">
        <v>78</v>
      </c>
      <c r="AA471">
        <f t="shared" si="74"/>
        <v>21.827922058105401</v>
      </c>
      <c r="AB471">
        <f t="shared" si="72"/>
        <v>251.00807852049948</v>
      </c>
      <c r="AC471">
        <f t="shared" si="76"/>
        <v>34.834397770917498</v>
      </c>
    </row>
    <row r="472" spans="1:29" x14ac:dyDescent="0.3">
      <c r="A472">
        <f t="shared" si="73"/>
        <v>500</v>
      </c>
      <c r="B472" s="2">
        <f t="shared" si="78"/>
        <v>31.57069999997475</v>
      </c>
      <c r="C472" s="2">
        <f t="shared" si="77"/>
        <v>1.1280800000000113</v>
      </c>
      <c r="D472" s="2">
        <f t="shared" si="75"/>
        <v>11.409056299999975</v>
      </c>
      <c r="E472" s="2"/>
      <c r="F472">
        <v>2917.0125862999998</v>
      </c>
      <c r="G472">
        <v>273</v>
      </c>
      <c r="H472">
        <v>263.25</v>
      </c>
      <c r="I472">
        <v>267.21899999999999</v>
      </c>
      <c r="J472">
        <v>262.59500000000003</v>
      </c>
      <c r="K472">
        <v>265.65750285714199</v>
      </c>
      <c r="L472">
        <v>252.11245714285701</v>
      </c>
      <c r="M472">
        <v>309.07454824625103</v>
      </c>
      <c r="N472">
        <v>0.05</v>
      </c>
      <c r="O472">
        <v>0</v>
      </c>
      <c r="P472">
        <v>0</v>
      </c>
      <c r="Q472">
        <v>0</v>
      </c>
      <c r="R472">
        <v>0.21827922058105401</v>
      </c>
      <c r="S472">
        <v>-4.7902114868164002E-2</v>
      </c>
      <c r="T472">
        <v>0</v>
      </c>
      <c r="U472">
        <v>166.13900000000001</v>
      </c>
      <c r="V472">
        <v>-2.5259999999999998</v>
      </c>
      <c r="W472">
        <v>0.35</v>
      </c>
      <c r="X472">
        <v>0.754</v>
      </c>
      <c r="Y472" t="b">
        <v>1</v>
      </c>
      <c r="Z472">
        <v>78</v>
      </c>
      <c r="AA472">
        <f t="shared" si="74"/>
        <v>21.827922058105401</v>
      </c>
      <c r="AB472">
        <f t="shared" si="72"/>
        <v>251.69720129941877</v>
      </c>
      <c r="AC472">
        <f t="shared" si="76"/>
        <v>35.731865305517886</v>
      </c>
    </row>
    <row r="473" spans="1:29" x14ac:dyDescent="0.3">
      <c r="A473">
        <f t="shared" si="73"/>
        <v>500</v>
      </c>
      <c r="B473" s="2">
        <f t="shared" si="78"/>
        <v>31.498300000293966</v>
      </c>
      <c r="C473" s="2">
        <f t="shared" si="77"/>
        <v>1.1647600000000011</v>
      </c>
      <c r="D473" s="2">
        <f t="shared" si="75"/>
        <v>11.440554600000269</v>
      </c>
      <c r="E473" s="2"/>
      <c r="F473">
        <v>2917.0440846000001</v>
      </c>
      <c r="G473">
        <v>273</v>
      </c>
      <c r="H473">
        <v>263.25</v>
      </c>
      <c r="I473">
        <v>267.21899999999999</v>
      </c>
      <c r="J473">
        <v>261.678</v>
      </c>
      <c r="K473">
        <v>265.801502857142</v>
      </c>
      <c r="L473">
        <v>253.27721714285701</v>
      </c>
      <c r="M473">
        <v>310.24783724034899</v>
      </c>
      <c r="N473">
        <v>0.05</v>
      </c>
      <c r="O473">
        <v>0</v>
      </c>
      <c r="P473">
        <v>0</v>
      </c>
      <c r="Q473">
        <v>0</v>
      </c>
      <c r="R473">
        <v>0.20264179992675699</v>
      </c>
      <c r="S473">
        <v>-1.6329793930053699E-2</v>
      </c>
      <c r="T473">
        <v>0</v>
      </c>
      <c r="U473">
        <v>166.41800000000001</v>
      </c>
      <c r="V473">
        <v>-2.4950000000000001</v>
      </c>
      <c r="W473">
        <v>0.374</v>
      </c>
      <c r="X473">
        <v>0.752</v>
      </c>
      <c r="Y473" t="b">
        <v>1</v>
      </c>
      <c r="Z473">
        <v>78</v>
      </c>
      <c r="AA473">
        <f t="shared" si="74"/>
        <v>20.2641799926757</v>
      </c>
      <c r="AB473">
        <f t="shared" si="72"/>
        <v>252.38474373678801</v>
      </c>
      <c r="AC473">
        <f t="shared" si="76"/>
        <v>36.978503601436607</v>
      </c>
    </row>
    <row r="474" spans="1:29" x14ac:dyDescent="0.3">
      <c r="A474">
        <f t="shared" si="73"/>
        <v>500</v>
      </c>
      <c r="B474" s="2">
        <f t="shared" si="78"/>
        <v>30.454199999894627</v>
      </c>
      <c r="C474" s="2">
        <f t="shared" si="77"/>
        <v>1.201439999999991</v>
      </c>
      <c r="D474" s="2">
        <f t="shared" si="75"/>
        <v>11.471008800000163</v>
      </c>
      <c r="E474" s="2"/>
      <c r="F474">
        <v>2917.0745388</v>
      </c>
      <c r="G474">
        <v>273</v>
      </c>
      <c r="H474">
        <v>263.25</v>
      </c>
      <c r="I474">
        <v>267.096</v>
      </c>
      <c r="J474">
        <v>260.63</v>
      </c>
      <c r="K474">
        <v>265.945502857142</v>
      </c>
      <c r="L474">
        <v>254.478657142857</v>
      </c>
      <c r="M474">
        <v>311.45731999069301</v>
      </c>
      <c r="N474">
        <v>0.05</v>
      </c>
      <c r="O474">
        <v>0</v>
      </c>
      <c r="P474">
        <v>0</v>
      </c>
      <c r="Q474">
        <v>0</v>
      </c>
      <c r="R474">
        <v>0.20264179992675699</v>
      </c>
      <c r="S474">
        <v>-1.6329793930053699E-2</v>
      </c>
      <c r="T474">
        <v>0</v>
      </c>
      <c r="U474">
        <v>166.41800000000001</v>
      </c>
      <c r="V474">
        <v>-2.4950000000000001</v>
      </c>
      <c r="W474">
        <v>0.374</v>
      </c>
      <c r="X474">
        <v>0.752</v>
      </c>
      <c r="Y474" t="b">
        <v>1</v>
      </c>
      <c r="Z474">
        <v>78</v>
      </c>
      <c r="AA474">
        <f t="shared" si="74"/>
        <v>20.2641799926757</v>
      </c>
      <c r="AB474">
        <f t="shared" si="72"/>
        <v>253.00187312711881</v>
      </c>
      <c r="AC474">
        <f t="shared" si="76"/>
        <v>39.450716157513511</v>
      </c>
    </row>
    <row r="475" spans="1:29" x14ac:dyDescent="0.3">
      <c r="A475">
        <f t="shared" si="73"/>
        <v>500</v>
      </c>
      <c r="B475" s="2">
        <f t="shared" si="78"/>
        <v>31.122899999900255</v>
      </c>
      <c r="C475" s="2">
        <f t="shared" si="77"/>
        <v>0.55799428571398835</v>
      </c>
      <c r="D475" s="2">
        <f t="shared" si="75"/>
        <v>11.502131700000064</v>
      </c>
      <c r="E475" s="2"/>
      <c r="F475">
        <v>2917.1056616999999</v>
      </c>
      <c r="G475">
        <v>273</v>
      </c>
      <c r="H475">
        <v>263.25</v>
      </c>
      <c r="I475">
        <v>266.85000000000002</v>
      </c>
      <c r="J475">
        <v>259.71300000000002</v>
      </c>
      <c r="K475">
        <v>266.07460571428498</v>
      </c>
      <c r="L475">
        <v>255.03665142857099</v>
      </c>
      <c r="M475">
        <v>312.023332001303</v>
      </c>
      <c r="N475">
        <v>0.05</v>
      </c>
      <c r="O475">
        <v>0</v>
      </c>
      <c r="P475">
        <v>0</v>
      </c>
      <c r="Q475">
        <v>0</v>
      </c>
      <c r="R475">
        <v>0.23289820861816399</v>
      </c>
      <c r="S475">
        <v>3.8992812633514401E-3</v>
      </c>
      <c r="T475">
        <v>0</v>
      </c>
      <c r="U475">
        <v>166.48599999999999</v>
      </c>
      <c r="V475">
        <v>-2.63</v>
      </c>
      <c r="W475">
        <v>0.216</v>
      </c>
      <c r="X475">
        <v>0.749</v>
      </c>
      <c r="Y475" t="b">
        <v>1</v>
      </c>
      <c r="Z475">
        <v>78</v>
      </c>
      <c r="AA475">
        <f t="shared" si="74"/>
        <v>23.289820861816398</v>
      </c>
      <c r="AB475">
        <f t="shared" si="72"/>
        <v>253.63255317461085</v>
      </c>
      <c r="AC475">
        <f t="shared" si="76"/>
        <v>17.928736901631169</v>
      </c>
    </row>
    <row r="476" spans="1:29" x14ac:dyDescent="0.3">
      <c r="A476">
        <f t="shared" si="73"/>
        <v>500</v>
      </c>
      <c r="B476" s="2">
        <f t="shared" si="78"/>
        <v>46.661800000038056</v>
      </c>
      <c r="C476" s="2">
        <f t="shared" si="77"/>
        <v>0.48132000000001085</v>
      </c>
      <c r="D476" s="2">
        <f t="shared" si="75"/>
        <v>11.548793500000102</v>
      </c>
      <c r="E476" s="2"/>
      <c r="F476">
        <v>2917.1523235</v>
      </c>
      <c r="G476">
        <v>269.75</v>
      </c>
      <c r="H476">
        <v>263.25</v>
      </c>
      <c r="I476">
        <v>266.55200000000002</v>
      </c>
      <c r="J476">
        <v>258.92700000000002</v>
      </c>
      <c r="K476">
        <v>266.18208571428499</v>
      </c>
      <c r="L476">
        <v>255.517971428571</v>
      </c>
      <c r="M476">
        <v>312.51630186544003</v>
      </c>
      <c r="N476">
        <v>0.05</v>
      </c>
      <c r="O476">
        <v>0</v>
      </c>
      <c r="P476">
        <v>0</v>
      </c>
      <c r="Q476">
        <v>0</v>
      </c>
      <c r="R476">
        <v>0.23289820861816399</v>
      </c>
      <c r="S476">
        <v>3.8992812633514401E-3</v>
      </c>
      <c r="T476">
        <v>0</v>
      </c>
      <c r="U476">
        <v>166.48599999999999</v>
      </c>
      <c r="V476">
        <v>-2.63</v>
      </c>
      <c r="W476">
        <v>0.216</v>
      </c>
      <c r="X476">
        <v>0.749</v>
      </c>
      <c r="Y476" t="b">
        <v>1</v>
      </c>
      <c r="Z476">
        <v>78</v>
      </c>
      <c r="AA476">
        <f t="shared" si="74"/>
        <v>23.289820861816398</v>
      </c>
      <c r="AB476">
        <f t="shared" si="72"/>
        <v>254.71929813770163</v>
      </c>
      <c r="AC476">
        <f t="shared" si="76"/>
        <v>10.315075715030673</v>
      </c>
    </row>
    <row r="477" spans="1:29" x14ac:dyDescent="0.3">
      <c r="A477">
        <f t="shared" si="73"/>
        <v>500</v>
      </c>
      <c r="B477" s="2">
        <f t="shared" si="78"/>
        <v>30.775400000038644</v>
      </c>
      <c r="C477" s="2">
        <f t="shared" si="77"/>
        <v>0.70080000000001519</v>
      </c>
      <c r="D477" s="2">
        <f t="shared" si="75"/>
        <v>11.57956890000014</v>
      </c>
      <c r="E477" s="2"/>
      <c r="F477">
        <v>2917.1830989</v>
      </c>
      <c r="G477">
        <v>276.89999999999998</v>
      </c>
      <c r="H477">
        <v>265.2</v>
      </c>
      <c r="I477">
        <v>266.322</v>
      </c>
      <c r="J477">
        <v>262.44900000000001</v>
      </c>
      <c r="K477">
        <v>266.27052571428499</v>
      </c>
      <c r="L477">
        <v>256.21877142857102</v>
      </c>
      <c r="M477">
        <v>313.22454890243199</v>
      </c>
      <c r="N477">
        <v>0.05</v>
      </c>
      <c r="O477">
        <v>0</v>
      </c>
      <c r="P477">
        <v>0</v>
      </c>
      <c r="Q477">
        <v>0</v>
      </c>
      <c r="R477">
        <v>0.23800163269042901</v>
      </c>
      <c r="S477">
        <v>-1.41355299949646E-3</v>
      </c>
      <c r="T477">
        <v>0</v>
      </c>
      <c r="U477">
        <v>166.464</v>
      </c>
      <c r="V477">
        <v>-2.617</v>
      </c>
      <c r="W477">
        <v>0.01</v>
      </c>
      <c r="X477">
        <v>0.752</v>
      </c>
      <c r="Y477" t="b">
        <v>1</v>
      </c>
      <c r="Z477">
        <v>78</v>
      </c>
      <c r="AA477">
        <f t="shared" si="74"/>
        <v>23.800163269042901</v>
      </c>
      <c r="AB477">
        <f t="shared" si="72"/>
        <v>255.43605169065327</v>
      </c>
      <c r="AC477">
        <f t="shared" si="76"/>
        <v>22.771434327389251</v>
      </c>
    </row>
    <row r="478" spans="1:29" x14ac:dyDescent="0.3">
      <c r="A478">
        <f t="shared" si="73"/>
        <v>500</v>
      </c>
      <c r="B478" s="2">
        <f t="shared" si="78"/>
        <v>15.374399999927846</v>
      </c>
      <c r="C478" s="2">
        <f t="shared" si="77"/>
        <v>1.0559199999999578</v>
      </c>
      <c r="D478" s="2">
        <f t="shared" si="75"/>
        <v>11.594943300000068</v>
      </c>
      <c r="E478" s="2"/>
      <c r="F478">
        <v>2917.1984732999999</v>
      </c>
      <c r="G478">
        <v>269.10000000000002</v>
      </c>
      <c r="H478">
        <v>269.10000000000002</v>
      </c>
      <c r="I478">
        <v>265.90199999999999</v>
      </c>
      <c r="J478">
        <v>269.49299999999999</v>
      </c>
      <c r="K478">
        <v>266.32740571428502</v>
      </c>
      <c r="L478">
        <v>257.27469142857097</v>
      </c>
      <c r="M478">
        <v>314.28412052017001</v>
      </c>
      <c r="N478">
        <v>0.05</v>
      </c>
      <c r="O478">
        <v>0</v>
      </c>
      <c r="P478">
        <v>0</v>
      </c>
      <c r="Q478">
        <v>0</v>
      </c>
      <c r="R478">
        <v>0.23800163269042901</v>
      </c>
      <c r="S478">
        <v>-1.41355299949646E-3</v>
      </c>
      <c r="T478">
        <v>0</v>
      </c>
      <c r="U478">
        <v>166.464</v>
      </c>
      <c r="V478">
        <v>-2.617</v>
      </c>
      <c r="W478">
        <v>0.01</v>
      </c>
      <c r="X478">
        <v>0.752</v>
      </c>
      <c r="Y478" t="b">
        <v>1</v>
      </c>
      <c r="Z478">
        <v>78</v>
      </c>
      <c r="AA478">
        <f t="shared" si="74"/>
        <v>23.800163269042901</v>
      </c>
      <c r="AB478">
        <f t="shared" si="72"/>
        <v>255.80196492081512</v>
      </c>
      <c r="AC478">
        <f t="shared" si="76"/>
        <v>68.680403788434887</v>
      </c>
    </row>
    <row r="479" spans="1:29" x14ac:dyDescent="0.3">
      <c r="A479">
        <f t="shared" si="73"/>
        <v>500</v>
      </c>
      <c r="B479" s="2">
        <f t="shared" si="78"/>
        <v>46.726200000193785</v>
      </c>
      <c r="C479" s="2">
        <f t="shared" si="77"/>
        <v>1.4005600000000413</v>
      </c>
      <c r="D479" s="2">
        <f t="shared" si="75"/>
        <v>11.641669500000262</v>
      </c>
      <c r="E479" s="2"/>
      <c r="F479">
        <v>2917.2451995000001</v>
      </c>
      <c r="G479">
        <v>263.25</v>
      </c>
      <c r="H479">
        <v>273</v>
      </c>
      <c r="I479">
        <v>265.83300000000003</v>
      </c>
      <c r="J479">
        <v>276.53699999999998</v>
      </c>
      <c r="K479">
        <v>266.36184571428498</v>
      </c>
      <c r="L479">
        <v>258.67525142857102</v>
      </c>
      <c r="M479">
        <v>315.69550462613199</v>
      </c>
      <c r="N479">
        <v>0.05</v>
      </c>
      <c r="O479">
        <v>0</v>
      </c>
      <c r="P479">
        <v>0</v>
      </c>
      <c r="Q479">
        <v>0</v>
      </c>
      <c r="R479">
        <v>0.20243373107910101</v>
      </c>
      <c r="S479">
        <v>-3.9473617553710899E-2</v>
      </c>
      <c r="T479">
        <v>0</v>
      </c>
      <c r="U479">
        <v>166.33500000000001</v>
      </c>
      <c r="V479">
        <v>-2.3650000000000002</v>
      </c>
      <c r="W479">
        <v>-7.2999999999999995E-2</v>
      </c>
      <c r="X479">
        <v>0.753</v>
      </c>
      <c r="Y479" t="b">
        <v>1</v>
      </c>
      <c r="Z479">
        <v>78</v>
      </c>
      <c r="AA479">
        <f t="shared" si="74"/>
        <v>20.243373107910102</v>
      </c>
      <c r="AB479">
        <f t="shared" si="72"/>
        <v>256.9140561097617</v>
      </c>
      <c r="AC479">
        <f t="shared" si="76"/>
        <v>29.973762043440999</v>
      </c>
    </row>
    <row r="480" spans="1:29" x14ac:dyDescent="0.3">
      <c r="A480">
        <f t="shared" si="73"/>
        <v>500</v>
      </c>
      <c r="B480" s="2">
        <f t="shared" si="78"/>
        <v>31.621000000086497</v>
      </c>
      <c r="C480" s="2">
        <f t="shared" si="77"/>
        <v>1.4319999999999595</v>
      </c>
      <c r="D480" s="2">
        <f t="shared" si="75"/>
        <v>11.673290500000348</v>
      </c>
      <c r="E480" s="2"/>
      <c r="F480">
        <v>2917.2768205000002</v>
      </c>
      <c r="G480">
        <v>263.25</v>
      </c>
      <c r="H480">
        <v>273</v>
      </c>
      <c r="I480">
        <v>265.464</v>
      </c>
      <c r="J480">
        <v>275.88200000000001</v>
      </c>
      <c r="K480">
        <v>266.37168571428498</v>
      </c>
      <c r="L480">
        <v>260.10725142857098</v>
      </c>
      <c r="M480">
        <v>317.13460152709803</v>
      </c>
      <c r="N480">
        <v>0.05</v>
      </c>
      <c r="O480">
        <v>0</v>
      </c>
      <c r="P480">
        <v>0</v>
      </c>
      <c r="Q480">
        <v>0</v>
      </c>
      <c r="R480">
        <v>0.20243373107910101</v>
      </c>
      <c r="S480">
        <v>-3.9473617553710899E-2</v>
      </c>
      <c r="T480">
        <v>0</v>
      </c>
      <c r="U480">
        <v>166.33500000000001</v>
      </c>
      <c r="V480">
        <v>-2.3650000000000002</v>
      </c>
      <c r="W480">
        <v>-7.2999999999999995E-2</v>
      </c>
      <c r="X480">
        <v>0.753</v>
      </c>
      <c r="Y480" t="b">
        <v>1</v>
      </c>
      <c r="Z480">
        <v>78</v>
      </c>
      <c r="AA480">
        <f t="shared" si="74"/>
        <v>20.243373107910102</v>
      </c>
      <c r="AB480">
        <f t="shared" si="72"/>
        <v>257.55417181080867</v>
      </c>
      <c r="AC480">
        <f t="shared" si="76"/>
        <v>45.28636033003518</v>
      </c>
    </row>
    <row r="481" spans="1:29" x14ac:dyDescent="0.3">
      <c r="A481">
        <f t="shared" si="73"/>
        <v>500</v>
      </c>
      <c r="B481" s="2">
        <f t="shared" si="78"/>
        <v>15.591299999869079</v>
      </c>
      <c r="C481" s="2">
        <f t="shared" si="77"/>
        <v>1.1710000000000491</v>
      </c>
      <c r="D481" s="2">
        <f t="shared" si="75"/>
        <v>11.688881800000217</v>
      </c>
      <c r="E481" s="2"/>
      <c r="F481">
        <v>2917.2924118000001</v>
      </c>
      <c r="G481">
        <v>263.25</v>
      </c>
      <c r="H481">
        <v>273</v>
      </c>
      <c r="I481">
        <v>265.21800000000002</v>
      </c>
      <c r="J481">
        <v>275.22699999999998</v>
      </c>
      <c r="K481">
        <v>266.362605714285</v>
      </c>
      <c r="L481">
        <v>261.27825142857102</v>
      </c>
      <c r="M481">
        <v>318.30903470362199</v>
      </c>
      <c r="N481">
        <v>0.05</v>
      </c>
      <c r="O481">
        <v>0</v>
      </c>
      <c r="P481">
        <v>0</v>
      </c>
      <c r="Q481">
        <v>0</v>
      </c>
      <c r="R481">
        <v>0.17760377502441399</v>
      </c>
      <c r="S481">
        <v>-5.4978008270263598E-2</v>
      </c>
      <c r="T481">
        <v>0</v>
      </c>
      <c r="U481">
        <v>166.34100000000001</v>
      </c>
      <c r="V481">
        <v>-2.1779999999999999</v>
      </c>
      <c r="W481">
        <v>0.193</v>
      </c>
      <c r="X481">
        <v>0.752</v>
      </c>
      <c r="Y481" t="b">
        <v>1</v>
      </c>
      <c r="Z481">
        <v>78</v>
      </c>
      <c r="AA481">
        <f t="shared" si="74"/>
        <v>17.760377502441401</v>
      </c>
      <c r="AB481">
        <f t="shared" si="72"/>
        <v>257.86979231394338</v>
      </c>
      <c r="AC481">
        <f t="shared" si="76"/>
        <v>75.105988596838117</v>
      </c>
    </row>
    <row r="482" spans="1:29" x14ac:dyDescent="0.3">
      <c r="A482">
        <f t="shared" si="73"/>
        <v>500</v>
      </c>
      <c r="B482" s="2">
        <f t="shared" si="78"/>
        <v>30.759599999782949</v>
      </c>
      <c r="C482" s="2">
        <f t="shared" si="77"/>
        <v>0.97791999999998325</v>
      </c>
      <c r="D482" s="2">
        <f t="shared" si="75"/>
        <v>11.7196414</v>
      </c>
      <c r="E482" s="2"/>
      <c r="F482">
        <v>2917.3231713999999</v>
      </c>
      <c r="G482">
        <v>263.25</v>
      </c>
      <c r="H482">
        <v>273</v>
      </c>
      <c r="I482">
        <v>264.84899999999999</v>
      </c>
      <c r="J482">
        <v>274.572</v>
      </c>
      <c r="K482">
        <v>266.33524571428501</v>
      </c>
      <c r="L482">
        <v>262.25617142857101</v>
      </c>
      <c r="M482">
        <v>319.293602584648</v>
      </c>
      <c r="N482">
        <v>0.05</v>
      </c>
      <c r="O482">
        <v>0</v>
      </c>
      <c r="P482">
        <v>0</v>
      </c>
      <c r="Q482">
        <v>0</v>
      </c>
      <c r="R482">
        <v>0.17760377502441399</v>
      </c>
      <c r="S482">
        <v>-5.4978008270263598E-2</v>
      </c>
      <c r="T482">
        <v>0</v>
      </c>
      <c r="U482">
        <v>166.34100000000001</v>
      </c>
      <c r="V482">
        <v>-2.1779999999999999</v>
      </c>
      <c r="W482">
        <v>0.193</v>
      </c>
      <c r="X482">
        <v>0.752</v>
      </c>
      <c r="Y482" t="b">
        <v>1</v>
      </c>
      <c r="Z482">
        <v>78</v>
      </c>
      <c r="AA482">
        <f t="shared" si="74"/>
        <v>17.760377502441401</v>
      </c>
      <c r="AB482">
        <f t="shared" si="72"/>
        <v>258.4160944217636</v>
      </c>
      <c r="AC482">
        <f t="shared" si="76"/>
        <v>31.79235100608863</v>
      </c>
    </row>
    <row r="483" spans="1:29" x14ac:dyDescent="0.3">
      <c r="A483">
        <f t="shared" si="73"/>
        <v>500</v>
      </c>
      <c r="B483" s="2">
        <f t="shared" si="78"/>
        <v>46.488800000133779</v>
      </c>
      <c r="C483" s="2">
        <f t="shared" si="77"/>
        <v>0.67520000000001801</v>
      </c>
      <c r="D483" s="2">
        <f t="shared" si="75"/>
        <v>11.766130200000134</v>
      </c>
      <c r="E483" s="2"/>
      <c r="F483">
        <v>2917.3696602</v>
      </c>
      <c r="G483">
        <v>263.25</v>
      </c>
      <c r="H483">
        <v>273</v>
      </c>
      <c r="I483">
        <v>264.48</v>
      </c>
      <c r="J483">
        <v>273.786</v>
      </c>
      <c r="K483">
        <v>266.281125714285</v>
      </c>
      <c r="L483">
        <v>262.93137142857103</v>
      </c>
      <c r="M483">
        <v>319.97854200682502</v>
      </c>
      <c r="N483">
        <v>0.05</v>
      </c>
      <c r="O483">
        <v>0</v>
      </c>
      <c r="P483">
        <v>0</v>
      </c>
      <c r="Q483">
        <v>0</v>
      </c>
      <c r="R483">
        <v>0.130216857910156</v>
      </c>
      <c r="S483">
        <v>-2.8917406082153301E-2</v>
      </c>
      <c r="T483">
        <v>0</v>
      </c>
      <c r="U483">
        <v>166.43799999999999</v>
      </c>
      <c r="V483">
        <v>-2.1669999999999998</v>
      </c>
      <c r="W483">
        <v>0.432</v>
      </c>
      <c r="X483">
        <v>0.751</v>
      </c>
      <c r="Y483" t="b">
        <v>1</v>
      </c>
      <c r="Z483">
        <v>78</v>
      </c>
      <c r="AA483">
        <f t="shared" si="74"/>
        <v>13.021685791015599</v>
      </c>
      <c r="AB483">
        <f t="shared" si="72"/>
        <v>259.2417530594015</v>
      </c>
      <c r="AC483">
        <f t="shared" si="76"/>
        <v>14.523928343989843</v>
      </c>
    </row>
    <row r="484" spans="1:29" x14ac:dyDescent="0.3">
      <c r="A484">
        <f t="shared" si="73"/>
        <v>500</v>
      </c>
      <c r="B484" s="2">
        <f t="shared" si="78"/>
        <v>30.555100000128732</v>
      </c>
      <c r="C484" s="2">
        <f t="shared" si="77"/>
        <v>0.68567999999999074</v>
      </c>
      <c r="D484" s="2">
        <f t="shared" si="75"/>
        <v>11.796685300000263</v>
      </c>
      <c r="E484" s="2"/>
      <c r="F484">
        <v>2917.4002153000001</v>
      </c>
      <c r="G484">
        <v>263.25</v>
      </c>
      <c r="H484">
        <v>273</v>
      </c>
      <c r="I484">
        <v>264.23399999999998</v>
      </c>
      <c r="J484">
        <v>273</v>
      </c>
      <c r="K484">
        <v>266.21716571428499</v>
      </c>
      <c r="L484">
        <v>263.61705142857102</v>
      </c>
      <c r="M484">
        <v>320.670427237409</v>
      </c>
      <c r="N484">
        <v>0.05</v>
      </c>
      <c r="O484">
        <v>0</v>
      </c>
      <c r="P484">
        <v>0</v>
      </c>
      <c r="Q484">
        <v>0</v>
      </c>
      <c r="R484">
        <v>0.130216857910156</v>
      </c>
      <c r="S484">
        <v>-2.8917406082153301E-2</v>
      </c>
      <c r="T484">
        <v>0</v>
      </c>
      <c r="U484">
        <v>166.43799999999999</v>
      </c>
      <c r="V484">
        <v>-2.1669999999999998</v>
      </c>
      <c r="W484">
        <v>0.432</v>
      </c>
      <c r="X484">
        <v>0.751</v>
      </c>
      <c r="Y484" t="b">
        <v>1</v>
      </c>
      <c r="Z484">
        <v>78</v>
      </c>
      <c r="AA484">
        <f t="shared" si="74"/>
        <v>13.021685791015599</v>
      </c>
      <c r="AB484">
        <f t="shared" si="72"/>
        <v>259.63963197091624</v>
      </c>
      <c r="AC484">
        <f t="shared" si="76"/>
        <v>22.440770935035456</v>
      </c>
    </row>
    <row r="485" spans="1:29" x14ac:dyDescent="0.3">
      <c r="A485">
        <f t="shared" si="73"/>
        <v>500</v>
      </c>
      <c r="B485" s="2">
        <f t="shared" si="78"/>
        <v>30.593299999964074</v>
      </c>
      <c r="C485" s="2">
        <f t="shared" si="77"/>
        <v>0.71188000000000784</v>
      </c>
      <c r="D485" s="2">
        <f t="shared" si="75"/>
        <v>11.827278600000227</v>
      </c>
      <c r="E485" s="2"/>
      <c r="F485">
        <v>2917.4308086000001</v>
      </c>
      <c r="G485">
        <v>263.25</v>
      </c>
      <c r="H485">
        <v>273</v>
      </c>
      <c r="I485">
        <v>263.988</v>
      </c>
      <c r="J485">
        <v>272.08300000000003</v>
      </c>
      <c r="K485">
        <v>266.13352571428499</v>
      </c>
      <c r="L485">
        <v>264.32893142857102</v>
      </c>
      <c r="M485">
        <v>321.38836885984199</v>
      </c>
      <c r="N485">
        <v>0.05</v>
      </c>
      <c r="O485">
        <v>0</v>
      </c>
      <c r="P485">
        <v>0</v>
      </c>
      <c r="Q485">
        <v>0</v>
      </c>
      <c r="R485">
        <v>0.18629119873046801</v>
      </c>
      <c r="S485">
        <v>-5.3205348968505803E-2</v>
      </c>
      <c r="T485">
        <v>0</v>
      </c>
      <c r="U485">
        <v>166.25700000000001</v>
      </c>
      <c r="V485">
        <v>-2.4620000000000002</v>
      </c>
      <c r="W485">
        <v>0.14899999999999999</v>
      </c>
      <c r="X485">
        <v>0.751</v>
      </c>
      <c r="Y485" t="b">
        <v>1</v>
      </c>
      <c r="Z485">
        <v>78</v>
      </c>
      <c r="AA485">
        <f t="shared" si="74"/>
        <v>18.6291198730468</v>
      </c>
      <c r="AB485">
        <f t="shared" si="72"/>
        <v>260.03800831082606</v>
      </c>
      <c r="AC485">
        <f t="shared" si="76"/>
        <v>23.269147166237175</v>
      </c>
    </row>
    <row r="486" spans="1:29" x14ac:dyDescent="0.3">
      <c r="A486">
        <f t="shared" si="73"/>
        <v>500</v>
      </c>
      <c r="B486" s="2">
        <f t="shared" si="78"/>
        <v>30.817200000001321</v>
      </c>
      <c r="C486" s="2">
        <f t="shared" si="77"/>
        <v>0.72235999999998057</v>
      </c>
      <c r="D486" s="2">
        <f t="shared" si="75"/>
        <v>11.858095800000228</v>
      </c>
      <c r="E486" s="2"/>
      <c r="F486">
        <v>2917.4616258000001</v>
      </c>
      <c r="G486">
        <v>263.25</v>
      </c>
      <c r="H486">
        <v>273</v>
      </c>
      <c r="I486">
        <v>263.988</v>
      </c>
      <c r="J486">
        <v>271.29700000000003</v>
      </c>
      <c r="K486">
        <v>266.04496571428501</v>
      </c>
      <c r="L486">
        <v>265.05129142857101</v>
      </c>
      <c r="M486">
        <v>322.11668545789399</v>
      </c>
      <c r="N486">
        <v>0.05</v>
      </c>
      <c r="O486">
        <v>0</v>
      </c>
      <c r="P486">
        <v>0</v>
      </c>
      <c r="Q486">
        <v>0</v>
      </c>
      <c r="R486">
        <v>0.18629119873046801</v>
      </c>
      <c r="S486">
        <v>-5.3205348968505803E-2</v>
      </c>
      <c r="T486">
        <v>0</v>
      </c>
      <c r="U486">
        <v>166.25700000000001</v>
      </c>
      <c r="V486">
        <v>-2.4620000000000002</v>
      </c>
      <c r="W486">
        <v>0.14899999999999999</v>
      </c>
      <c r="X486">
        <v>0.751</v>
      </c>
      <c r="Y486" t="b">
        <v>1</v>
      </c>
      <c r="Z486">
        <v>78</v>
      </c>
      <c r="AA486">
        <f t="shared" si="74"/>
        <v>18.6291198730468</v>
      </c>
      <c r="AB486">
        <f t="shared" si="72"/>
        <v>260.61210562377772</v>
      </c>
      <c r="AC486">
        <f t="shared" si="76"/>
        <v>23.440156795554092</v>
      </c>
    </row>
    <row r="487" spans="1:29" x14ac:dyDescent="0.3">
      <c r="A487">
        <f t="shared" si="73"/>
        <v>500</v>
      </c>
      <c r="B487" s="2">
        <f t="shared" si="78"/>
        <v>30.698699999902601</v>
      </c>
      <c r="C487" s="2">
        <f t="shared" si="77"/>
        <v>0.72235999999998057</v>
      </c>
      <c r="D487" s="2">
        <f t="shared" si="75"/>
        <v>11.888794500000131</v>
      </c>
      <c r="E487" s="2"/>
      <c r="F487">
        <v>2917.4923245</v>
      </c>
      <c r="G487">
        <v>263.25</v>
      </c>
      <c r="H487">
        <v>273</v>
      </c>
      <c r="I487">
        <v>264.11099999999999</v>
      </c>
      <c r="J487">
        <v>270.642</v>
      </c>
      <c r="K487">
        <v>265.96132571428501</v>
      </c>
      <c r="L487">
        <v>265.77365142857099</v>
      </c>
      <c r="M487">
        <v>322.84483373019901</v>
      </c>
      <c r="N487">
        <v>0.05</v>
      </c>
      <c r="O487">
        <v>0</v>
      </c>
      <c r="P487">
        <v>0</v>
      </c>
      <c r="Q487">
        <v>0</v>
      </c>
      <c r="R487">
        <v>0.174274429321289</v>
      </c>
      <c r="S487">
        <v>-9.5824867248535103E-2</v>
      </c>
      <c r="T487">
        <v>0</v>
      </c>
      <c r="U487">
        <v>166.376</v>
      </c>
      <c r="V487">
        <v>-2.298</v>
      </c>
      <c r="W487">
        <v>0.10199999999999999</v>
      </c>
      <c r="X487">
        <v>0.748</v>
      </c>
      <c r="Y487" t="b">
        <v>1</v>
      </c>
      <c r="Z487">
        <v>78</v>
      </c>
      <c r="AA487">
        <f t="shared" si="74"/>
        <v>17.427442932128901</v>
      </c>
      <c r="AB487">
        <f t="shared" si="72"/>
        <v>261.18399538602262</v>
      </c>
      <c r="AC487">
        <f t="shared" si="76"/>
        <v>23.530638105270661</v>
      </c>
    </row>
    <row r="488" spans="1:29" x14ac:dyDescent="0.3">
      <c r="A488">
        <f t="shared" si="73"/>
        <v>500</v>
      </c>
      <c r="B488" s="2">
        <f t="shared" si="78"/>
        <v>45.541500000126689</v>
      </c>
      <c r="C488" s="2">
        <f t="shared" si="77"/>
        <v>0.75380000000001246</v>
      </c>
      <c r="D488" s="2">
        <f t="shared" si="75"/>
        <v>11.934336000000258</v>
      </c>
      <c r="E488" s="2"/>
      <c r="F488">
        <v>2917.5378660000001</v>
      </c>
      <c r="G488">
        <v>263.25</v>
      </c>
      <c r="H488">
        <v>273</v>
      </c>
      <c r="I488">
        <v>264.23399999999998</v>
      </c>
      <c r="J488">
        <v>269.72500000000002</v>
      </c>
      <c r="K488">
        <v>265.87276571428498</v>
      </c>
      <c r="L488">
        <v>266.527451428571</v>
      </c>
      <c r="M488">
        <v>323.60696083882499</v>
      </c>
      <c r="N488">
        <v>0.05</v>
      </c>
      <c r="O488">
        <v>0</v>
      </c>
      <c r="P488">
        <v>0</v>
      </c>
      <c r="Q488">
        <v>0</v>
      </c>
      <c r="R488">
        <v>0.174274429321289</v>
      </c>
      <c r="S488">
        <v>-9.5824867248535103E-2</v>
      </c>
      <c r="T488">
        <v>0</v>
      </c>
      <c r="U488">
        <v>166.376</v>
      </c>
      <c r="V488">
        <v>-2.298</v>
      </c>
      <c r="W488">
        <v>0.10199999999999999</v>
      </c>
      <c r="X488">
        <v>0.748</v>
      </c>
      <c r="Y488" t="b">
        <v>1</v>
      </c>
      <c r="Z488">
        <v>78</v>
      </c>
      <c r="AA488">
        <f t="shared" si="74"/>
        <v>17.427442932128901</v>
      </c>
      <c r="AB488">
        <f t="shared" si="72"/>
        <v>261.97766727831839</v>
      </c>
      <c r="AC488">
        <f t="shared" si="76"/>
        <v>16.551936146106641</v>
      </c>
    </row>
    <row r="489" spans="1:29" x14ac:dyDescent="0.3">
      <c r="A489">
        <f t="shared" si="73"/>
        <v>500</v>
      </c>
      <c r="B489" s="2">
        <f t="shared" si="78"/>
        <v>31.303400000069814</v>
      </c>
      <c r="C489" s="2">
        <f t="shared" si="77"/>
        <v>0.76427999999998519</v>
      </c>
      <c r="D489" s="2">
        <f t="shared" si="75"/>
        <v>11.965639400000327</v>
      </c>
      <c r="E489" s="2"/>
      <c r="F489">
        <v>2917.5691694000002</v>
      </c>
      <c r="G489">
        <v>263.25</v>
      </c>
      <c r="H489">
        <v>273</v>
      </c>
      <c r="I489">
        <v>264.23399999999998</v>
      </c>
      <c r="J489">
        <v>268.93900000000002</v>
      </c>
      <c r="K489">
        <v>265.78912571428498</v>
      </c>
      <c r="L489">
        <v>267.29173142857098</v>
      </c>
      <c r="M489">
        <v>324.37678970436002</v>
      </c>
      <c r="N489">
        <v>0.05</v>
      </c>
      <c r="O489">
        <v>0</v>
      </c>
      <c r="P489">
        <v>0</v>
      </c>
      <c r="Q489">
        <v>0</v>
      </c>
      <c r="R489">
        <v>0.160926193237304</v>
      </c>
      <c r="S489">
        <v>-5.8760528564453102E-2</v>
      </c>
      <c r="T489">
        <v>0</v>
      </c>
      <c r="U489">
        <v>166.417</v>
      </c>
      <c r="V489">
        <v>-2.1379999999999999</v>
      </c>
      <c r="W489">
        <v>0.29499999999999998</v>
      </c>
      <c r="X489">
        <v>0.745</v>
      </c>
      <c r="Y489" t="b">
        <v>1</v>
      </c>
      <c r="Z489">
        <v>78</v>
      </c>
      <c r="AA489">
        <f t="shared" si="74"/>
        <v>16.0926193237304</v>
      </c>
      <c r="AB489">
        <f t="shared" si="72"/>
        <v>262.52320549540121</v>
      </c>
      <c r="AC489">
        <f t="shared" si="76"/>
        <v>24.41523923913315</v>
      </c>
    </row>
    <row r="490" spans="1:29" x14ac:dyDescent="0.3">
      <c r="A490">
        <f t="shared" si="73"/>
        <v>500</v>
      </c>
      <c r="B490" s="2">
        <f t="shared" si="78"/>
        <v>32.293099999606056</v>
      </c>
      <c r="C490" s="2">
        <f t="shared" si="77"/>
        <v>0.9888000000000261</v>
      </c>
      <c r="D490" s="2">
        <f t="shared" si="75"/>
        <v>11.997932499999933</v>
      </c>
      <c r="E490" s="2"/>
      <c r="F490">
        <v>2917.6014624999998</v>
      </c>
      <c r="G490">
        <v>256.75</v>
      </c>
      <c r="H490">
        <v>279.5</v>
      </c>
      <c r="I490">
        <v>264.49900000000002</v>
      </c>
      <c r="J490">
        <v>281.46499999999997</v>
      </c>
      <c r="K490">
        <v>265.71044571428502</v>
      </c>
      <c r="L490">
        <v>268.28053142857101</v>
      </c>
      <c r="M490">
        <v>325.37116904189298</v>
      </c>
      <c r="N490">
        <v>0.05</v>
      </c>
      <c r="O490">
        <v>0</v>
      </c>
      <c r="P490">
        <v>0</v>
      </c>
      <c r="Q490">
        <v>0</v>
      </c>
      <c r="R490">
        <v>0.160926193237304</v>
      </c>
      <c r="S490">
        <v>-5.8760528564453102E-2</v>
      </c>
      <c r="T490">
        <v>0</v>
      </c>
      <c r="U490">
        <v>166.417</v>
      </c>
      <c r="V490">
        <v>-2.1379999999999999</v>
      </c>
      <c r="W490">
        <v>0.29499999999999998</v>
      </c>
      <c r="X490">
        <v>0.745</v>
      </c>
      <c r="Y490" t="b">
        <v>1</v>
      </c>
      <c r="Z490">
        <v>78</v>
      </c>
      <c r="AA490">
        <f t="shared" si="74"/>
        <v>16.0926193237304</v>
      </c>
      <c r="AB490">
        <f t="shared" si="72"/>
        <v>263.04288606047805</v>
      </c>
      <c r="AC490">
        <f t="shared" si="76"/>
        <v>30.619544113513058</v>
      </c>
    </row>
    <row r="491" spans="1:29" x14ac:dyDescent="0.3">
      <c r="A491">
        <f t="shared" si="73"/>
        <v>500</v>
      </c>
      <c r="B491" s="2">
        <f t="shared" si="78"/>
        <v>30.784600000060891</v>
      </c>
      <c r="C491" s="2">
        <f t="shared" si="77"/>
        <v>0.77476000000001477</v>
      </c>
      <c r="D491" s="2">
        <f t="shared" si="75"/>
        <v>12.028717099999994</v>
      </c>
      <c r="E491" s="2"/>
      <c r="F491">
        <v>2917.6322470999999</v>
      </c>
      <c r="G491">
        <v>259.07142857142799</v>
      </c>
      <c r="H491">
        <v>281.35714285714198</v>
      </c>
      <c r="I491">
        <v>264.36042857142797</v>
      </c>
      <c r="J491">
        <v>284.63214285714201</v>
      </c>
      <c r="K491">
        <v>265.62216000000001</v>
      </c>
      <c r="L491">
        <v>269.05529142857102</v>
      </c>
      <c r="M491">
        <v>326.151114124034</v>
      </c>
      <c r="N491">
        <v>0.05</v>
      </c>
      <c r="O491">
        <v>0</v>
      </c>
      <c r="P491">
        <v>0</v>
      </c>
      <c r="Q491">
        <v>0</v>
      </c>
      <c r="R491">
        <v>0.15020808410644501</v>
      </c>
      <c r="S491">
        <v>-8.6346069335937498E-2</v>
      </c>
      <c r="T491">
        <v>0</v>
      </c>
      <c r="U491">
        <v>166.22900000000001</v>
      </c>
      <c r="V491">
        <v>-2.0750000000000002</v>
      </c>
      <c r="W491">
        <v>0.13600000000000001</v>
      </c>
      <c r="X491">
        <v>0.74399999999999999</v>
      </c>
      <c r="Y491" t="b">
        <v>1</v>
      </c>
      <c r="Z491">
        <v>78</v>
      </c>
      <c r="AA491">
        <f t="shared" si="74"/>
        <v>15.0208084106445</v>
      </c>
      <c r="AB491">
        <f t="shared" si="72"/>
        <v>263.53829090931237</v>
      </c>
      <c r="AC491">
        <f t="shared" si="76"/>
        <v>25.167129019005682</v>
      </c>
    </row>
    <row r="492" spans="1:29" x14ac:dyDescent="0.3">
      <c r="A492">
        <f t="shared" si="73"/>
        <v>500</v>
      </c>
      <c r="B492" s="2">
        <f t="shared" si="78"/>
        <v>30.800600000020495</v>
      </c>
      <c r="C492" s="2">
        <f t="shared" si="77"/>
        <v>0.79048000000000229</v>
      </c>
      <c r="D492" s="2">
        <f t="shared" si="75"/>
        <v>12.059517700000015</v>
      </c>
      <c r="E492" s="2"/>
      <c r="F492">
        <v>2917.6630476999999</v>
      </c>
      <c r="G492">
        <v>263.25</v>
      </c>
      <c r="H492">
        <v>282.75</v>
      </c>
      <c r="I492">
        <v>264.23399999999998</v>
      </c>
      <c r="J492">
        <v>286.81099999999998</v>
      </c>
      <c r="K492">
        <v>265.52868000000001</v>
      </c>
      <c r="L492">
        <v>269.84577142857103</v>
      </c>
      <c r="M492">
        <v>326.94665462032998</v>
      </c>
      <c r="N492">
        <v>0.05</v>
      </c>
      <c r="O492">
        <v>0</v>
      </c>
      <c r="P492">
        <v>0</v>
      </c>
      <c r="Q492">
        <v>0</v>
      </c>
      <c r="R492">
        <v>0.15020808410644501</v>
      </c>
      <c r="S492">
        <v>-8.6346069335937498E-2</v>
      </c>
      <c r="T492">
        <v>0</v>
      </c>
      <c r="U492">
        <v>166.22900000000001</v>
      </c>
      <c r="V492">
        <v>-2.0750000000000002</v>
      </c>
      <c r="W492">
        <v>0.13600000000000001</v>
      </c>
      <c r="X492">
        <v>0.74399999999999999</v>
      </c>
      <c r="Y492" t="b">
        <v>1</v>
      </c>
      <c r="Z492">
        <v>78</v>
      </c>
      <c r="AA492">
        <f t="shared" si="74"/>
        <v>15.0208084106445</v>
      </c>
      <c r="AB492">
        <f t="shared" si="72"/>
        <v>264.00094082084559</v>
      </c>
      <c r="AC492">
        <f t="shared" si="76"/>
        <v>25.664435108389977</v>
      </c>
    </row>
    <row r="493" spans="1:29" x14ac:dyDescent="0.3">
      <c r="A493">
        <f t="shared" si="73"/>
        <v>500</v>
      </c>
      <c r="B493" s="2">
        <f t="shared" si="78"/>
        <v>31.285900000057154</v>
      </c>
      <c r="C493" s="2">
        <f t="shared" si="77"/>
        <v>0.80619999999998981</v>
      </c>
      <c r="D493" s="2">
        <f t="shared" si="75"/>
        <v>12.090803600000072</v>
      </c>
      <c r="E493" s="2"/>
      <c r="F493">
        <v>2917.6943335999999</v>
      </c>
      <c r="G493">
        <v>263.25</v>
      </c>
      <c r="H493">
        <v>282.75</v>
      </c>
      <c r="I493">
        <v>263.86500000000001</v>
      </c>
      <c r="J493">
        <v>286.15600000000001</v>
      </c>
      <c r="K493">
        <v>265.42043999999999</v>
      </c>
      <c r="L493">
        <v>270.65197142857102</v>
      </c>
      <c r="M493">
        <v>327.757867726749</v>
      </c>
      <c r="N493">
        <v>0.05</v>
      </c>
      <c r="O493">
        <v>0</v>
      </c>
      <c r="P493">
        <v>0</v>
      </c>
      <c r="Q493">
        <v>0</v>
      </c>
      <c r="R493">
        <v>0.16335446166992099</v>
      </c>
      <c r="S493">
        <v>-0.110354507446289</v>
      </c>
      <c r="T493">
        <v>0</v>
      </c>
      <c r="U493">
        <v>166.268</v>
      </c>
      <c r="V493">
        <v>-2.1379999999999999</v>
      </c>
      <c r="W493">
        <v>0.26200000000000001</v>
      </c>
      <c r="X493">
        <v>0.74399999999999999</v>
      </c>
      <c r="Y493" t="b">
        <v>1</v>
      </c>
      <c r="Z493">
        <v>78</v>
      </c>
      <c r="AA493">
        <f t="shared" si="74"/>
        <v>16.335446166992099</v>
      </c>
      <c r="AB493">
        <f t="shared" si="72"/>
        <v>264.47088033070105</v>
      </c>
      <c r="AC493">
        <f t="shared" si="76"/>
        <v>25.768796806181602</v>
      </c>
    </row>
    <row r="494" spans="1:29" x14ac:dyDescent="0.3">
      <c r="A494">
        <f t="shared" si="73"/>
        <v>500</v>
      </c>
      <c r="B494" s="2">
        <f t="shared" si="78"/>
        <v>31.774399999903835</v>
      </c>
      <c r="C494" s="2">
        <f t="shared" si="77"/>
        <v>0.92479428571397193</v>
      </c>
      <c r="D494" s="2">
        <f t="shared" si="75"/>
        <v>12.122577999999976</v>
      </c>
      <c r="E494" s="2"/>
      <c r="F494">
        <v>2917.7261079999998</v>
      </c>
      <c r="G494">
        <v>263.25</v>
      </c>
      <c r="H494">
        <v>282.75</v>
      </c>
      <c r="I494">
        <v>263.37299999999999</v>
      </c>
      <c r="J494">
        <v>285.37</v>
      </c>
      <c r="K494">
        <v>265.287737142857</v>
      </c>
      <c r="L494">
        <v>271.57676571428499</v>
      </c>
      <c r="M494">
        <v>328.687625528034</v>
      </c>
      <c r="N494">
        <v>0.05</v>
      </c>
      <c r="O494">
        <v>0</v>
      </c>
      <c r="P494">
        <v>0</v>
      </c>
      <c r="Q494">
        <v>0</v>
      </c>
      <c r="R494">
        <v>0.16335446166992099</v>
      </c>
      <c r="S494">
        <v>-0.110354507446289</v>
      </c>
      <c r="T494">
        <v>0</v>
      </c>
      <c r="U494">
        <v>166.268</v>
      </c>
      <c r="V494">
        <v>-2.1379999999999999</v>
      </c>
      <c r="W494">
        <v>0.26200000000000001</v>
      </c>
      <c r="X494">
        <v>0.74399999999999999</v>
      </c>
      <c r="Y494" t="b">
        <v>1</v>
      </c>
      <c r="Z494">
        <v>78</v>
      </c>
      <c r="AA494">
        <f t="shared" si="74"/>
        <v>16.335446166992099</v>
      </c>
      <c r="AB494">
        <f t="shared" si="72"/>
        <v>264.98992933138794</v>
      </c>
      <c r="AC494">
        <f t="shared" si="76"/>
        <v>29.105011761568143</v>
      </c>
    </row>
    <row r="495" spans="1:29" x14ac:dyDescent="0.3">
      <c r="A495">
        <f t="shared" si="73"/>
        <v>500</v>
      </c>
      <c r="B495" s="2">
        <f t="shared" si="78"/>
        <v>47.121400000378344</v>
      </c>
      <c r="C495" s="2">
        <f t="shared" si="77"/>
        <v>0.81668000000001939</v>
      </c>
      <c r="D495" s="2">
        <f t="shared" si="75"/>
        <v>12.169699400000354</v>
      </c>
      <c r="E495" s="2"/>
      <c r="F495">
        <v>2917.7732294000002</v>
      </c>
      <c r="G495">
        <v>263.25</v>
      </c>
      <c r="H495">
        <v>282.75</v>
      </c>
      <c r="I495">
        <v>262.88099999999997</v>
      </c>
      <c r="J495">
        <v>284.71499999999997</v>
      </c>
      <c r="K495">
        <v>265.124057142857</v>
      </c>
      <c r="L495">
        <v>272.39344571428501</v>
      </c>
      <c r="M495">
        <v>329.51143609203501</v>
      </c>
      <c r="N495">
        <v>0.05</v>
      </c>
      <c r="O495">
        <v>0</v>
      </c>
      <c r="P495">
        <v>0</v>
      </c>
      <c r="Q495">
        <v>0</v>
      </c>
      <c r="R495">
        <v>0.146203643798828</v>
      </c>
      <c r="S495">
        <v>-0.103376716613769</v>
      </c>
      <c r="T495">
        <v>0</v>
      </c>
      <c r="U495">
        <v>166.357</v>
      </c>
      <c r="V495">
        <v>-2.177</v>
      </c>
      <c r="W495">
        <v>0.36199999999999999</v>
      </c>
      <c r="X495">
        <v>0.74399999999999999</v>
      </c>
      <c r="Y495" t="b">
        <v>1</v>
      </c>
      <c r="Z495">
        <v>78</v>
      </c>
      <c r="AA495">
        <f t="shared" si="74"/>
        <v>14.620364379882799</v>
      </c>
      <c r="AB495">
        <f t="shared" si="72"/>
        <v>265.75967842440741</v>
      </c>
      <c r="AC495">
        <f t="shared" si="76"/>
        <v>17.331403565969222</v>
      </c>
    </row>
    <row r="496" spans="1:29" x14ac:dyDescent="0.3">
      <c r="A496">
        <f t="shared" si="73"/>
        <v>500</v>
      </c>
      <c r="B496" s="2">
        <f t="shared" si="78"/>
        <v>31.501999999818509</v>
      </c>
      <c r="C496" s="2">
        <f t="shared" si="77"/>
        <v>0.83240000000000691</v>
      </c>
      <c r="D496" s="2">
        <f t="shared" si="75"/>
        <v>12.201201400000173</v>
      </c>
      <c r="E496" s="2"/>
      <c r="F496">
        <v>2917.8047314</v>
      </c>
      <c r="G496">
        <v>263.25</v>
      </c>
      <c r="H496">
        <v>282.75</v>
      </c>
      <c r="I496">
        <v>262.63499999999999</v>
      </c>
      <c r="J496">
        <v>284.322</v>
      </c>
      <c r="K496">
        <v>264.94561714285697</v>
      </c>
      <c r="L496">
        <v>273.22584571428501</v>
      </c>
      <c r="M496">
        <v>330.34845411926</v>
      </c>
      <c r="N496">
        <v>0.05</v>
      </c>
      <c r="O496">
        <v>0</v>
      </c>
      <c r="P496">
        <v>0</v>
      </c>
      <c r="Q496">
        <v>0</v>
      </c>
      <c r="R496">
        <v>0.146203643798828</v>
      </c>
      <c r="S496">
        <v>-0.103376716613769</v>
      </c>
      <c r="T496">
        <v>0</v>
      </c>
      <c r="U496">
        <v>166.357</v>
      </c>
      <c r="V496">
        <v>-2.177</v>
      </c>
      <c r="W496">
        <v>0.36199999999999999</v>
      </c>
      <c r="X496">
        <v>0.74399999999999999</v>
      </c>
      <c r="Y496" t="b">
        <v>1</v>
      </c>
      <c r="Z496">
        <v>78</v>
      </c>
      <c r="AA496">
        <f t="shared" si="74"/>
        <v>14.620364379882799</v>
      </c>
      <c r="AB496">
        <f t="shared" si="72"/>
        <v>266.22024914309981</v>
      </c>
      <c r="AC496">
        <f t="shared" si="76"/>
        <v>26.423719129096646</v>
      </c>
    </row>
    <row r="497" spans="1:29" x14ac:dyDescent="0.3">
      <c r="A497">
        <f t="shared" si="73"/>
        <v>500</v>
      </c>
      <c r="B497" s="2">
        <f t="shared" si="78"/>
        <v>31.431299999894691</v>
      </c>
      <c r="C497" s="2">
        <f t="shared" si="77"/>
        <v>0.85336000000000922</v>
      </c>
      <c r="D497" s="2">
        <f t="shared" si="75"/>
        <v>12.232632700000067</v>
      </c>
      <c r="E497" s="2"/>
      <c r="F497">
        <v>2917.8361626999999</v>
      </c>
      <c r="G497">
        <v>263.25</v>
      </c>
      <c r="H497">
        <v>282.75</v>
      </c>
      <c r="I497">
        <v>262.512</v>
      </c>
      <c r="J497">
        <v>283.92899999999997</v>
      </c>
      <c r="K497">
        <v>264.75733714285701</v>
      </c>
      <c r="L497">
        <v>274.07920571428502</v>
      </c>
      <c r="M497">
        <v>331.20630629043302</v>
      </c>
      <c r="N497">
        <v>0.05</v>
      </c>
      <c r="O497">
        <v>0</v>
      </c>
      <c r="P497">
        <v>0</v>
      </c>
      <c r="Q497">
        <v>0</v>
      </c>
      <c r="R497">
        <v>0.130383575439453</v>
      </c>
      <c r="S497">
        <v>-7.8749267578125004E-2</v>
      </c>
      <c r="T497">
        <v>0</v>
      </c>
      <c r="U497">
        <v>166.47900000000001</v>
      </c>
      <c r="V497">
        <v>-2.161</v>
      </c>
      <c r="W497">
        <v>0.38700000000000001</v>
      </c>
      <c r="X497">
        <v>0.745</v>
      </c>
      <c r="Y497" t="b">
        <v>1</v>
      </c>
      <c r="Z497">
        <v>78</v>
      </c>
      <c r="AA497">
        <f t="shared" si="74"/>
        <v>13.038357543945301</v>
      </c>
      <c r="AB497">
        <f t="shared" si="72"/>
        <v>266.67978620203166</v>
      </c>
      <c r="AC497">
        <f t="shared" si="76"/>
        <v>27.150006522252291</v>
      </c>
    </row>
    <row r="498" spans="1:29" x14ac:dyDescent="0.3">
      <c r="A498">
        <f t="shared" si="73"/>
        <v>500</v>
      </c>
      <c r="B498" s="2">
        <f t="shared" si="78"/>
        <v>16.389599999911297</v>
      </c>
      <c r="C498" s="2">
        <f t="shared" si="77"/>
        <v>0.86907999999999674</v>
      </c>
      <c r="D498" s="2">
        <f t="shared" si="75"/>
        <v>12.249022299999979</v>
      </c>
      <c r="E498" s="2"/>
      <c r="F498">
        <v>2917.8525522999998</v>
      </c>
      <c r="G498">
        <v>263.25</v>
      </c>
      <c r="H498">
        <v>282.75</v>
      </c>
      <c r="I498">
        <v>262.26600000000002</v>
      </c>
      <c r="J498">
        <v>283.40499999999997</v>
      </c>
      <c r="K498">
        <v>264.55921714285699</v>
      </c>
      <c r="L498">
        <v>274.94828571428502</v>
      </c>
      <c r="M498">
        <v>332.07768390300203</v>
      </c>
      <c r="N498">
        <v>0.05</v>
      </c>
      <c r="O498">
        <v>0</v>
      </c>
      <c r="P498">
        <v>0</v>
      </c>
      <c r="Q498">
        <v>0</v>
      </c>
      <c r="R498">
        <v>0.130383575439453</v>
      </c>
      <c r="S498">
        <v>-7.8749267578125004E-2</v>
      </c>
      <c r="T498">
        <v>0</v>
      </c>
      <c r="U498">
        <v>166.47900000000001</v>
      </c>
      <c r="V498">
        <v>-2.161</v>
      </c>
      <c r="W498">
        <v>0.38700000000000001</v>
      </c>
      <c r="X498">
        <v>0.745</v>
      </c>
      <c r="Y498" t="b">
        <v>1</v>
      </c>
      <c r="Z498">
        <v>78</v>
      </c>
      <c r="AA498">
        <f t="shared" si="74"/>
        <v>13.038357543945301</v>
      </c>
      <c r="AB498">
        <f t="shared" si="72"/>
        <v>266.89347966683277</v>
      </c>
      <c r="AC498">
        <f t="shared" si="76"/>
        <v>53.026309367202394</v>
      </c>
    </row>
    <row r="499" spans="1:29" x14ac:dyDescent="0.3">
      <c r="A499">
        <f t="shared" si="73"/>
        <v>500</v>
      </c>
      <c r="B499" s="2">
        <f t="shared" si="78"/>
        <v>46.245200000157638</v>
      </c>
      <c r="C499" s="2">
        <f t="shared" si="77"/>
        <v>0.87955999999996948</v>
      </c>
      <c r="D499" s="2">
        <f t="shared" si="75"/>
        <v>12.295267500000136</v>
      </c>
      <c r="E499" s="2"/>
      <c r="F499">
        <v>2917.8987975</v>
      </c>
      <c r="G499">
        <v>263.25</v>
      </c>
      <c r="H499">
        <v>282.75</v>
      </c>
      <c r="I499">
        <v>262.02</v>
      </c>
      <c r="J499">
        <v>282.61900000000003</v>
      </c>
      <c r="K499">
        <v>264.35617714285701</v>
      </c>
      <c r="L499">
        <v>275.82784571428499</v>
      </c>
      <c r="M499">
        <v>332.96356547459101</v>
      </c>
      <c r="N499">
        <v>0.05</v>
      </c>
      <c r="O499">
        <v>0</v>
      </c>
      <c r="P499">
        <v>0</v>
      </c>
      <c r="Q499">
        <v>0</v>
      </c>
      <c r="R499">
        <v>0.116956031799316</v>
      </c>
      <c r="S499">
        <v>-6.7808929443359298E-2</v>
      </c>
      <c r="T499">
        <v>0</v>
      </c>
      <c r="U499">
        <v>166.53399999999999</v>
      </c>
      <c r="V499">
        <v>-2.1819999999999999</v>
      </c>
      <c r="W499">
        <v>0.28399999999999997</v>
      </c>
      <c r="X499">
        <v>0.745</v>
      </c>
      <c r="Y499" t="b">
        <v>1</v>
      </c>
      <c r="Z499">
        <v>78</v>
      </c>
      <c r="AA499">
        <f t="shared" si="74"/>
        <v>11.6956031799316</v>
      </c>
      <c r="AB499">
        <f t="shared" ref="AB499:AB562" si="79">AB498+(AA498*(D499-D498))</f>
        <v>267.49644111912608</v>
      </c>
      <c r="AC499">
        <f t="shared" si="76"/>
        <v>19.019487427818916</v>
      </c>
    </row>
    <row r="500" spans="1:29" x14ac:dyDescent="0.3">
      <c r="A500">
        <f t="shared" si="73"/>
        <v>500</v>
      </c>
      <c r="B500" s="2">
        <f t="shared" si="78"/>
        <v>15.316800000164221</v>
      </c>
      <c r="C500" s="2">
        <f t="shared" si="77"/>
        <v>0.89003999999999905</v>
      </c>
      <c r="D500" s="2">
        <f t="shared" si="75"/>
        <v>12.310584300000301</v>
      </c>
      <c r="E500" s="2"/>
      <c r="F500">
        <v>2917.9141143000002</v>
      </c>
      <c r="G500">
        <v>263.25</v>
      </c>
      <c r="H500">
        <v>282.75</v>
      </c>
      <c r="I500">
        <v>261.52800000000002</v>
      </c>
      <c r="J500">
        <v>281.964</v>
      </c>
      <c r="K500">
        <v>264.14329714285702</v>
      </c>
      <c r="L500">
        <v>276.71788571428499</v>
      </c>
      <c r="M500">
        <v>333.855647776198</v>
      </c>
      <c r="N500">
        <v>0.05</v>
      </c>
      <c r="O500">
        <v>0</v>
      </c>
      <c r="P500">
        <v>0</v>
      </c>
      <c r="Q500">
        <v>0</v>
      </c>
      <c r="R500">
        <v>0.116956031799316</v>
      </c>
      <c r="S500">
        <v>-6.7808929443359298E-2</v>
      </c>
      <c r="T500">
        <v>0</v>
      </c>
      <c r="U500">
        <v>166.53399999999999</v>
      </c>
      <c r="V500">
        <v>-2.1819999999999999</v>
      </c>
      <c r="W500">
        <v>0.28399999999999997</v>
      </c>
      <c r="X500">
        <v>0.745</v>
      </c>
      <c r="Y500" t="b">
        <v>1</v>
      </c>
      <c r="Z500">
        <v>78</v>
      </c>
      <c r="AA500">
        <f t="shared" si="74"/>
        <v>11.6956031799316</v>
      </c>
      <c r="AB500">
        <f t="shared" si="79"/>
        <v>267.67558033391435</v>
      </c>
      <c r="AC500">
        <f t="shared" si="76"/>
        <v>58.108743340022485</v>
      </c>
    </row>
    <row r="501" spans="1:29" x14ac:dyDescent="0.3">
      <c r="A501">
        <f t="shared" si="73"/>
        <v>500</v>
      </c>
      <c r="B501" s="2">
        <f t="shared" si="78"/>
        <v>30.992699999842444</v>
      </c>
      <c r="C501" s="2">
        <f t="shared" si="77"/>
        <v>1.0033942857149896</v>
      </c>
      <c r="D501" s="2">
        <f t="shared" si="75"/>
        <v>12.341577000000143</v>
      </c>
      <c r="E501" s="2"/>
      <c r="F501">
        <v>2917.945107</v>
      </c>
      <c r="G501">
        <v>259.07142857142799</v>
      </c>
      <c r="H501">
        <v>284.142857142857</v>
      </c>
      <c r="I501">
        <v>261.16242857142799</v>
      </c>
      <c r="J501">
        <v>284.01185714285702</v>
      </c>
      <c r="K501">
        <v>263.92771428571399</v>
      </c>
      <c r="L501">
        <v>277.72127999999998</v>
      </c>
      <c r="M501">
        <v>334.863098151332</v>
      </c>
      <c r="N501">
        <v>0.05</v>
      </c>
      <c r="O501">
        <v>0</v>
      </c>
      <c r="P501">
        <v>0</v>
      </c>
      <c r="Q501">
        <v>0</v>
      </c>
      <c r="R501">
        <v>0.100701805114746</v>
      </c>
      <c r="S501">
        <v>-5.9408874511718703E-2</v>
      </c>
      <c r="T501">
        <v>0</v>
      </c>
      <c r="U501">
        <v>166.54599999999999</v>
      </c>
      <c r="V501">
        <v>-2.23</v>
      </c>
      <c r="W501">
        <v>0.192</v>
      </c>
      <c r="X501">
        <v>0.74399999999999999</v>
      </c>
      <c r="Y501" t="b">
        <v>1</v>
      </c>
      <c r="Z501">
        <v>78</v>
      </c>
      <c r="AA501">
        <f t="shared" si="74"/>
        <v>10.0701805114746</v>
      </c>
      <c r="AB501">
        <f t="shared" si="79"/>
        <v>268.03805865458719</v>
      </c>
      <c r="AC501">
        <f t="shared" si="76"/>
        <v>32.375181436921935</v>
      </c>
    </row>
    <row r="502" spans="1:29" x14ac:dyDescent="0.3">
      <c r="A502">
        <f t="shared" si="73"/>
        <v>500</v>
      </c>
      <c r="B502" s="2">
        <f t="shared" si="78"/>
        <v>45.795800000178133</v>
      </c>
      <c r="C502" s="2">
        <f t="shared" si="77"/>
        <v>0.83107428571400987</v>
      </c>
      <c r="D502" s="2">
        <f t="shared" si="75"/>
        <v>12.387372800000321</v>
      </c>
      <c r="E502" s="2"/>
      <c r="F502">
        <v>2917.9909028000002</v>
      </c>
      <c r="G502">
        <v>259.07142857142799</v>
      </c>
      <c r="H502">
        <v>284.142857142857</v>
      </c>
      <c r="I502">
        <v>260.79342857142802</v>
      </c>
      <c r="J502">
        <v>283.22585714285702</v>
      </c>
      <c r="K502">
        <v>263.70657142857101</v>
      </c>
      <c r="L502">
        <v>278.55235428571399</v>
      </c>
      <c r="M502">
        <v>335.69998323399199</v>
      </c>
      <c r="N502">
        <v>0.05</v>
      </c>
      <c r="O502">
        <v>0</v>
      </c>
      <c r="P502">
        <v>0</v>
      </c>
      <c r="Q502">
        <v>0</v>
      </c>
      <c r="R502">
        <v>0.100701805114746</v>
      </c>
      <c r="S502">
        <v>-5.9408874511718703E-2</v>
      </c>
      <c r="T502">
        <v>0</v>
      </c>
      <c r="U502">
        <v>166.54599999999999</v>
      </c>
      <c r="V502">
        <v>-2.23</v>
      </c>
      <c r="W502">
        <v>0.192</v>
      </c>
      <c r="X502">
        <v>0.74399999999999999</v>
      </c>
      <c r="Y502" t="b">
        <v>1</v>
      </c>
      <c r="Z502">
        <v>78</v>
      </c>
      <c r="AA502">
        <f t="shared" si="74"/>
        <v>10.0701805114746</v>
      </c>
      <c r="AB502">
        <f t="shared" si="79"/>
        <v>268.4992306272564</v>
      </c>
      <c r="AC502">
        <f t="shared" si="76"/>
        <v>18.147390933465019</v>
      </c>
    </row>
    <row r="503" spans="1:29" x14ac:dyDescent="0.3">
      <c r="A503">
        <f t="shared" si="73"/>
        <v>500</v>
      </c>
      <c r="B503" s="2">
        <f t="shared" si="78"/>
        <v>30.637299999852985</v>
      </c>
      <c r="C503" s="2">
        <f t="shared" si="77"/>
        <v>0.52311428571402985</v>
      </c>
      <c r="D503" s="2">
        <f t="shared" si="75"/>
        <v>12.418010100000174</v>
      </c>
      <c r="E503" s="2"/>
      <c r="F503">
        <v>2918.0215401</v>
      </c>
      <c r="G503">
        <v>259.07142857142799</v>
      </c>
      <c r="H503">
        <v>284.142857142857</v>
      </c>
      <c r="I503">
        <v>260.424428571428</v>
      </c>
      <c r="J503">
        <v>282.57085714285699</v>
      </c>
      <c r="K503">
        <v>263.487468571428</v>
      </c>
      <c r="L503">
        <v>279.07546857142802</v>
      </c>
      <c r="M503">
        <v>336.226866793694</v>
      </c>
      <c r="N503">
        <v>0.05</v>
      </c>
      <c r="O503">
        <v>0</v>
      </c>
      <c r="P503">
        <v>0</v>
      </c>
      <c r="Q503">
        <v>0</v>
      </c>
      <c r="R503">
        <v>8.5059371948242105E-2</v>
      </c>
      <c r="S503">
        <v>-6.9012969970703095E-2</v>
      </c>
      <c r="T503">
        <v>0</v>
      </c>
      <c r="U503">
        <v>166.44200000000001</v>
      </c>
      <c r="V503">
        <v>-2.1789999999999998</v>
      </c>
      <c r="W503">
        <v>5.2999999999999999E-2</v>
      </c>
      <c r="X503">
        <v>0.74299999999999999</v>
      </c>
      <c r="Y503" t="b">
        <v>1</v>
      </c>
      <c r="Z503">
        <v>78</v>
      </c>
      <c r="AA503">
        <f t="shared" si="74"/>
        <v>8.5059371948242113</v>
      </c>
      <c r="AB503">
        <f t="shared" si="79"/>
        <v>268.80775376863909</v>
      </c>
      <c r="AC503">
        <f t="shared" si="76"/>
        <v>17.074425152234042</v>
      </c>
    </row>
    <row r="504" spans="1:29" x14ac:dyDescent="0.3">
      <c r="A504">
        <f t="shared" si="73"/>
        <v>500</v>
      </c>
      <c r="B504" s="2">
        <f t="shared" si="78"/>
        <v>31.68550000009418</v>
      </c>
      <c r="C504" s="2">
        <f t="shared" si="77"/>
        <v>9.1319999999996071E-2</v>
      </c>
      <c r="D504" s="2">
        <f t="shared" si="75"/>
        <v>12.449695600000268</v>
      </c>
      <c r="E504" s="2"/>
      <c r="F504">
        <v>2918.0532256000001</v>
      </c>
      <c r="G504">
        <v>253.5</v>
      </c>
      <c r="H504">
        <v>282.75</v>
      </c>
      <c r="I504">
        <v>260.142</v>
      </c>
      <c r="J504">
        <v>278.82</v>
      </c>
      <c r="K504">
        <v>263.25982857142799</v>
      </c>
      <c r="L504">
        <v>279.16678857142801</v>
      </c>
      <c r="M504">
        <v>336.32198825995198</v>
      </c>
      <c r="N504">
        <v>0.05</v>
      </c>
      <c r="O504">
        <v>0</v>
      </c>
      <c r="P504">
        <v>0</v>
      </c>
      <c r="Q504">
        <v>0</v>
      </c>
      <c r="R504">
        <v>8.5059371948242105E-2</v>
      </c>
      <c r="S504">
        <v>-6.9012969970703095E-2</v>
      </c>
      <c r="T504">
        <v>0</v>
      </c>
      <c r="U504">
        <v>166.44200000000001</v>
      </c>
      <c r="V504">
        <v>-2.1789999999999998</v>
      </c>
      <c r="W504">
        <v>5.2999999999999999E-2</v>
      </c>
      <c r="X504">
        <v>0.74299999999999999</v>
      </c>
      <c r="Y504" t="b">
        <v>1</v>
      </c>
      <c r="Z504">
        <v>78</v>
      </c>
      <c r="AA504">
        <f t="shared" si="74"/>
        <v>8.5059371948242113</v>
      </c>
      <c r="AB504">
        <f t="shared" si="79"/>
        <v>269.07726864162652</v>
      </c>
      <c r="AC504">
        <f t="shared" si="76"/>
        <v>2.8820753972550421</v>
      </c>
    </row>
    <row r="505" spans="1:29" x14ac:dyDescent="0.3">
      <c r="A505">
        <f t="shared" si="73"/>
        <v>500</v>
      </c>
      <c r="B505" s="2">
        <f t="shared" si="78"/>
        <v>31.275800000003073</v>
      </c>
      <c r="C505" s="2">
        <f t="shared" si="77"/>
        <v>0.26364000000000942</v>
      </c>
      <c r="D505" s="2">
        <f t="shared" si="75"/>
        <v>12.480971400000271</v>
      </c>
      <c r="E505" s="2"/>
      <c r="F505">
        <v>2918.0845014000001</v>
      </c>
      <c r="G505">
        <v>253.5</v>
      </c>
      <c r="H505">
        <v>284.7</v>
      </c>
      <c r="I505">
        <v>259.52699999999999</v>
      </c>
      <c r="J505">
        <v>282.47300000000001</v>
      </c>
      <c r="K505">
        <v>263.02234857142798</v>
      </c>
      <c r="L505">
        <v>279.43042857142802</v>
      </c>
      <c r="M505">
        <v>336.58928647673002</v>
      </c>
      <c r="N505">
        <v>0.05</v>
      </c>
      <c r="O505">
        <v>0</v>
      </c>
      <c r="P505">
        <v>0</v>
      </c>
      <c r="Q505">
        <v>0</v>
      </c>
      <c r="R505">
        <v>8.4474555969238196E-2</v>
      </c>
      <c r="S505">
        <v>-9.6142524719238204E-2</v>
      </c>
      <c r="T505">
        <v>0</v>
      </c>
      <c r="U505">
        <v>166.22200000000001</v>
      </c>
      <c r="V505">
        <v>-2.2919999999999998</v>
      </c>
      <c r="W505">
        <v>-0.01</v>
      </c>
      <c r="X505">
        <v>0.74399999999999999</v>
      </c>
      <c r="Y505" t="b">
        <v>1</v>
      </c>
      <c r="Z505">
        <v>78</v>
      </c>
      <c r="AA505">
        <f t="shared" si="74"/>
        <v>8.4474555969238203</v>
      </c>
      <c r="AB505">
        <f t="shared" si="79"/>
        <v>269.34329863214441</v>
      </c>
      <c r="AC505">
        <f t="shared" si="76"/>
        <v>8.4295205878021822</v>
      </c>
    </row>
    <row r="506" spans="1:29" x14ac:dyDescent="0.3">
      <c r="A506">
        <f t="shared" si="73"/>
        <v>500</v>
      </c>
      <c r="B506" s="2">
        <f t="shared" si="78"/>
        <v>32.232900000053633</v>
      </c>
      <c r="C506" s="2">
        <f t="shared" si="77"/>
        <v>0.52211999999997261</v>
      </c>
      <c r="D506" s="2">
        <f t="shared" si="75"/>
        <v>12.513204300000325</v>
      </c>
      <c r="E506" s="2"/>
      <c r="F506">
        <v>2918.1167343000002</v>
      </c>
      <c r="G506">
        <v>258.375</v>
      </c>
      <c r="H506">
        <v>287.625</v>
      </c>
      <c r="I506">
        <v>258.86700000000002</v>
      </c>
      <c r="J506">
        <v>288.27999999999997</v>
      </c>
      <c r="K506">
        <v>262.76830857142801</v>
      </c>
      <c r="L506">
        <v>279.952548571428</v>
      </c>
      <c r="M506">
        <v>337.115081295739</v>
      </c>
      <c r="N506">
        <v>0.05</v>
      </c>
      <c r="O506">
        <v>0</v>
      </c>
      <c r="P506">
        <v>0</v>
      </c>
      <c r="Q506">
        <v>0</v>
      </c>
      <c r="R506">
        <v>8.4474555969238196E-2</v>
      </c>
      <c r="S506">
        <v>-9.6142524719238204E-2</v>
      </c>
      <c r="T506">
        <v>0</v>
      </c>
      <c r="U506">
        <v>166.22200000000001</v>
      </c>
      <c r="V506">
        <v>-2.2919999999999998</v>
      </c>
      <c r="W506">
        <v>-0.01</v>
      </c>
      <c r="X506">
        <v>0.74399999999999999</v>
      </c>
      <c r="Y506" t="b">
        <v>1</v>
      </c>
      <c r="Z506">
        <v>78</v>
      </c>
      <c r="AA506">
        <f t="shared" si="74"/>
        <v>8.4474555969238203</v>
      </c>
      <c r="AB506">
        <f t="shared" si="79"/>
        <v>269.61558462365497</v>
      </c>
      <c r="AC506">
        <f t="shared" si="76"/>
        <v>16.198356337751299</v>
      </c>
    </row>
    <row r="507" spans="1:29" x14ac:dyDescent="0.3">
      <c r="A507">
        <f t="shared" si="73"/>
        <v>500</v>
      </c>
      <c r="B507" s="2">
        <f t="shared" si="78"/>
        <v>46.586299999944458</v>
      </c>
      <c r="C507" s="2">
        <f t="shared" si="77"/>
        <v>0.52212000000002945</v>
      </c>
      <c r="D507" s="2">
        <f t="shared" si="75"/>
        <v>12.559790600000269</v>
      </c>
      <c r="E507" s="2"/>
      <c r="F507">
        <v>2918.1633206000001</v>
      </c>
      <c r="G507">
        <v>258.375</v>
      </c>
      <c r="H507">
        <v>287.625</v>
      </c>
      <c r="I507">
        <v>258.375</v>
      </c>
      <c r="J507">
        <v>287.625</v>
      </c>
      <c r="K507">
        <v>262.50934857142801</v>
      </c>
      <c r="L507">
        <v>280.47466857142803</v>
      </c>
      <c r="M507">
        <v>337.642346480112</v>
      </c>
      <c r="N507">
        <v>0.05</v>
      </c>
      <c r="O507">
        <v>0</v>
      </c>
      <c r="P507">
        <v>0</v>
      </c>
      <c r="Q507">
        <v>0</v>
      </c>
      <c r="R507">
        <v>8.4274780273437502E-2</v>
      </c>
      <c r="S507">
        <v>-0.119465637207031</v>
      </c>
      <c r="T507">
        <v>0</v>
      </c>
      <c r="U507">
        <v>166.17599999999999</v>
      </c>
      <c r="V507">
        <v>-2.2570000000000001</v>
      </c>
      <c r="W507">
        <v>1.2999999999999999E-2</v>
      </c>
      <c r="X507">
        <v>0.74199999999999999</v>
      </c>
      <c r="Y507" t="b">
        <v>1</v>
      </c>
      <c r="Z507">
        <v>78</v>
      </c>
      <c r="AA507">
        <f t="shared" si="74"/>
        <v>8.4274780273437511</v>
      </c>
      <c r="AB507">
        <f t="shared" si="79"/>
        <v>270.00912032432944</v>
      </c>
      <c r="AC507">
        <f t="shared" si="76"/>
        <v>11.207586779818357</v>
      </c>
    </row>
    <row r="508" spans="1:29" x14ac:dyDescent="0.3">
      <c r="A508">
        <f t="shared" si="73"/>
        <v>500</v>
      </c>
      <c r="B508" s="2">
        <f t="shared" si="78"/>
        <v>31.295799999952578</v>
      </c>
      <c r="C508" s="2">
        <f t="shared" si="77"/>
        <v>0.94243999999997641</v>
      </c>
      <c r="D508" s="2">
        <f t="shared" si="75"/>
        <v>12.591086400000222</v>
      </c>
      <c r="E508" s="2"/>
      <c r="F508">
        <v>2918.1946164000001</v>
      </c>
      <c r="G508">
        <v>253.5</v>
      </c>
      <c r="H508">
        <v>292.5</v>
      </c>
      <c r="I508">
        <v>258.17399999999998</v>
      </c>
      <c r="J508">
        <v>297.34699999999998</v>
      </c>
      <c r="K508">
        <v>262.25710857142798</v>
      </c>
      <c r="L508">
        <v>281.417108571428</v>
      </c>
      <c r="M508">
        <v>338.58813591654899</v>
      </c>
      <c r="N508">
        <v>0.05</v>
      </c>
      <c r="O508">
        <v>0</v>
      </c>
      <c r="P508">
        <v>0</v>
      </c>
      <c r="Q508">
        <v>0</v>
      </c>
      <c r="R508">
        <v>8.4274780273437502E-2</v>
      </c>
      <c r="S508">
        <v>-0.119465637207031</v>
      </c>
      <c r="T508">
        <v>0</v>
      </c>
      <c r="U508">
        <v>166.17599999999999</v>
      </c>
      <c r="V508">
        <v>-2.2570000000000001</v>
      </c>
      <c r="W508">
        <v>1.2999999999999999E-2</v>
      </c>
      <c r="X508">
        <v>0.74199999999999999</v>
      </c>
      <c r="Y508" t="b">
        <v>1</v>
      </c>
      <c r="Z508">
        <v>78</v>
      </c>
      <c r="AA508">
        <f t="shared" si="74"/>
        <v>8.4274780273437511</v>
      </c>
      <c r="AB508">
        <f t="shared" si="79"/>
        <v>270.27286499117719</v>
      </c>
      <c r="AC508">
        <f t="shared" si="76"/>
        <v>30.113945002249647</v>
      </c>
    </row>
    <row r="509" spans="1:29" x14ac:dyDescent="0.3">
      <c r="A509">
        <f t="shared" si="73"/>
        <v>500</v>
      </c>
      <c r="B509" s="2">
        <f t="shared" si="78"/>
        <v>46.402699999816832</v>
      </c>
      <c r="C509" s="2">
        <f t="shared" si="77"/>
        <v>0.95292000000000598</v>
      </c>
      <c r="D509" s="2">
        <f t="shared" si="75"/>
        <v>12.637489100000039</v>
      </c>
      <c r="E509" s="2"/>
      <c r="F509">
        <v>2918.2410190999999</v>
      </c>
      <c r="G509">
        <v>253.5</v>
      </c>
      <c r="H509">
        <v>292.5</v>
      </c>
      <c r="I509">
        <v>257.68200000000002</v>
      </c>
      <c r="J509">
        <v>296.82299999999998</v>
      </c>
      <c r="K509">
        <v>261.99502857142801</v>
      </c>
      <c r="L509">
        <v>282.37002857142801</v>
      </c>
      <c r="M509">
        <v>339.54586909432101</v>
      </c>
      <c r="N509">
        <v>0.05</v>
      </c>
      <c r="O509">
        <v>0</v>
      </c>
      <c r="P509">
        <v>0</v>
      </c>
      <c r="Q509">
        <v>0</v>
      </c>
      <c r="R509">
        <v>6.6038757324218697E-2</v>
      </c>
      <c r="S509">
        <v>-0.112995445251464</v>
      </c>
      <c r="T509">
        <v>0</v>
      </c>
      <c r="U509">
        <v>166.24799999999999</v>
      </c>
      <c r="V509">
        <v>-2.27</v>
      </c>
      <c r="W509">
        <v>0.159</v>
      </c>
      <c r="X509">
        <v>0.74399999999999999</v>
      </c>
      <c r="Y509" t="b">
        <v>1</v>
      </c>
      <c r="Z509">
        <v>78</v>
      </c>
      <c r="AA509">
        <f t="shared" si="74"/>
        <v>6.6038757324218693</v>
      </c>
      <c r="AB509">
        <f t="shared" si="79"/>
        <v>270.66392272583505</v>
      </c>
      <c r="AC509">
        <f t="shared" si="76"/>
        <v>20.535873990172284</v>
      </c>
    </row>
    <row r="510" spans="1:29" x14ac:dyDescent="0.3">
      <c r="A510">
        <f t="shared" si="73"/>
        <v>500</v>
      </c>
      <c r="B510" s="2">
        <f t="shared" si="78"/>
        <v>14.984500000082335</v>
      </c>
      <c r="C510" s="2">
        <f t="shared" si="77"/>
        <v>0.96863999999999351</v>
      </c>
      <c r="D510" s="2">
        <f t="shared" si="75"/>
        <v>12.652473600000121</v>
      </c>
      <c r="E510" s="2"/>
      <c r="F510">
        <v>2918.2560036</v>
      </c>
      <c r="G510">
        <v>253.5</v>
      </c>
      <c r="H510">
        <v>292.5</v>
      </c>
      <c r="I510">
        <v>257.31299999999999</v>
      </c>
      <c r="J510">
        <v>296.29899999999998</v>
      </c>
      <c r="K510">
        <v>261.72802857142801</v>
      </c>
      <c r="L510">
        <v>283.338668571428</v>
      </c>
      <c r="M510">
        <v>340.51602528798202</v>
      </c>
      <c r="N510">
        <v>0.05</v>
      </c>
      <c r="O510">
        <v>0</v>
      </c>
      <c r="P510">
        <v>0</v>
      </c>
      <c r="Q510">
        <v>0</v>
      </c>
      <c r="R510">
        <v>6.6038757324218697E-2</v>
      </c>
      <c r="S510">
        <v>-0.112995445251464</v>
      </c>
      <c r="T510">
        <v>0</v>
      </c>
      <c r="U510">
        <v>166.24799999999999</v>
      </c>
      <c r="V510">
        <v>-2.27</v>
      </c>
      <c r="W510">
        <v>0.159</v>
      </c>
      <c r="X510">
        <v>0.74399999999999999</v>
      </c>
      <c r="Y510" t="b">
        <v>1</v>
      </c>
      <c r="Z510">
        <v>78</v>
      </c>
      <c r="AA510">
        <f t="shared" si="74"/>
        <v>6.6038757324218693</v>
      </c>
      <c r="AB510">
        <f t="shared" si="79"/>
        <v>270.76287850174805</v>
      </c>
      <c r="AC510">
        <f t="shared" si="76"/>
        <v>64.642797557120431</v>
      </c>
    </row>
    <row r="511" spans="1:29" x14ac:dyDescent="0.3">
      <c r="A511">
        <f t="shared" si="73"/>
        <v>500</v>
      </c>
      <c r="B511" s="2">
        <f t="shared" si="78"/>
        <v>15.526099999988219</v>
      </c>
      <c r="C511" s="2">
        <f t="shared" si="77"/>
        <v>0.98435999999998103</v>
      </c>
      <c r="D511" s="2">
        <f t="shared" si="75"/>
        <v>12.667999700000109</v>
      </c>
      <c r="E511" s="2"/>
      <c r="F511">
        <v>2918.2715297</v>
      </c>
      <c r="G511">
        <v>253.5</v>
      </c>
      <c r="H511">
        <v>292.5</v>
      </c>
      <c r="I511">
        <v>257.06700000000001</v>
      </c>
      <c r="J511">
        <v>295.90600000000001</v>
      </c>
      <c r="K511">
        <v>261.45118857142802</v>
      </c>
      <c r="L511">
        <v>284.32302857142798</v>
      </c>
      <c r="M511">
        <v>341.50193706849001</v>
      </c>
      <c r="N511">
        <v>0.05</v>
      </c>
      <c r="O511">
        <v>0</v>
      </c>
      <c r="P511">
        <v>0</v>
      </c>
      <c r="Q511">
        <v>0</v>
      </c>
      <c r="R511">
        <v>4.6249000549316403E-2</v>
      </c>
      <c r="S511">
        <v>-0.13459494018554599</v>
      </c>
      <c r="T511">
        <v>0</v>
      </c>
      <c r="U511">
        <v>166.05500000000001</v>
      </c>
      <c r="V511">
        <v>-2.34</v>
      </c>
      <c r="W511">
        <v>0</v>
      </c>
      <c r="X511">
        <v>0.746</v>
      </c>
      <c r="Y511" t="b">
        <v>1</v>
      </c>
      <c r="Z511">
        <v>78</v>
      </c>
      <c r="AA511">
        <f t="shared" si="74"/>
        <v>4.6249000549316399</v>
      </c>
      <c r="AB511">
        <f t="shared" si="79"/>
        <v>270.86541093675714</v>
      </c>
      <c r="AC511">
        <f t="shared" si="76"/>
        <v>63.400338784416434</v>
      </c>
    </row>
    <row r="512" spans="1:29" x14ac:dyDescent="0.3">
      <c r="A512">
        <f t="shared" si="73"/>
        <v>500</v>
      </c>
      <c r="B512" s="2">
        <f t="shared" si="78"/>
        <v>30.36980000024414</v>
      </c>
      <c r="C512" s="2">
        <f t="shared" si="77"/>
        <v>1.0000800000000254</v>
      </c>
      <c r="D512" s="2">
        <f t="shared" si="75"/>
        <v>12.698369500000354</v>
      </c>
      <c r="E512" s="2"/>
      <c r="F512">
        <v>2918.3018995000002</v>
      </c>
      <c r="G512">
        <v>253.5</v>
      </c>
      <c r="H512">
        <v>292.5</v>
      </c>
      <c r="I512">
        <v>256.69799999999998</v>
      </c>
      <c r="J512">
        <v>295.64400000000001</v>
      </c>
      <c r="K512">
        <v>261.15466857142798</v>
      </c>
      <c r="L512">
        <v>285.32310857142801</v>
      </c>
      <c r="M512">
        <v>342.50499680623301</v>
      </c>
      <c r="N512">
        <v>0.05</v>
      </c>
      <c r="O512">
        <v>0</v>
      </c>
      <c r="P512">
        <v>0</v>
      </c>
      <c r="Q512">
        <v>0</v>
      </c>
      <c r="R512">
        <v>4.6249000549316403E-2</v>
      </c>
      <c r="S512">
        <v>-0.13459494018554599</v>
      </c>
      <c r="T512">
        <v>0</v>
      </c>
      <c r="U512">
        <v>166.05500000000001</v>
      </c>
      <c r="V512">
        <v>-2.34</v>
      </c>
      <c r="W512">
        <v>0</v>
      </c>
      <c r="X512">
        <v>0.746</v>
      </c>
      <c r="Y512" t="b">
        <v>1</v>
      </c>
      <c r="Z512">
        <v>78</v>
      </c>
      <c r="AA512">
        <f t="shared" si="74"/>
        <v>4.6249000549316399</v>
      </c>
      <c r="AB512">
        <f t="shared" si="79"/>
        <v>271.00586822644652</v>
      </c>
      <c r="AC512">
        <f t="shared" si="76"/>
        <v>32.930081857371</v>
      </c>
    </row>
    <row r="513" spans="1:29" x14ac:dyDescent="0.3">
      <c r="A513">
        <f t="shared" si="73"/>
        <v>500</v>
      </c>
      <c r="B513" s="2">
        <f t="shared" si="78"/>
        <v>47.218399999565008</v>
      </c>
      <c r="C513" s="2">
        <f t="shared" si="77"/>
        <v>1.0210399999999709</v>
      </c>
      <c r="D513" s="2">
        <f t="shared" si="75"/>
        <v>12.745587899999919</v>
      </c>
      <c r="E513" s="2"/>
      <c r="F513">
        <v>2918.3491178999998</v>
      </c>
      <c r="G513">
        <v>253.5</v>
      </c>
      <c r="H513">
        <v>292.5</v>
      </c>
      <c r="I513">
        <v>256.57499999999999</v>
      </c>
      <c r="J513">
        <v>295.25099999999998</v>
      </c>
      <c r="K513">
        <v>260.84830857142799</v>
      </c>
      <c r="L513">
        <v>286.34414857142798</v>
      </c>
      <c r="M513">
        <v>343.53052706365003</v>
      </c>
      <c r="N513">
        <v>0.05</v>
      </c>
      <c r="O513">
        <v>0</v>
      </c>
      <c r="P513">
        <v>0</v>
      </c>
      <c r="Q513">
        <v>0</v>
      </c>
      <c r="R513">
        <v>5.7886898040771399E-2</v>
      </c>
      <c r="S513">
        <v>-0.112752769470214</v>
      </c>
      <c r="T513">
        <v>0</v>
      </c>
      <c r="U513">
        <v>166.13</v>
      </c>
      <c r="V513">
        <v>-2.581</v>
      </c>
      <c r="W513">
        <v>0.23</v>
      </c>
      <c r="X513">
        <v>0.748</v>
      </c>
      <c r="Y513" t="b">
        <v>1</v>
      </c>
      <c r="Z513">
        <v>78</v>
      </c>
      <c r="AA513">
        <f t="shared" si="74"/>
        <v>5.7886898040771397</v>
      </c>
      <c r="AB513">
        <f t="shared" si="79"/>
        <v>271.22424860719832</v>
      </c>
      <c r="AC513">
        <f t="shared" si="76"/>
        <v>21.623773783300091</v>
      </c>
    </row>
    <row r="514" spans="1:29" x14ac:dyDescent="0.3">
      <c r="A514">
        <f t="shared" si="73"/>
        <v>500</v>
      </c>
      <c r="B514" s="2">
        <f t="shared" si="78"/>
        <v>31.123800000386836</v>
      </c>
      <c r="C514" s="2">
        <f t="shared" si="77"/>
        <v>1.0367600000000152</v>
      </c>
      <c r="D514" s="2">
        <f t="shared" si="75"/>
        <v>12.776711700000305</v>
      </c>
      <c r="E514" s="2"/>
      <c r="F514">
        <v>2918.3802417000002</v>
      </c>
      <c r="G514">
        <v>253.5</v>
      </c>
      <c r="H514">
        <v>292.5</v>
      </c>
      <c r="I514">
        <v>256.32900000000001</v>
      </c>
      <c r="J514">
        <v>294.858</v>
      </c>
      <c r="K514">
        <v>260.53210857142801</v>
      </c>
      <c r="L514">
        <v>287.38090857142799</v>
      </c>
      <c r="M514">
        <v>344.57015463429002</v>
      </c>
      <c r="N514">
        <v>0.05</v>
      </c>
      <c r="O514">
        <v>0</v>
      </c>
      <c r="P514">
        <v>0</v>
      </c>
      <c r="Q514">
        <v>0</v>
      </c>
      <c r="R514">
        <v>5.7886898040771399E-2</v>
      </c>
      <c r="S514">
        <v>-0.112752769470214</v>
      </c>
      <c r="T514">
        <v>0</v>
      </c>
      <c r="U514">
        <v>166.13</v>
      </c>
      <c r="V514">
        <v>-2.581</v>
      </c>
      <c r="W514">
        <v>0.23</v>
      </c>
      <c r="X514">
        <v>0.748</v>
      </c>
      <c r="Y514" t="b">
        <v>1</v>
      </c>
      <c r="Z514">
        <v>78</v>
      </c>
      <c r="AA514">
        <f t="shared" si="74"/>
        <v>5.7886898040771397</v>
      </c>
      <c r="AB514">
        <f t="shared" si="79"/>
        <v>271.40441463092469</v>
      </c>
      <c r="AC514">
        <f t="shared" si="76"/>
        <v>33.310842505964224</v>
      </c>
    </row>
    <row r="515" spans="1:29" x14ac:dyDescent="0.3">
      <c r="A515">
        <f t="shared" si="73"/>
        <v>500</v>
      </c>
      <c r="B515" s="2">
        <f t="shared" si="78"/>
        <v>32.113299999764422</v>
      </c>
      <c r="C515" s="2">
        <f t="shared" si="77"/>
        <v>0.5252399999999966</v>
      </c>
      <c r="D515" s="2">
        <f t="shared" si="75"/>
        <v>12.80882500000007</v>
      </c>
      <c r="E515" s="2"/>
      <c r="F515">
        <v>2918.4123549999999</v>
      </c>
      <c r="G515">
        <v>253.5</v>
      </c>
      <c r="H515">
        <v>292.5</v>
      </c>
      <c r="I515">
        <v>256.08300000000003</v>
      </c>
      <c r="J515">
        <v>294.596</v>
      </c>
      <c r="K515">
        <v>260.19546857142802</v>
      </c>
      <c r="L515">
        <v>287.90614857142799</v>
      </c>
      <c r="M515">
        <v>345.09827886241698</v>
      </c>
      <c r="N515">
        <v>0.05</v>
      </c>
      <c r="O515">
        <v>0</v>
      </c>
      <c r="P515">
        <v>0</v>
      </c>
      <c r="Q515">
        <v>0</v>
      </c>
      <c r="R515">
        <v>5.1397579193115203E-2</v>
      </c>
      <c r="S515">
        <v>-0.108997245788574</v>
      </c>
      <c r="T515">
        <v>0</v>
      </c>
      <c r="U515">
        <v>166.102</v>
      </c>
      <c r="V515">
        <v>-2.5049999999999999</v>
      </c>
      <c r="W515">
        <v>0.31900000000000001</v>
      </c>
      <c r="X515">
        <v>0.745</v>
      </c>
      <c r="Y515" t="b">
        <v>1</v>
      </c>
      <c r="Z515">
        <v>78</v>
      </c>
      <c r="AA515">
        <f t="shared" si="74"/>
        <v>5.1397579193115206</v>
      </c>
      <c r="AB515">
        <f t="shared" si="79"/>
        <v>271.59030856320862</v>
      </c>
      <c r="AC515">
        <f t="shared" si="76"/>
        <v>16.355840103752953</v>
      </c>
    </row>
    <row r="516" spans="1:29" x14ac:dyDescent="0.3">
      <c r="A516">
        <f t="shared" si="73"/>
        <v>500</v>
      </c>
      <c r="B516" s="2">
        <f t="shared" si="78"/>
        <v>31.103300000268064</v>
      </c>
      <c r="C516" s="2">
        <f t="shared" si="77"/>
        <v>0.38807428571402625</v>
      </c>
      <c r="D516" s="2">
        <f t="shared" si="75"/>
        <v>12.839928300000338</v>
      </c>
      <c r="E516" s="2"/>
      <c r="F516">
        <v>2918.4434583000002</v>
      </c>
      <c r="G516">
        <v>253.5</v>
      </c>
      <c r="H516">
        <v>292.5</v>
      </c>
      <c r="I516">
        <v>255.714</v>
      </c>
      <c r="J516">
        <v>294.334</v>
      </c>
      <c r="K516">
        <v>259.849611428571</v>
      </c>
      <c r="L516">
        <v>288.29422285714202</v>
      </c>
      <c r="M516">
        <v>345.48907632848199</v>
      </c>
      <c r="N516">
        <v>0.05</v>
      </c>
      <c r="O516">
        <v>0</v>
      </c>
      <c r="P516">
        <v>0</v>
      </c>
      <c r="Q516">
        <v>0</v>
      </c>
      <c r="R516">
        <v>5.1397579193115203E-2</v>
      </c>
      <c r="S516">
        <v>-0.108997245788574</v>
      </c>
      <c r="T516">
        <v>0</v>
      </c>
      <c r="U516">
        <v>166.102</v>
      </c>
      <c r="V516">
        <v>-2.5049999999999999</v>
      </c>
      <c r="W516">
        <v>0.31900000000000001</v>
      </c>
      <c r="X516">
        <v>0.745</v>
      </c>
      <c r="Y516" t="b">
        <v>1</v>
      </c>
      <c r="Z516">
        <v>78</v>
      </c>
      <c r="AA516">
        <f t="shared" si="74"/>
        <v>5.1397579193115206</v>
      </c>
      <c r="AB516">
        <f t="shared" si="79"/>
        <v>271.75017199570175</v>
      </c>
      <c r="AC516">
        <f t="shared" si="76"/>
        <v>12.476948931807287</v>
      </c>
    </row>
    <row r="517" spans="1:29" x14ac:dyDescent="0.3">
      <c r="A517">
        <f t="shared" si="73"/>
        <v>500</v>
      </c>
      <c r="B517" s="2">
        <f t="shared" si="78"/>
        <v>30.91309999990699</v>
      </c>
      <c r="C517" s="2">
        <f t="shared" si="77"/>
        <v>0.2904399999999896</v>
      </c>
      <c r="D517" s="2">
        <f t="shared" si="75"/>
        <v>12.870841400000245</v>
      </c>
      <c r="E517" s="2"/>
      <c r="F517">
        <v>2918.4743714000001</v>
      </c>
      <c r="G517">
        <v>253.5</v>
      </c>
      <c r="H517">
        <v>292.5</v>
      </c>
      <c r="I517">
        <v>255.345</v>
      </c>
      <c r="J517">
        <v>294.072</v>
      </c>
      <c r="K517">
        <v>259.49405142857103</v>
      </c>
      <c r="L517">
        <v>288.58466285714201</v>
      </c>
      <c r="M517">
        <v>345.78215599228503</v>
      </c>
      <c r="N517">
        <v>0.05</v>
      </c>
      <c r="O517">
        <v>0</v>
      </c>
      <c r="P517">
        <v>0</v>
      </c>
      <c r="Q517">
        <v>0</v>
      </c>
      <c r="R517">
        <v>5.2345703124999997E-2</v>
      </c>
      <c r="S517">
        <v>-9.9641479492187504E-2</v>
      </c>
      <c r="T517">
        <v>0</v>
      </c>
      <c r="U517">
        <v>166.113</v>
      </c>
      <c r="V517">
        <v>-2.5539999999999998</v>
      </c>
      <c r="W517">
        <v>0.48399999999999999</v>
      </c>
      <c r="X517">
        <v>0.746</v>
      </c>
      <c r="Y517" t="b">
        <v>1</v>
      </c>
      <c r="Z517">
        <v>78</v>
      </c>
      <c r="AA517">
        <f t="shared" si="74"/>
        <v>5.2345703124999998</v>
      </c>
      <c r="AB517">
        <f t="shared" si="79"/>
        <v>271.90905784623675</v>
      </c>
      <c r="AC517">
        <f t="shared" si="76"/>
        <v>9.3953696006179737</v>
      </c>
    </row>
    <row r="518" spans="1:29" x14ac:dyDescent="0.3">
      <c r="A518">
        <f t="shared" si="73"/>
        <v>500</v>
      </c>
      <c r="B518" s="2">
        <f t="shared" si="78"/>
        <v>48.222399999758636</v>
      </c>
      <c r="C518" s="2">
        <f t="shared" si="77"/>
        <v>0.30615999999997712</v>
      </c>
      <c r="D518" s="2">
        <f t="shared" si="75"/>
        <v>12.919063800000004</v>
      </c>
      <c r="E518" s="2"/>
      <c r="F518">
        <v>2918.5225937999999</v>
      </c>
      <c r="G518">
        <v>253.5</v>
      </c>
      <c r="H518">
        <v>292.5</v>
      </c>
      <c r="I518">
        <v>254.976</v>
      </c>
      <c r="J518">
        <v>293.81</v>
      </c>
      <c r="K518">
        <v>259.138491428571</v>
      </c>
      <c r="L518">
        <v>288.89082285714198</v>
      </c>
      <c r="M518">
        <v>346.09230448156399</v>
      </c>
      <c r="N518">
        <v>0.05</v>
      </c>
      <c r="O518">
        <v>0</v>
      </c>
      <c r="P518">
        <v>0</v>
      </c>
      <c r="Q518">
        <v>0</v>
      </c>
      <c r="R518">
        <v>5.2345703124999997E-2</v>
      </c>
      <c r="S518">
        <v>-9.9641479492187504E-2</v>
      </c>
      <c r="T518">
        <v>0</v>
      </c>
      <c r="U518">
        <v>166.113</v>
      </c>
      <c r="V518">
        <v>-2.5539999999999998</v>
      </c>
      <c r="W518">
        <v>0.48399999999999999</v>
      </c>
      <c r="X518">
        <v>0.746</v>
      </c>
      <c r="Y518" t="b">
        <v>1</v>
      </c>
      <c r="Z518">
        <v>78</v>
      </c>
      <c r="AA518">
        <f t="shared" si="74"/>
        <v>5.2345703124999998</v>
      </c>
      <c r="AB518">
        <f t="shared" si="79"/>
        <v>272.16148138967299</v>
      </c>
      <c r="AC518">
        <f t="shared" si="76"/>
        <v>6.3489166860527373</v>
      </c>
    </row>
    <row r="519" spans="1:29" x14ac:dyDescent="0.3">
      <c r="A519">
        <f t="shared" ref="A519:A582" si="80">N519*10000</f>
        <v>500</v>
      </c>
      <c r="B519" s="2">
        <f t="shared" si="78"/>
        <v>31.508600000051956</v>
      </c>
      <c r="C519" s="2">
        <f t="shared" si="77"/>
        <v>0.32712000000003627</v>
      </c>
      <c r="D519" s="2">
        <f t="shared" si="75"/>
        <v>12.950572400000055</v>
      </c>
      <c r="E519" s="2"/>
      <c r="F519">
        <v>2918.5541023999999</v>
      </c>
      <c r="G519">
        <v>253.5</v>
      </c>
      <c r="H519">
        <v>292.5</v>
      </c>
      <c r="I519">
        <v>254.48400000000001</v>
      </c>
      <c r="J519">
        <v>293.548</v>
      </c>
      <c r="K519">
        <v>258.78293142857098</v>
      </c>
      <c r="L519">
        <v>289.21794285714202</v>
      </c>
      <c r="M519">
        <v>346.42194799791997</v>
      </c>
      <c r="N519">
        <v>0.05</v>
      </c>
      <c r="O519">
        <v>0</v>
      </c>
      <c r="P519">
        <v>0</v>
      </c>
      <c r="Q519">
        <v>0</v>
      </c>
      <c r="R519">
        <v>4.8980262756347599E-2</v>
      </c>
      <c r="S519">
        <v>-8.5199424743652302E-2</v>
      </c>
      <c r="T519">
        <v>0</v>
      </c>
      <c r="U519">
        <v>166.125</v>
      </c>
      <c r="V519">
        <v>-2.6</v>
      </c>
      <c r="W519">
        <v>0.39800000000000002</v>
      </c>
      <c r="X519">
        <v>0.747</v>
      </c>
      <c r="Y519" t="b">
        <v>1</v>
      </c>
      <c r="Z519">
        <v>78</v>
      </c>
      <c r="AA519">
        <f t="shared" ref="AA519:AA582" si="81">R519*100</f>
        <v>4.8980262756347601</v>
      </c>
      <c r="AB519">
        <f t="shared" si="79"/>
        <v>272.32641537182167</v>
      </c>
      <c r="AC519">
        <f t="shared" si="76"/>
        <v>10.381927473753098</v>
      </c>
    </row>
    <row r="520" spans="1:29" x14ac:dyDescent="0.3">
      <c r="A520">
        <f t="shared" si="80"/>
        <v>500</v>
      </c>
      <c r="B520" s="2">
        <f t="shared" si="78"/>
        <v>31.029700000090088</v>
      </c>
      <c r="C520" s="2">
        <f t="shared" si="77"/>
        <v>0.34283999999996695</v>
      </c>
      <c r="D520" s="2">
        <f t="shared" ref="D520:D583" si="82">F520-$F$7</f>
        <v>12.981602100000146</v>
      </c>
      <c r="E520" s="2"/>
      <c r="F520">
        <v>2918.5851321</v>
      </c>
      <c r="G520">
        <v>253.5</v>
      </c>
      <c r="H520">
        <v>292.5</v>
      </c>
      <c r="I520">
        <v>253.869</v>
      </c>
      <c r="J520">
        <v>293.286</v>
      </c>
      <c r="K520">
        <v>258.42245142857098</v>
      </c>
      <c r="L520">
        <v>289.56078285714199</v>
      </c>
      <c r="M520">
        <v>346.76721125270302</v>
      </c>
      <c r="N520">
        <v>0.05</v>
      </c>
      <c r="O520">
        <v>0</v>
      </c>
      <c r="P520">
        <v>0</v>
      </c>
      <c r="Q520">
        <v>0</v>
      </c>
      <c r="R520">
        <v>4.8980262756347599E-2</v>
      </c>
      <c r="S520">
        <v>-8.5199424743652302E-2</v>
      </c>
      <c r="T520">
        <v>0</v>
      </c>
      <c r="U520">
        <v>166.125</v>
      </c>
      <c r="V520">
        <v>-2.6</v>
      </c>
      <c r="W520">
        <v>0.39800000000000002</v>
      </c>
      <c r="X520">
        <v>0.747</v>
      </c>
      <c r="Y520" t="b">
        <v>1</v>
      </c>
      <c r="Z520">
        <v>78</v>
      </c>
      <c r="AA520">
        <f t="shared" si="81"/>
        <v>4.8980262756347601</v>
      </c>
      <c r="AB520">
        <f t="shared" si="79"/>
        <v>272.47839965774716</v>
      </c>
      <c r="AC520">
        <f t="shared" ref="AC520:AC583" si="83">IF((L520-L519)/(D520-D519)&lt;100,IF((L520-L519)/(D520-D519)&gt;(-1*20),(L520-L519)/(D520-D519),AC519))</f>
        <v>11.048769404762908</v>
      </c>
    </row>
    <row r="521" spans="1:29" x14ac:dyDescent="0.3">
      <c r="A521">
        <f t="shared" si="80"/>
        <v>500</v>
      </c>
      <c r="B521" s="2">
        <f t="shared" si="78"/>
        <v>30.576999999993859</v>
      </c>
      <c r="C521" s="2">
        <f t="shared" ref="C521:C584" si="84">L521-L520</f>
        <v>0.34808000000003858</v>
      </c>
      <c r="D521" s="2">
        <f t="shared" si="82"/>
        <v>13.012179100000139</v>
      </c>
      <c r="E521" s="2"/>
      <c r="F521">
        <v>2918.6157091</v>
      </c>
      <c r="G521">
        <v>253.5</v>
      </c>
      <c r="H521">
        <v>292.5</v>
      </c>
      <c r="I521">
        <v>253.37700000000001</v>
      </c>
      <c r="J521">
        <v>293.024</v>
      </c>
      <c r="K521">
        <v>258.05213142857099</v>
      </c>
      <c r="L521">
        <v>289.90886285714203</v>
      </c>
      <c r="M521">
        <v>347.11762054546699</v>
      </c>
      <c r="N521">
        <v>0.05</v>
      </c>
      <c r="O521">
        <v>0</v>
      </c>
      <c r="P521">
        <v>0</v>
      </c>
      <c r="Q521">
        <v>0</v>
      </c>
      <c r="R521">
        <v>5.4105857849121003E-2</v>
      </c>
      <c r="S521">
        <v>-8.7675949096679598E-2</v>
      </c>
      <c r="T521">
        <v>0</v>
      </c>
      <c r="U521">
        <v>166.066</v>
      </c>
      <c r="V521">
        <v>-2.722</v>
      </c>
      <c r="W521">
        <v>0.22800000000000001</v>
      </c>
      <c r="X521">
        <v>0.749</v>
      </c>
      <c r="Y521" t="b">
        <v>1</v>
      </c>
      <c r="Z521">
        <v>78</v>
      </c>
      <c r="AA521">
        <f t="shared" si="81"/>
        <v>5.4105857849121</v>
      </c>
      <c r="AB521">
        <f t="shared" si="79"/>
        <v>272.62816660717721</v>
      </c>
      <c r="AC521">
        <f t="shared" si="83"/>
        <v>11.383719789387726</v>
      </c>
    </row>
    <row r="522" spans="1:29" x14ac:dyDescent="0.3">
      <c r="A522">
        <f t="shared" si="80"/>
        <v>500</v>
      </c>
      <c r="B522" s="2">
        <f t="shared" si="78"/>
        <v>31.578999999965163</v>
      </c>
      <c r="C522" s="2">
        <f t="shared" si="84"/>
        <v>0.35855999999995447</v>
      </c>
      <c r="D522" s="2">
        <f t="shared" si="82"/>
        <v>13.043758100000105</v>
      </c>
      <c r="E522" s="2"/>
      <c r="F522">
        <v>2918.6472881</v>
      </c>
      <c r="G522">
        <v>253.5</v>
      </c>
      <c r="H522">
        <v>292.5</v>
      </c>
      <c r="I522">
        <v>252.762</v>
      </c>
      <c r="J522">
        <v>292.89299999999997</v>
      </c>
      <c r="K522">
        <v>257.662131428571</v>
      </c>
      <c r="L522">
        <v>290.26742285714198</v>
      </c>
      <c r="M522">
        <v>347.478526610887</v>
      </c>
      <c r="N522">
        <v>0.05</v>
      </c>
      <c r="O522">
        <v>0</v>
      </c>
      <c r="P522">
        <v>0</v>
      </c>
      <c r="Q522">
        <v>0</v>
      </c>
      <c r="R522">
        <v>5.4105857849121003E-2</v>
      </c>
      <c r="S522">
        <v>-8.7675949096679598E-2</v>
      </c>
      <c r="T522">
        <v>0</v>
      </c>
      <c r="U522">
        <v>166.066</v>
      </c>
      <c r="V522">
        <v>-2.722</v>
      </c>
      <c r="W522">
        <v>0.22800000000000001</v>
      </c>
      <c r="X522">
        <v>0.749</v>
      </c>
      <c r="Y522" t="b">
        <v>1</v>
      </c>
      <c r="Z522">
        <v>78</v>
      </c>
      <c r="AA522">
        <f t="shared" si="81"/>
        <v>5.4105857849121</v>
      </c>
      <c r="AB522">
        <f t="shared" si="79"/>
        <v>272.79902749567873</v>
      </c>
      <c r="AC522">
        <f t="shared" si="83"/>
        <v>11.354381076042625</v>
      </c>
    </row>
    <row r="523" spans="1:29" x14ac:dyDescent="0.3">
      <c r="A523">
        <f t="shared" si="80"/>
        <v>500</v>
      </c>
      <c r="B523" s="2">
        <f t="shared" si="78"/>
        <v>30.605500000092434</v>
      </c>
      <c r="C523" s="2">
        <f t="shared" si="84"/>
        <v>0.37427999999999884</v>
      </c>
      <c r="D523" s="2">
        <f t="shared" si="82"/>
        <v>13.074363600000197</v>
      </c>
      <c r="E523" s="2"/>
      <c r="F523">
        <v>2918.6778936000001</v>
      </c>
      <c r="G523">
        <v>253.5</v>
      </c>
      <c r="H523">
        <v>292.5</v>
      </c>
      <c r="I523">
        <v>252.27</v>
      </c>
      <c r="J523">
        <v>292.762</v>
      </c>
      <c r="K523">
        <v>257.26229142857102</v>
      </c>
      <c r="L523">
        <v>290.64170285714198</v>
      </c>
      <c r="M523">
        <v>347.85502402764598</v>
      </c>
      <c r="N523">
        <v>0.05</v>
      </c>
      <c r="O523">
        <v>0</v>
      </c>
      <c r="P523">
        <v>0</v>
      </c>
      <c r="Q523">
        <v>0</v>
      </c>
      <c r="R523">
        <v>7.8053062438964801E-2</v>
      </c>
      <c r="S523">
        <v>-0.101939292907714</v>
      </c>
      <c r="T523">
        <v>0</v>
      </c>
      <c r="U523">
        <v>165.99100000000001</v>
      </c>
      <c r="V523">
        <v>-2.8260000000000001</v>
      </c>
      <c r="W523">
        <v>0.126</v>
      </c>
      <c r="X523">
        <v>0.749</v>
      </c>
      <c r="Y523" t="b">
        <v>1</v>
      </c>
      <c r="Z523">
        <v>78</v>
      </c>
      <c r="AA523">
        <f t="shared" si="81"/>
        <v>7.8053062438964798</v>
      </c>
      <c r="AB523">
        <f t="shared" si="79"/>
        <v>272.96462117891934</v>
      </c>
      <c r="AC523">
        <f t="shared" si="83"/>
        <v>12.229174494743377</v>
      </c>
    </row>
    <row r="524" spans="1:29" x14ac:dyDescent="0.3">
      <c r="A524">
        <f t="shared" si="80"/>
        <v>500</v>
      </c>
      <c r="B524" s="2">
        <f t="shared" si="78"/>
        <v>15.781999999944674</v>
      </c>
      <c r="C524" s="2">
        <f t="shared" si="84"/>
        <v>0.40572000000003072</v>
      </c>
      <c r="D524" s="2">
        <f t="shared" si="82"/>
        <v>13.090145600000142</v>
      </c>
      <c r="E524" s="2"/>
      <c r="F524">
        <v>2918.6936756</v>
      </c>
      <c r="G524">
        <v>253.5</v>
      </c>
      <c r="H524">
        <v>292.5</v>
      </c>
      <c r="I524">
        <v>251.77799999999999</v>
      </c>
      <c r="J524">
        <v>292.762</v>
      </c>
      <c r="K524">
        <v>256.85261142857098</v>
      </c>
      <c r="L524">
        <v>291.04742285714201</v>
      </c>
      <c r="M524">
        <v>348.261866242069</v>
      </c>
      <c r="N524">
        <v>0.05</v>
      </c>
      <c r="O524">
        <v>0</v>
      </c>
      <c r="P524">
        <v>0</v>
      </c>
      <c r="Q524">
        <v>0</v>
      </c>
      <c r="R524">
        <v>7.8053062438964801E-2</v>
      </c>
      <c r="S524">
        <v>-0.101939292907714</v>
      </c>
      <c r="T524">
        <v>0</v>
      </c>
      <c r="U524">
        <v>165.99100000000001</v>
      </c>
      <c r="V524">
        <v>-2.8260000000000001</v>
      </c>
      <c r="W524">
        <v>0.126</v>
      </c>
      <c r="X524">
        <v>0.749</v>
      </c>
      <c r="Y524" t="b">
        <v>1</v>
      </c>
      <c r="Z524">
        <v>78</v>
      </c>
      <c r="AA524">
        <f t="shared" si="81"/>
        <v>7.8053062438964798</v>
      </c>
      <c r="AB524">
        <f t="shared" si="79"/>
        <v>273.08780452206008</v>
      </c>
      <c r="AC524">
        <f t="shared" si="83"/>
        <v>25.707768343774745</v>
      </c>
    </row>
    <row r="525" spans="1:29" x14ac:dyDescent="0.3">
      <c r="A525">
        <f t="shared" si="80"/>
        <v>500</v>
      </c>
      <c r="B525" s="2">
        <f t="shared" si="78"/>
        <v>31.42470000011599</v>
      </c>
      <c r="C525" s="2">
        <f t="shared" si="84"/>
        <v>0.43191999999999098</v>
      </c>
      <c r="D525" s="2">
        <f t="shared" si="82"/>
        <v>13.121570300000258</v>
      </c>
      <c r="E525" s="2"/>
      <c r="F525">
        <v>2918.7251003000001</v>
      </c>
      <c r="G525">
        <v>253.5</v>
      </c>
      <c r="H525">
        <v>292.5</v>
      </c>
      <c r="I525">
        <v>251.286</v>
      </c>
      <c r="J525">
        <v>292.762</v>
      </c>
      <c r="K525">
        <v>256.442931428571</v>
      </c>
      <c r="L525">
        <v>291.479342857142</v>
      </c>
      <c r="M525">
        <v>348.69597866430303</v>
      </c>
      <c r="N525">
        <v>0.05</v>
      </c>
      <c r="O525">
        <v>0</v>
      </c>
      <c r="P525">
        <v>0</v>
      </c>
      <c r="Q525">
        <v>0</v>
      </c>
      <c r="R525">
        <v>9.2193557739257803E-2</v>
      </c>
      <c r="S525">
        <v>-9.13684310913086E-2</v>
      </c>
      <c r="T525">
        <v>0</v>
      </c>
      <c r="U525">
        <v>166.154</v>
      </c>
      <c r="V525">
        <v>-2.6560000000000001</v>
      </c>
      <c r="W525">
        <v>0.218</v>
      </c>
      <c r="X525">
        <v>0.754</v>
      </c>
      <c r="Y525" t="b">
        <v>1</v>
      </c>
      <c r="Z525">
        <v>78</v>
      </c>
      <c r="AA525">
        <f t="shared" si="81"/>
        <v>9.2193557739257805</v>
      </c>
      <c r="AB525">
        <f t="shared" si="79"/>
        <v>273.33308392918354</v>
      </c>
      <c r="AC525">
        <f t="shared" si="83"/>
        <v>13.744602175944296</v>
      </c>
    </row>
    <row r="526" spans="1:29" x14ac:dyDescent="0.3">
      <c r="A526">
        <f t="shared" si="80"/>
        <v>500</v>
      </c>
      <c r="B526" s="2">
        <f t="shared" si="78"/>
        <v>46.581699999933335</v>
      </c>
      <c r="C526" s="2">
        <f t="shared" si="84"/>
        <v>0.35000571428599869</v>
      </c>
      <c r="D526" s="2">
        <f t="shared" si="82"/>
        <v>13.168152000000191</v>
      </c>
      <c r="E526" s="2"/>
      <c r="F526">
        <v>2918.7716820000001</v>
      </c>
      <c r="G526">
        <v>253.5</v>
      </c>
      <c r="H526">
        <v>292.5</v>
      </c>
      <c r="I526">
        <v>250.548</v>
      </c>
      <c r="J526">
        <v>292.762</v>
      </c>
      <c r="K526">
        <v>256.018354285714</v>
      </c>
      <c r="L526">
        <v>291.829348571428</v>
      </c>
      <c r="M526">
        <v>349.04913370390602</v>
      </c>
      <c r="N526">
        <v>0.05</v>
      </c>
      <c r="O526">
        <v>0</v>
      </c>
      <c r="P526">
        <v>0</v>
      </c>
      <c r="Q526">
        <v>0</v>
      </c>
      <c r="R526">
        <v>9.2193557739257803E-2</v>
      </c>
      <c r="S526">
        <v>-9.13684310913086E-2</v>
      </c>
      <c r="T526">
        <v>0</v>
      </c>
      <c r="U526">
        <v>166.154</v>
      </c>
      <c r="V526">
        <v>-2.6560000000000001</v>
      </c>
      <c r="W526">
        <v>0.218</v>
      </c>
      <c r="X526">
        <v>0.754</v>
      </c>
      <c r="Y526" t="b">
        <v>1</v>
      </c>
      <c r="Z526">
        <v>78</v>
      </c>
      <c r="AA526">
        <f t="shared" si="81"/>
        <v>9.2193557739257805</v>
      </c>
      <c r="AB526">
        <f t="shared" si="79"/>
        <v>273.76253719403724</v>
      </c>
      <c r="AC526">
        <f t="shared" si="83"/>
        <v>7.5138029373444848</v>
      </c>
    </row>
    <row r="527" spans="1:29" x14ac:dyDescent="0.3">
      <c r="A527">
        <f t="shared" si="80"/>
        <v>500</v>
      </c>
      <c r="B527" s="2">
        <f t="shared" si="78"/>
        <v>30.731299999843031</v>
      </c>
      <c r="C527" s="2">
        <f t="shared" si="84"/>
        <v>0.37620571428601579</v>
      </c>
      <c r="D527" s="2">
        <f t="shared" si="82"/>
        <v>13.198883300000034</v>
      </c>
      <c r="E527" s="2"/>
      <c r="F527">
        <v>2918.8024132999999</v>
      </c>
      <c r="G527">
        <v>253.5</v>
      </c>
      <c r="H527">
        <v>292.5</v>
      </c>
      <c r="I527">
        <v>249.93299999999999</v>
      </c>
      <c r="J527">
        <v>292.63099999999997</v>
      </c>
      <c r="K527">
        <v>255.583937142857</v>
      </c>
      <c r="L527">
        <v>292.20555428571402</v>
      </c>
      <c r="M527">
        <v>349.427353260068</v>
      </c>
      <c r="N527">
        <v>0.05</v>
      </c>
      <c r="O527">
        <v>0</v>
      </c>
      <c r="P527">
        <v>0</v>
      </c>
      <c r="Q527">
        <v>0</v>
      </c>
      <c r="R527">
        <v>4.6215789794921802E-2</v>
      </c>
      <c r="S527">
        <v>-8.0420120239257806E-2</v>
      </c>
      <c r="T527">
        <v>0</v>
      </c>
      <c r="U527">
        <v>166.25299999999999</v>
      </c>
      <c r="V527">
        <v>-2.3380000000000001</v>
      </c>
      <c r="W527">
        <v>0.318</v>
      </c>
      <c r="X527">
        <v>0.754</v>
      </c>
      <c r="Y527" t="b">
        <v>1</v>
      </c>
      <c r="Z527">
        <v>78</v>
      </c>
      <c r="AA527">
        <f t="shared" si="81"/>
        <v>4.6215789794921802</v>
      </c>
      <c r="AB527">
        <f t="shared" si="79"/>
        <v>274.04585998213105</v>
      </c>
      <c r="AC527">
        <f t="shared" si="83"/>
        <v>12.241776764664605</v>
      </c>
    </row>
    <row r="528" spans="1:29" x14ac:dyDescent="0.3">
      <c r="A528">
        <f t="shared" si="80"/>
        <v>500</v>
      </c>
      <c r="B528" s="2">
        <f t="shared" si="78"/>
        <v>30.371900000318419</v>
      </c>
      <c r="C528" s="2">
        <f t="shared" si="84"/>
        <v>0.39716571428596126</v>
      </c>
      <c r="D528" s="2">
        <f t="shared" si="82"/>
        <v>13.229255200000352</v>
      </c>
      <c r="E528" s="2"/>
      <c r="F528">
        <v>2918.8327852000002</v>
      </c>
      <c r="G528">
        <v>253.5</v>
      </c>
      <c r="H528">
        <v>292.5</v>
      </c>
      <c r="I528">
        <v>249.441</v>
      </c>
      <c r="J528">
        <v>292.5</v>
      </c>
      <c r="K528">
        <v>255.1446</v>
      </c>
      <c r="L528">
        <v>292.60271999999998</v>
      </c>
      <c r="M528">
        <v>349.82646080955402</v>
      </c>
      <c r="N528">
        <v>0.05</v>
      </c>
      <c r="O528">
        <v>0</v>
      </c>
      <c r="P528">
        <v>0</v>
      </c>
      <c r="Q528">
        <v>0</v>
      </c>
      <c r="R528">
        <v>4.6215789794921802E-2</v>
      </c>
      <c r="S528">
        <v>-8.0420120239257806E-2</v>
      </c>
      <c r="T528">
        <v>0</v>
      </c>
      <c r="U528">
        <v>166.25299999999999</v>
      </c>
      <c r="V528">
        <v>-2.3380000000000001</v>
      </c>
      <c r="W528">
        <v>0.318</v>
      </c>
      <c r="X528">
        <v>0.754</v>
      </c>
      <c r="Y528" t="b">
        <v>1</v>
      </c>
      <c r="Z528">
        <v>78</v>
      </c>
      <c r="AA528">
        <f t="shared" si="81"/>
        <v>4.6215789794921802</v>
      </c>
      <c r="AB528">
        <f t="shared" si="79"/>
        <v>274.18622611673976</v>
      </c>
      <c r="AC528">
        <f t="shared" si="83"/>
        <v>13.076749043747588</v>
      </c>
    </row>
    <row r="529" spans="1:29" x14ac:dyDescent="0.3">
      <c r="A529">
        <f t="shared" si="80"/>
        <v>500</v>
      </c>
      <c r="B529" s="2">
        <f t="shared" si="78"/>
        <v>47.464099999615428</v>
      </c>
      <c r="C529" s="2">
        <f t="shared" si="84"/>
        <v>0.54196000000001732</v>
      </c>
      <c r="D529" s="2">
        <f t="shared" si="82"/>
        <v>13.276719299999968</v>
      </c>
      <c r="E529" s="2"/>
      <c r="F529">
        <v>2918.8802492999998</v>
      </c>
      <c r="G529">
        <v>253.5</v>
      </c>
      <c r="H529">
        <v>292.5</v>
      </c>
      <c r="I529">
        <v>248.82599999999999</v>
      </c>
      <c r="J529">
        <v>292.36900000000003</v>
      </c>
      <c r="K529">
        <v>254.69195999999999</v>
      </c>
      <c r="L529">
        <v>293.14467999999999</v>
      </c>
      <c r="M529">
        <v>350.37136175104501</v>
      </c>
      <c r="N529">
        <v>0.05</v>
      </c>
      <c r="O529">
        <v>0</v>
      </c>
      <c r="P529">
        <v>0</v>
      </c>
      <c r="Q529">
        <v>0</v>
      </c>
      <c r="R529">
        <v>7.9851631164550699E-2</v>
      </c>
      <c r="S529">
        <v>-0.11514086151123</v>
      </c>
      <c r="T529">
        <v>0</v>
      </c>
      <c r="U529">
        <v>165.94499999999999</v>
      </c>
      <c r="V529">
        <v>-2.4700000000000002</v>
      </c>
      <c r="W529">
        <v>0.14399999999999999</v>
      </c>
      <c r="X529">
        <v>0.75800000000000001</v>
      </c>
      <c r="Y529" t="b">
        <v>1</v>
      </c>
      <c r="Z529">
        <v>78</v>
      </c>
      <c r="AA529">
        <f t="shared" si="81"/>
        <v>7.9851631164550696</v>
      </c>
      <c r="AB529">
        <f t="shared" si="79"/>
        <v>274.40558520357848</v>
      </c>
      <c r="AC529">
        <f t="shared" si="83"/>
        <v>11.418314052186989</v>
      </c>
    </row>
    <row r="530" spans="1:29" x14ac:dyDescent="0.3">
      <c r="A530">
        <f t="shared" si="80"/>
        <v>500</v>
      </c>
      <c r="B530" s="2">
        <f t="shared" si="78"/>
        <v>15.896700000212149</v>
      </c>
      <c r="C530" s="2">
        <f t="shared" si="84"/>
        <v>0.39060000000000628</v>
      </c>
      <c r="D530" s="2">
        <f t="shared" si="82"/>
        <v>13.29261600000018</v>
      </c>
      <c r="E530" s="2"/>
      <c r="F530">
        <v>2918.896146</v>
      </c>
      <c r="G530">
        <v>253.5</v>
      </c>
      <c r="H530">
        <v>292.5</v>
      </c>
      <c r="I530">
        <v>247.965</v>
      </c>
      <c r="J530">
        <v>292.238</v>
      </c>
      <c r="K530">
        <v>254.22948</v>
      </c>
      <c r="L530">
        <v>293.53528</v>
      </c>
      <c r="M530">
        <v>350.762921826384</v>
      </c>
      <c r="N530">
        <v>0.05</v>
      </c>
      <c r="O530">
        <v>0</v>
      </c>
      <c r="P530">
        <v>0</v>
      </c>
      <c r="Q530">
        <v>0</v>
      </c>
      <c r="R530">
        <v>7.9851631164550699E-2</v>
      </c>
      <c r="S530">
        <v>-0.11514086151123</v>
      </c>
      <c r="T530">
        <v>0</v>
      </c>
      <c r="U530">
        <v>165.94499999999999</v>
      </c>
      <c r="V530">
        <v>-2.4700000000000002</v>
      </c>
      <c r="W530">
        <v>0.14399999999999999</v>
      </c>
      <c r="X530">
        <v>0.75800000000000001</v>
      </c>
      <c r="Y530" t="b">
        <v>1</v>
      </c>
      <c r="Z530">
        <v>78</v>
      </c>
      <c r="AA530">
        <f t="shared" si="81"/>
        <v>7.9851631164550696</v>
      </c>
      <c r="AB530">
        <f t="shared" si="79"/>
        <v>274.53252294609354</v>
      </c>
      <c r="AC530">
        <f t="shared" si="83"/>
        <v>24.571137405549173</v>
      </c>
    </row>
    <row r="531" spans="1:29" x14ac:dyDescent="0.3">
      <c r="A531">
        <f t="shared" si="80"/>
        <v>500</v>
      </c>
      <c r="B531" s="2">
        <f t="shared" si="78"/>
        <v>46.220799999900919</v>
      </c>
      <c r="C531" s="2">
        <f t="shared" si="84"/>
        <v>0.15307999999998856</v>
      </c>
      <c r="D531" s="2">
        <f t="shared" si="82"/>
        <v>13.338836800000081</v>
      </c>
      <c r="E531" s="2"/>
      <c r="F531">
        <v>2918.9423667999999</v>
      </c>
      <c r="G531">
        <v>253.5</v>
      </c>
      <c r="H531">
        <v>292.5</v>
      </c>
      <c r="I531">
        <v>247.71899999999999</v>
      </c>
      <c r="J531">
        <v>292.10700000000003</v>
      </c>
      <c r="K531">
        <v>253.78355999999999</v>
      </c>
      <c r="L531">
        <v>293.68835999999999</v>
      </c>
      <c r="M531">
        <v>350.91872438054401</v>
      </c>
      <c r="N531">
        <v>0.05</v>
      </c>
      <c r="O531">
        <v>0</v>
      </c>
      <c r="P531">
        <v>0</v>
      </c>
      <c r="Q531">
        <v>0</v>
      </c>
      <c r="R531">
        <v>9.1176063537597593E-2</v>
      </c>
      <c r="S531">
        <v>-0.16791574096679601</v>
      </c>
      <c r="T531">
        <v>0</v>
      </c>
      <c r="U531">
        <v>165.702</v>
      </c>
      <c r="V531">
        <v>-2.3439999999999999</v>
      </c>
      <c r="W531">
        <v>0.14699999999999999</v>
      </c>
      <c r="X531">
        <v>0.754</v>
      </c>
      <c r="Y531" t="b">
        <v>1</v>
      </c>
      <c r="Z531">
        <v>78</v>
      </c>
      <c r="AA531">
        <f t="shared" si="81"/>
        <v>9.1176063537597596</v>
      </c>
      <c r="AB531">
        <f t="shared" si="79"/>
        <v>274.90160357346576</v>
      </c>
      <c r="AC531">
        <f t="shared" si="83"/>
        <v>3.311928828586193</v>
      </c>
    </row>
    <row r="532" spans="1:29" x14ac:dyDescent="0.3">
      <c r="A532">
        <f t="shared" si="80"/>
        <v>500</v>
      </c>
      <c r="B532" s="2">
        <f t="shared" si="78"/>
        <v>30.629599999883794</v>
      </c>
      <c r="C532" s="2">
        <f t="shared" si="84"/>
        <v>0.17928000000000566</v>
      </c>
      <c r="D532" s="2">
        <f t="shared" si="82"/>
        <v>13.369466399999965</v>
      </c>
      <c r="E532" s="2"/>
      <c r="F532">
        <v>2918.9729963999998</v>
      </c>
      <c r="G532">
        <v>253.5</v>
      </c>
      <c r="H532">
        <v>292.5</v>
      </c>
      <c r="I532">
        <v>247.47300000000001</v>
      </c>
      <c r="J532">
        <v>292.10700000000003</v>
      </c>
      <c r="K532">
        <v>253.34747999999999</v>
      </c>
      <c r="L532">
        <v>293.86763999999999</v>
      </c>
      <c r="M532">
        <v>351.09975343768099</v>
      </c>
      <c r="N532">
        <v>0.05</v>
      </c>
      <c r="O532">
        <v>0</v>
      </c>
      <c r="P532">
        <v>0</v>
      </c>
      <c r="Q532">
        <v>0</v>
      </c>
      <c r="R532">
        <v>9.1176063537597593E-2</v>
      </c>
      <c r="S532">
        <v>-0.16791574096679601</v>
      </c>
      <c r="T532">
        <v>0</v>
      </c>
      <c r="U532">
        <v>165.702</v>
      </c>
      <c r="V532">
        <v>-2.3439999999999999</v>
      </c>
      <c r="W532">
        <v>0.14699999999999999</v>
      </c>
      <c r="X532">
        <v>0.754</v>
      </c>
      <c r="Y532" t="b">
        <v>1</v>
      </c>
      <c r="Z532">
        <v>78</v>
      </c>
      <c r="AA532">
        <f t="shared" si="81"/>
        <v>9.1176063537597596</v>
      </c>
      <c r="AB532">
        <f t="shared" si="79"/>
        <v>275.18087220903783</v>
      </c>
      <c r="AC532">
        <f t="shared" si="83"/>
        <v>5.8531616475790029</v>
      </c>
    </row>
    <row r="533" spans="1:29" x14ac:dyDescent="0.3">
      <c r="A533">
        <f t="shared" si="80"/>
        <v>0</v>
      </c>
      <c r="B533" s="2">
        <f t="shared" si="78"/>
        <v>31.361400000150752</v>
      </c>
      <c r="C533" s="2">
        <f t="shared" si="84"/>
        <v>-293.86763999999999</v>
      </c>
      <c r="D533" s="2">
        <f t="shared" si="82"/>
        <v>13.400827800000116</v>
      </c>
      <c r="E533" s="2"/>
      <c r="F533">
        <v>2919.0043578</v>
      </c>
      <c r="G533" t="s">
        <v>39</v>
      </c>
      <c r="H533" t="s">
        <v>45</v>
      </c>
      <c r="AA533">
        <f t="shared" si="81"/>
        <v>0</v>
      </c>
      <c r="AB533">
        <f t="shared" si="79"/>
        <v>275.46681310894201</v>
      </c>
      <c r="AC533">
        <f t="shared" si="83"/>
        <v>5.8531616475790029</v>
      </c>
    </row>
    <row r="534" spans="1:29" x14ac:dyDescent="0.3">
      <c r="A534">
        <f t="shared" si="80"/>
        <v>0</v>
      </c>
      <c r="B534" s="2">
        <f t="shared" ref="B534:B597" si="85">(F534-F533)*1000</f>
        <v>0</v>
      </c>
      <c r="C534" s="2">
        <f t="shared" si="84"/>
        <v>293.65279999999899</v>
      </c>
      <c r="D534" s="2">
        <f t="shared" si="82"/>
        <v>13.400827800000116</v>
      </c>
      <c r="E534" s="2"/>
      <c r="F534">
        <v>2919.0043578</v>
      </c>
      <c r="G534">
        <v>253.5</v>
      </c>
      <c r="H534">
        <v>292.5</v>
      </c>
      <c r="I534">
        <v>247.10400000000001</v>
      </c>
      <c r="J534">
        <v>291.976</v>
      </c>
      <c r="K534">
        <v>252.90468000000001</v>
      </c>
      <c r="L534">
        <v>293.65279999999899</v>
      </c>
      <c r="M534">
        <v>351.09975343768099</v>
      </c>
      <c r="N534">
        <v>0</v>
      </c>
      <c r="O534">
        <v>0</v>
      </c>
      <c r="P534">
        <v>0</v>
      </c>
      <c r="Q534">
        <v>0</v>
      </c>
      <c r="R534">
        <v>0.111044738769531</v>
      </c>
      <c r="S534">
        <v>-0.13233575439453099</v>
      </c>
      <c r="T534">
        <v>0</v>
      </c>
      <c r="U534">
        <v>165.78899999999999</v>
      </c>
      <c r="V534">
        <v>-2.1520000000000001</v>
      </c>
      <c r="W534">
        <v>0.38100000000000001</v>
      </c>
      <c r="X534">
        <v>0.752</v>
      </c>
      <c r="Y534" t="b">
        <v>1</v>
      </c>
      <c r="Z534">
        <v>78</v>
      </c>
      <c r="AA534">
        <f t="shared" si="81"/>
        <v>11.104473876953099</v>
      </c>
      <c r="AB534">
        <f t="shared" si="79"/>
        <v>275.46681310894201</v>
      </c>
      <c r="AC534" t="e">
        <f t="shared" si="83"/>
        <v>#DIV/0!</v>
      </c>
    </row>
    <row r="535" spans="1:29" x14ac:dyDescent="0.3">
      <c r="A535">
        <f t="shared" si="80"/>
        <v>0</v>
      </c>
      <c r="B535" s="2">
        <f t="shared" si="85"/>
        <v>30.730200000107288</v>
      </c>
      <c r="C535" s="2">
        <f t="shared" si="84"/>
        <v>-0.1938799999990124</v>
      </c>
      <c r="D535" s="2">
        <f t="shared" si="82"/>
        <v>13.431558000000223</v>
      </c>
      <c r="E535" s="2"/>
      <c r="F535">
        <v>2919.0350880000001</v>
      </c>
      <c r="G535">
        <v>253.5</v>
      </c>
      <c r="H535">
        <v>292.5</v>
      </c>
      <c r="I535">
        <v>246.858</v>
      </c>
      <c r="J535">
        <v>291.976</v>
      </c>
      <c r="K535">
        <v>252.47172</v>
      </c>
      <c r="L535">
        <v>293.45891999999998</v>
      </c>
      <c r="M535">
        <v>351.09975343768099</v>
      </c>
      <c r="N535">
        <v>0</v>
      </c>
      <c r="O535">
        <v>0</v>
      </c>
      <c r="P535">
        <v>0</v>
      </c>
      <c r="Q535">
        <v>0</v>
      </c>
      <c r="R535">
        <v>0.111044738769531</v>
      </c>
      <c r="S535">
        <v>-0.13233575439453099</v>
      </c>
      <c r="T535">
        <v>0</v>
      </c>
      <c r="U535">
        <v>165.78899999999999</v>
      </c>
      <c r="V535">
        <v>-2.1520000000000001</v>
      </c>
      <c r="W535">
        <v>0.38100000000000001</v>
      </c>
      <c r="X535">
        <v>0.752</v>
      </c>
      <c r="Y535" t="b">
        <v>1</v>
      </c>
      <c r="Z535">
        <v>78</v>
      </c>
      <c r="AA535">
        <f t="shared" si="81"/>
        <v>11.104473876953099</v>
      </c>
      <c r="AB535">
        <f t="shared" si="79"/>
        <v>275.80805581207676</v>
      </c>
      <c r="AC535">
        <f t="shared" si="83"/>
        <v>-6.3091030972247335</v>
      </c>
    </row>
    <row r="536" spans="1:29" x14ac:dyDescent="0.3">
      <c r="A536">
        <f t="shared" si="80"/>
        <v>0</v>
      </c>
      <c r="B536" s="2">
        <f t="shared" si="85"/>
        <v>31.623999999737862</v>
      </c>
      <c r="C536" s="2">
        <f t="shared" si="84"/>
        <v>-0.183400000000006</v>
      </c>
      <c r="D536" s="2">
        <f t="shared" si="82"/>
        <v>13.463181999999961</v>
      </c>
      <c r="E536" s="2"/>
      <c r="F536">
        <v>2919.0667119999998</v>
      </c>
      <c r="G536">
        <v>253.5</v>
      </c>
      <c r="H536">
        <v>292.5</v>
      </c>
      <c r="I536">
        <v>246.36599999999899</v>
      </c>
      <c r="J536">
        <v>291.714</v>
      </c>
      <c r="K536">
        <v>252.03384</v>
      </c>
      <c r="L536">
        <v>293.27551999999997</v>
      </c>
      <c r="M536">
        <v>351.09975343768099</v>
      </c>
      <c r="N536">
        <v>0</v>
      </c>
      <c r="O536">
        <v>0</v>
      </c>
      <c r="P536">
        <v>0</v>
      </c>
      <c r="Q536">
        <v>0</v>
      </c>
      <c r="R536">
        <v>0.12190435028076101</v>
      </c>
      <c r="S536">
        <v>-0.117373092651367</v>
      </c>
      <c r="T536">
        <v>0</v>
      </c>
      <c r="U536">
        <v>165.75299999999999</v>
      </c>
      <c r="V536">
        <v>-1.9570000000000001</v>
      </c>
      <c r="W536">
        <v>0.28399999999999997</v>
      </c>
      <c r="X536">
        <v>0.75</v>
      </c>
      <c r="Y536" t="b">
        <v>1</v>
      </c>
      <c r="Z536">
        <v>78</v>
      </c>
      <c r="AA536">
        <f t="shared" si="81"/>
        <v>12.1904350280761</v>
      </c>
      <c r="AB536">
        <f t="shared" si="79"/>
        <v>276.15922369395861</v>
      </c>
      <c r="AC536">
        <f t="shared" si="83"/>
        <v>-5.7993928662258485</v>
      </c>
    </row>
    <row r="537" spans="1:29" x14ac:dyDescent="0.3">
      <c r="A537">
        <f t="shared" si="80"/>
        <v>0</v>
      </c>
      <c r="B537" s="2">
        <f t="shared" si="85"/>
        <v>30.517300000155956</v>
      </c>
      <c r="C537" s="2">
        <f t="shared" si="84"/>
        <v>-0.17291999999997643</v>
      </c>
      <c r="D537" s="2">
        <f t="shared" si="82"/>
        <v>13.493699300000117</v>
      </c>
      <c r="E537" s="2"/>
      <c r="F537">
        <v>2919.0972293</v>
      </c>
      <c r="G537">
        <v>253.5</v>
      </c>
      <c r="H537">
        <v>292.5</v>
      </c>
      <c r="I537">
        <v>245.874</v>
      </c>
      <c r="J537">
        <v>291.58300000000003</v>
      </c>
      <c r="K537">
        <v>251.58611999999999</v>
      </c>
      <c r="L537">
        <v>293.1026</v>
      </c>
      <c r="M537">
        <v>351.09975343768099</v>
      </c>
      <c r="N537">
        <v>0</v>
      </c>
      <c r="O537">
        <v>0</v>
      </c>
      <c r="P537">
        <v>0</v>
      </c>
      <c r="Q537">
        <v>0</v>
      </c>
      <c r="R537">
        <v>0.12190435028076101</v>
      </c>
      <c r="S537">
        <v>-0.117373092651367</v>
      </c>
      <c r="T537">
        <v>0</v>
      </c>
      <c r="U537">
        <v>165.75299999999999</v>
      </c>
      <c r="V537">
        <v>-1.9570000000000001</v>
      </c>
      <c r="W537">
        <v>0.28399999999999997</v>
      </c>
      <c r="X537">
        <v>0.75</v>
      </c>
      <c r="Y537" t="b">
        <v>1</v>
      </c>
      <c r="Z537">
        <v>78</v>
      </c>
      <c r="AA537">
        <f t="shared" si="81"/>
        <v>12.1904350280761</v>
      </c>
      <c r="AB537">
        <f t="shared" si="79"/>
        <v>276.53124285684282</v>
      </c>
      <c r="AC537">
        <f t="shared" si="83"/>
        <v>-5.6662942003090944</v>
      </c>
    </row>
    <row r="538" spans="1:29" x14ac:dyDescent="0.3">
      <c r="A538">
        <f t="shared" si="80"/>
        <v>0</v>
      </c>
      <c r="B538" s="2">
        <f t="shared" si="85"/>
        <v>30.736100000012812</v>
      </c>
      <c r="C538" s="2">
        <f t="shared" si="84"/>
        <v>-0.18864000000002079</v>
      </c>
      <c r="D538" s="2">
        <f t="shared" si="82"/>
        <v>13.524435400000129</v>
      </c>
      <c r="E538" s="2"/>
      <c r="F538">
        <v>2919.1279654</v>
      </c>
      <c r="G538">
        <v>243.75</v>
      </c>
      <c r="H538">
        <v>292.5</v>
      </c>
      <c r="I538">
        <v>245.595</v>
      </c>
      <c r="J538">
        <v>290.928</v>
      </c>
      <c r="K538">
        <v>251.142</v>
      </c>
      <c r="L538">
        <v>292.91395999999997</v>
      </c>
      <c r="M538">
        <v>351.09975343768099</v>
      </c>
      <c r="N538">
        <v>0</v>
      </c>
      <c r="O538">
        <v>0</v>
      </c>
      <c r="P538">
        <v>0</v>
      </c>
      <c r="Q538">
        <v>0</v>
      </c>
      <c r="R538">
        <v>0.12190435028076101</v>
      </c>
      <c r="S538">
        <v>-0.117373092651367</v>
      </c>
      <c r="T538">
        <v>0</v>
      </c>
      <c r="U538">
        <v>165.75299999999999</v>
      </c>
      <c r="V538">
        <v>-1.9570000000000001</v>
      </c>
      <c r="W538">
        <v>0.28399999999999997</v>
      </c>
      <c r="X538">
        <v>0.75</v>
      </c>
      <c r="Y538" t="b">
        <v>1</v>
      </c>
      <c r="Z538">
        <v>78</v>
      </c>
      <c r="AA538">
        <f t="shared" si="81"/>
        <v>12.1904350280761</v>
      </c>
      <c r="AB538">
        <f t="shared" si="79"/>
        <v>276.90592928690944</v>
      </c>
      <c r="AC538">
        <f t="shared" si="83"/>
        <v>-6.1374084545515588</v>
      </c>
    </row>
    <row r="539" spans="1:29" x14ac:dyDescent="0.3">
      <c r="A539">
        <f t="shared" si="80"/>
        <v>0</v>
      </c>
      <c r="B539" s="2">
        <f t="shared" si="85"/>
        <v>31.755200000134209</v>
      </c>
      <c r="C539" s="2">
        <f t="shared" si="84"/>
        <v>-0.18864000000098713</v>
      </c>
      <c r="D539" s="2">
        <f t="shared" si="82"/>
        <v>13.556190600000264</v>
      </c>
      <c r="E539" s="2"/>
      <c r="F539">
        <v>2919.1597206000001</v>
      </c>
      <c r="G539">
        <v>243.75</v>
      </c>
      <c r="H539">
        <v>292.5</v>
      </c>
      <c r="I539">
        <v>245.10300000000001</v>
      </c>
      <c r="J539">
        <v>290.53500000000003</v>
      </c>
      <c r="K539">
        <v>250.68312</v>
      </c>
      <c r="L539">
        <v>292.72531999999899</v>
      </c>
      <c r="M539">
        <v>351.09975343768099</v>
      </c>
      <c r="N539">
        <v>0</v>
      </c>
      <c r="O539">
        <v>0</v>
      </c>
      <c r="P539">
        <v>0</v>
      </c>
      <c r="Q539">
        <v>0</v>
      </c>
      <c r="R539">
        <v>0.116409767150878</v>
      </c>
      <c r="S539">
        <v>-8.9724105834960904E-2</v>
      </c>
      <c r="T539">
        <v>0</v>
      </c>
      <c r="U539">
        <v>165.785</v>
      </c>
      <c r="V539">
        <v>-1.7150000000000001</v>
      </c>
      <c r="W539">
        <v>0.159</v>
      </c>
      <c r="X539">
        <v>0.747</v>
      </c>
      <c r="Y539" t="b">
        <v>1</v>
      </c>
      <c r="Z539">
        <v>78</v>
      </c>
      <c r="AA539">
        <f t="shared" si="81"/>
        <v>11.640976715087801</v>
      </c>
      <c r="AB539">
        <f t="shared" si="79"/>
        <v>277.29303898931465</v>
      </c>
      <c r="AC539">
        <f t="shared" si="83"/>
        <v>-5.9404443996633578</v>
      </c>
    </row>
    <row r="540" spans="1:29" x14ac:dyDescent="0.3">
      <c r="A540">
        <f t="shared" si="80"/>
        <v>0</v>
      </c>
      <c r="B540" s="2">
        <f t="shared" si="85"/>
        <v>47.468799999933253</v>
      </c>
      <c r="C540" s="2">
        <f t="shared" si="84"/>
        <v>-0.18863999999996395</v>
      </c>
      <c r="D540" s="2">
        <f t="shared" si="82"/>
        <v>13.603659400000197</v>
      </c>
      <c r="E540" s="2"/>
      <c r="F540">
        <v>2919.2071894000001</v>
      </c>
      <c r="G540">
        <v>243.75</v>
      </c>
      <c r="H540">
        <v>292.5</v>
      </c>
      <c r="I540">
        <v>244.61099999999999</v>
      </c>
      <c r="J540">
        <v>290.142</v>
      </c>
      <c r="K540">
        <v>250.21440000000001</v>
      </c>
      <c r="L540">
        <v>292.53667999999902</v>
      </c>
      <c r="M540">
        <v>351.09975343768099</v>
      </c>
      <c r="N540">
        <v>0</v>
      </c>
      <c r="O540">
        <v>0</v>
      </c>
      <c r="P540">
        <v>0</v>
      </c>
      <c r="Q540">
        <v>0</v>
      </c>
      <c r="R540">
        <v>0.111335220336914</v>
      </c>
      <c r="S540">
        <v>-0.113912185668945</v>
      </c>
      <c r="T540">
        <v>0</v>
      </c>
      <c r="U540">
        <v>165.67</v>
      </c>
      <c r="V540">
        <v>-1.377</v>
      </c>
      <c r="W540">
        <v>-0.187</v>
      </c>
      <c r="X540">
        <v>0.745</v>
      </c>
      <c r="Y540" t="b">
        <v>1</v>
      </c>
      <c r="Z540">
        <v>78</v>
      </c>
      <c r="AA540">
        <f t="shared" si="81"/>
        <v>11.133522033691399</v>
      </c>
      <c r="AB540">
        <f t="shared" si="79"/>
        <v>277.84562218480704</v>
      </c>
      <c r="AC540">
        <f t="shared" si="83"/>
        <v>-3.9739786975914537</v>
      </c>
    </row>
    <row r="541" spans="1:29" x14ac:dyDescent="0.3">
      <c r="A541">
        <f t="shared" si="80"/>
        <v>0</v>
      </c>
      <c r="B541" s="2">
        <f t="shared" si="85"/>
        <v>31.278399999791873</v>
      </c>
      <c r="C541" s="2">
        <f t="shared" si="84"/>
        <v>-0.18864000000002079</v>
      </c>
      <c r="D541" s="2">
        <f t="shared" si="82"/>
        <v>13.634937799999989</v>
      </c>
      <c r="E541" s="2"/>
      <c r="F541">
        <v>2919.2384677999999</v>
      </c>
      <c r="G541">
        <v>243.75</v>
      </c>
      <c r="H541">
        <v>292.5</v>
      </c>
      <c r="I541">
        <v>244.119</v>
      </c>
      <c r="J541">
        <v>289.88</v>
      </c>
      <c r="K541">
        <v>249.73584</v>
      </c>
      <c r="L541">
        <v>292.348039999999</v>
      </c>
      <c r="M541">
        <v>351.09975343768099</v>
      </c>
      <c r="N541">
        <v>0</v>
      </c>
      <c r="O541">
        <v>0</v>
      </c>
      <c r="P541">
        <v>0</v>
      </c>
      <c r="Q541">
        <v>0</v>
      </c>
      <c r="R541">
        <v>0.111335220336914</v>
      </c>
      <c r="S541">
        <v>-0.113912185668945</v>
      </c>
      <c r="T541">
        <v>0</v>
      </c>
      <c r="U541">
        <v>165.67</v>
      </c>
      <c r="V541">
        <v>-1.377</v>
      </c>
      <c r="W541">
        <v>-0.187</v>
      </c>
      <c r="X541">
        <v>0.745</v>
      </c>
      <c r="Y541" t="b">
        <v>1</v>
      </c>
      <c r="Z541">
        <v>78</v>
      </c>
      <c r="AA541">
        <f t="shared" si="81"/>
        <v>11.133522033691399</v>
      </c>
      <c r="AB541">
        <f t="shared" si="79"/>
        <v>278.19386094038333</v>
      </c>
      <c r="AC541">
        <f t="shared" si="83"/>
        <v>-6.0309990281240733</v>
      </c>
    </row>
    <row r="542" spans="1:29" x14ac:dyDescent="0.3">
      <c r="A542">
        <f t="shared" si="80"/>
        <v>0</v>
      </c>
      <c r="B542" s="2">
        <f t="shared" si="85"/>
        <v>14.752900000075897</v>
      </c>
      <c r="C542" s="2">
        <f t="shared" si="84"/>
        <v>-0.183400000000006</v>
      </c>
      <c r="D542" s="2">
        <f t="shared" si="82"/>
        <v>13.649690700000065</v>
      </c>
      <c r="E542" s="2"/>
      <c r="F542">
        <v>2919.2532206999999</v>
      </c>
      <c r="G542">
        <v>243.75</v>
      </c>
      <c r="H542">
        <v>292.5</v>
      </c>
      <c r="I542">
        <v>243.62700000000001</v>
      </c>
      <c r="J542">
        <v>289.74900000000002</v>
      </c>
      <c r="K542">
        <v>249.25236000000001</v>
      </c>
      <c r="L542">
        <v>292.164639999999</v>
      </c>
      <c r="M542">
        <v>351.09975343768099</v>
      </c>
      <c r="N542">
        <v>0</v>
      </c>
      <c r="O542">
        <v>0</v>
      </c>
      <c r="P542">
        <v>0</v>
      </c>
      <c r="Q542">
        <v>0</v>
      </c>
      <c r="R542">
        <v>0.115158714294433</v>
      </c>
      <c r="S542">
        <v>-0.114224807739257</v>
      </c>
      <c r="T542">
        <v>0</v>
      </c>
      <c r="U542">
        <v>165.71299999999999</v>
      </c>
      <c r="V542">
        <v>-0.98599999999999999</v>
      </c>
      <c r="W542">
        <v>-0.109</v>
      </c>
      <c r="X542">
        <v>0.748</v>
      </c>
      <c r="Y542" t="b">
        <v>1</v>
      </c>
      <c r="Z542">
        <v>78</v>
      </c>
      <c r="AA542">
        <f t="shared" si="81"/>
        <v>11.515871429443299</v>
      </c>
      <c r="AB542">
        <f t="shared" si="79"/>
        <v>278.35811267759505</v>
      </c>
      <c r="AC542">
        <f t="shared" si="83"/>
        <v>-12.431454154712801</v>
      </c>
    </row>
    <row r="543" spans="1:29" x14ac:dyDescent="0.3">
      <c r="A543">
        <f t="shared" si="80"/>
        <v>0</v>
      </c>
      <c r="B543" s="2">
        <f t="shared" si="85"/>
        <v>32.004000000142696</v>
      </c>
      <c r="C543" s="2">
        <f t="shared" si="84"/>
        <v>-0.183400000000006</v>
      </c>
      <c r="D543" s="2">
        <f t="shared" si="82"/>
        <v>13.681694700000207</v>
      </c>
      <c r="E543" s="2"/>
      <c r="F543">
        <v>2919.2852247000001</v>
      </c>
      <c r="G543">
        <v>243.75</v>
      </c>
      <c r="H543">
        <v>292.5</v>
      </c>
      <c r="I543">
        <v>243.25800000000001</v>
      </c>
      <c r="J543">
        <v>289.48700000000002</v>
      </c>
      <c r="K543">
        <v>248.76888</v>
      </c>
      <c r="L543">
        <v>291.98123999999899</v>
      </c>
      <c r="M543">
        <v>351.09975343768099</v>
      </c>
      <c r="N543">
        <v>0</v>
      </c>
      <c r="O543">
        <v>0</v>
      </c>
      <c r="P543">
        <v>0</v>
      </c>
      <c r="Q543">
        <v>0</v>
      </c>
      <c r="R543">
        <v>0.115158714294433</v>
      </c>
      <c r="S543">
        <v>-0.114224807739257</v>
      </c>
      <c r="T543">
        <v>0</v>
      </c>
      <c r="U543">
        <v>165.71299999999999</v>
      </c>
      <c r="V543">
        <v>-0.98599999999999999</v>
      </c>
      <c r="W543">
        <v>-0.109</v>
      </c>
      <c r="X543">
        <v>0.748</v>
      </c>
      <c r="Y543" t="b">
        <v>1</v>
      </c>
      <c r="Z543">
        <v>78</v>
      </c>
      <c r="AA543">
        <f t="shared" si="81"/>
        <v>11.515871429443299</v>
      </c>
      <c r="AB543">
        <f t="shared" si="79"/>
        <v>278.72666662682457</v>
      </c>
      <c r="AC543">
        <f t="shared" si="83"/>
        <v>-5.730533683264226</v>
      </c>
    </row>
    <row r="544" spans="1:29" x14ac:dyDescent="0.3">
      <c r="A544">
        <f t="shared" si="80"/>
        <v>0</v>
      </c>
      <c r="B544" s="2">
        <f t="shared" si="85"/>
        <v>31.322799999998097</v>
      </c>
      <c r="C544" s="2">
        <f t="shared" si="84"/>
        <v>-0.19387999999997874</v>
      </c>
      <c r="D544" s="2">
        <f t="shared" si="82"/>
        <v>13.713017500000205</v>
      </c>
      <c r="E544" s="2"/>
      <c r="F544">
        <v>2919.3165475000001</v>
      </c>
      <c r="G544">
        <v>243.75</v>
      </c>
      <c r="H544">
        <v>292.5</v>
      </c>
      <c r="I544">
        <v>242.643</v>
      </c>
      <c r="J544">
        <v>288.96300000000002</v>
      </c>
      <c r="K544">
        <v>248.27555999999899</v>
      </c>
      <c r="L544">
        <v>291.78735999999901</v>
      </c>
      <c r="M544">
        <v>351.09975343768099</v>
      </c>
      <c r="N544">
        <v>0</v>
      </c>
      <c r="O544">
        <v>0</v>
      </c>
      <c r="P544">
        <v>0</v>
      </c>
      <c r="Q544">
        <v>0</v>
      </c>
      <c r="R544">
        <v>6.7013511657714797E-2</v>
      </c>
      <c r="S544">
        <v>-0.116070938110351</v>
      </c>
      <c r="T544">
        <v>0</v>
      </c>
      <c r="U544">
        <v>165.779</v>
      </c>
      <c r="V544">
        <v>-0.46100000000000002</v>
      </c>
      <c r="W544">
        <v>2.8000000000000001E-2</v>
      </c>
      <c r="X544">
        <v>0.749</v>
      </c>
      <c r="Y544" t="b">
        <v>1</v>
      </c>
      <c r="Z544">
        <v>78</v>
      </c>
      <c r="AA544">
        <f t="shared" si="81"/>
        <v>6.7013511657714799</v>
      </c>
      <c r="AB544">
        <f t="shared" si="79"/>
        <v>279.08737596443473</v>
      </c>
      <c r="AC544">
        <f t="shared" si="83"/>
        <v>-6.1897403808085647</v>
      </c>
    </row>
    <row r="545" spans="1:29" x14ac:dyDescent="0.3">
      <c r="A545">
        <f t="shared" si="80"/>
        <v>0</v>
      </c>
      <c r="B545" s="2">
        <f t="shared" si="85"/>
        <v>46.48959999985891</v>
      </c>
      <c r="C545" s="2">
        <f t="shared" si="84"/>
        <v>0.11932000000001608</v>
      </c>
      <c r="D545" s="2">
        <f t="shared" si="82"/>
        <v>13.759507100000064</v>
      </c>
      <c r="E545" s="2"/>
      <c r="F545">
        <v>2919.3630370999999</v>
      </c>
      <c r="G545">
        <v>245.7</v>
      </c>
      <c r="H545">
        <v>296.39999999999998</v>
      </c>
      <c r="I545">
        <v>242.01</v>
      </c>
      <c r="J545">
        <v>296.53099999999898</v>
      </c>
      <c r="K545">
        <v>247.7766</v>
      </c>
      <c r="L545">
        <v>291.90667999999903</v>
      </c>
      <c r="M545">
        <v>351.09975343768099</v>
      </c>
      <c r="N545">
        <v>0</v>
      </c>
      <c r="O545">
        <v>0</v>
      </c>
      <c r="P545">
        <v>0</v>
      </c>
      <c r="Q545">
        <v>0</v>
      </c>
      <c r="R545">
        <v>6.7013511657714797E-2</v>
      </c>
      <c r="S545">
        <v>-0.116070938110351</v>
      </c>
      <c r="T545">
        <v>0</v>
      </c>
      <c r="U545">
        <v>165.779</v>
      </c>
      <c r="V545">
        <v>-0.46100000000000002</v>
      </c>
      <c r="W545">
        <v>2.8000000000000001E-2</v>
      </c>
      <c r="X545">
        <v>0.749</v>
      </c>
      <c r="Y545" t="b">
        <v>1</v>
      </c>
      <c r="Z545">
        <v>78</v>
      </c>
      <c r="AA545">
        <f t="shared" si="81"/>
        <v>6.7013511657714799</v>
      </c>
      <c r="AB545">
        <f t="shared" si="79"/>
        <v>279.39891909959005</v>
      </c>
      <c r="AC545">
        <f t="shared" si="83"/>
        <v>2.5665955396557121</v>
      </c>
    </row>
    <row r="546" spans="1:29" x14ac:dyDescent="0.3">
      <c r="A546">
        <f t="shared" si="80"/>
        <v>0</v>
      </c>
      <c r="B546" s="2">
        <f t="shared" si="85"/>
        <v>31.675900000209367</v>
      </c>
      <c r="C546" s="2">
        <f t="shared" si="84"/>
        <v>0.47576571428595571</v>
      </c>
      <c r="D546" s="2">
        <f t="shared" si="82"/>
        <v>13.791183000000274</v>
      </c>
      <c r="E546" s="2"/>
      <c r="F546">
        <v>2919.3947130000001</v>
      </c>
      <c r="G546">
        <v>245.142857142857</v>
      </c>
      <c r="H546">
        <v>300.85714285714198</v>
      </c>
      <c r="I546">
        <v>241.20685714285699</v>
      </c>
      <c r="J546">
        <v>305.18014285714202</v>
      </c>
      <c r="K546">
        <v>247.27011428571399</v>
      </c>
      <c r="L546">
        <v>292.38244571428498</v>
      </c>
      <c r="M546">
        <v>351.09975343768099</v>
      </c>
      <c r="N546">
        <v>0</v>
      </c>
      <c r="O546">
        <v>0</v>
      </c>
      <c r="P546">
        <v>0</v>
      </c>
      <c r="Q546">
        <v>0</v>
      </c>
      <c r="R546">
        <v>6.6943214416503902E-2</v>
      </c>
      <c r="S546">
        <v>-0.12429705047607401</v>
      </c>
      <c r="T546">
        <v>0</v>
      </c>
      <c r="U546">
        <v>165.68199999999999</v>
      </c>
      <c r="V546">
        <v>-0.28199999999999997</v>
      </c>
      <c r="W546">
        <v>5.3999999999999999E-2</v>
      </c>
      <c r="X546">
        <v>0.751</v>
      </c>
      <c r="Y546" t="b">
        <v>1</v>
      </c>
      <c r="Z546">
        <v>78</v>
      </c>
      <c r="AA546">
        <f t="shared" si="81"/>
        <v>6.6943214416503904</v>
      </c>
      <c r="AB546">
        <f t="shared" si="79"/>
        <v>279.61119042898332</v>
      </c>
      <c r="AC546">
        <f t="shared" si="83"/>
        <v>15.019800993272836</v>
      </c>
    </row>
    <row r="547" spans="1:29" x14ac:dyDescent="0.3">
      <c r="A547">
        <f t="shared" si="80"/>
        <v>0</v>
      </c>
      <c r="B547" s="2">
        <f t="shared" si="85"/>
        <v>31.654599999910715</v>
      </c>
      <c r="C547" s="2">
        <f t="shared" si="84"/>
        <v>0.69199428571499766</v>
      </c>
      <c r="D547" s="2">
        <f t="shared" si="82"/>
        <v>13.822837600000184</v>
      </c>
      <c r="E547" s="2"/>
      <c r="F547">
        <v>2919.4263676</v>
      </c>
      <c r="G547">
        <v>239.57142857142799</v>
      </c>
      <c r="H547">
        <v>303.642857142857</v>
      </c>
      <c r="I547">
        <v>240.67842857142799</v>
      </c>
      <c r="J547">
        <v>310.32385714285698</v>
      </c>
      <c r="K547">
        <v>246.76217142857101</v>
      </c>
      <c r="L547">
        <v>293.07443999999998</v>
      </c>
      <c r="M547">
        <v>351.09975343768099</v>
      </c>
      <c r="N547">
        <v>0</v>
      </c>
      <c r="O547">
        <v>0</v>
      </c>
      <c r="P547">
        <v>0</v>
      </c>
      <c r="Q547">
        <v>0</v>
      </c>
      <c r="R547">
        <v>6.6943214416503902E-2</v>
      </c>
      <c r="S547">
        <v>-0.12429705047607401</v>
      </c>
      <c r="T547">
        <v>0</v>
      </c>
      <c r="U547">
        <v>165.68199999999999</v>
      </c>
      <c r="V547">
        <v>-0.28199999999999997</v>
      </c>
      <c r="W547">
        <v>5.3999999999999999E-2</v>
      </c>
      <c r="X547">
        <v>0.751</v>
      </c>
      <c r="Y547" t="b">
        <v>1</v>
      </c>
      <c r="Z547">
        <v>78</v>
      </c>
      <c r="AA547">
        <f t="shared" si="81"/>
        <v>6.6943214416503904</v>
      </c>
      <c r="AB547">
        <f t="shared" si="79"/>
        <v>279.8230964964896</v>
      </c>
      <c r="AC547">
        <f t="shared" si="83"/>
        <v>21.860781236122065</v>
      </c>
    </row>
    <row r="548" spans="1:29" x14ac:dyDescent="0.3">
      <c r="A548">
        <f t="shared" si="80"/>
        <v>0</v>
      </c>
      <c r="B548" s="2">
        <f t="shared" si="85"/>
        <v>30.905199999779143</v>
      </c>
      <c r="C548" s="2">
        <f t="shared" si="84"/>
        <v>0.55243999999902371</v>
      </c>
      <c r="D548" s="2">
        <f t="shared" si="82"/>
        <v>13.853742799999964</v>
      </c>
      <c r="E548" s="2"/>
      <c r="F548">
        <v>2919.4572727999998</v>
      </c>
      <c r="G548">
        <v>234</v>
      </c>
      <c r="H548">
        <v>302.25</v>
      </c>
      <c r="I548">
        <v>240.15</v>
      </c>
      <c r="J548">
        <v>306.70400000000001</v>
      </c>
      <c r="K548">
        <v>246.25769142857101</v>
      </c>
      <c r="L548">
        <v>293.62687999999901</v>
      </c>
      <c r="M548">
        <v>351.09975343768099</v>
      </c>
      <c r="N548">
        <v>0</v>
      </c>
      <c r="O548">
        <v>0</v>
      </c>
      <c r="P548">
        <v>0</v>
      </c>
      <c r="Q548">
        <v>0</v>
      </c>
      <c r="R548">
        <v>7.3485244750976494E-2</v>
      </c>
      <c r="S548">
        <v>-0.141376174926757</v>
      </c>
      <c r="T548">
        <v>0</v>
      </c>
      <c r="U548">
        <v>165.69900000000001</v>
      </c>
      <c r="V548">
        <v>-0.19700000000000001</v>
      </c>
      <c r="W548">
        <v>0.36</v>
      </c>
      <c r="X548">
        <v>0.75</v>
      </c>
      <c r="Y548" t="b">
        <v>1</v>
      </c>
      <c r="Z548">
        <v>78</v>
      </c>
      <c r="AA548">
        <f t="shared" si="81"/>
        <v>7.3485244750976495</v>
      </c>
      <c r="AB548">
        <f t="shared" si="79"/>
        <v>280.02998583950659</v>
      </c>
      <c r="AC548">
        <f t="shared" si="83"/>
        <v>17.87530900958323</v>
      </c>
    </row>
    <row r="549" spans="1:29" x14ac:dyDescent="0.3">
      <c r="A549">
        <f t="shared" si="80"/>
        <v>0</v>
      </c>
      <c r="B549" s="2">
        <f t="shared" si="85"/>
        <v>31.622700000298209</v>
      </c>
      <c r="C549" s="2">
        <f t="shared" si="84"/>
        <v>0.53672000000096887</v>
      </c>
      <c r="D549" s="2">
        <f t="shared" si="82"/>
        <v>13.885365500000262</v>
      </c>
      <c r="E549" s="2"/>
      <c r="F549">
        <v>2919.4888955000001</v>
      </c>
      <c r="G549">
        <v>234</v>
      </c>
      <c r="H549">
        <v>302.25</v>
      </c>
      <c r="I549">
        <v>239.78100000000001</v>
      </c>
      <c r="J549">
        <v>306.18</v>
      </c>
      <c r="K549">
        <v>245.75813142857101</v>
      </c>
      <c r="L549">
        <v>294.16359999999997</v>
      </c>
      <c r="M549">
        <v>351.09975343768099</v>
      </c>
      <c r="N549">
        <v>0</v>
      </c>
      <c r="O549">
        <v>0</v>
      </c>
      <c r="P549">
        <v>0</v>
      </c>
      <c r="Q549">
        <v>0</v>
      </c>
      <c r="R549">
        <v>7.3485244750976494E-2</v>
      </c>
      <c r="S549">
        <v>-0.141376174926757</v>
      </c>
      <c r="T549">
        <v>0</v>
      </c>
      <c r="U549">
        <v>165.69900000000001</v>
      </c>
      <c r="V549">
        <v>-0.19700000000000001</v>
      </c>
      <c r="W549">
        <v>0.36</v>
      </c>
      <c r="X549">
        <v>0.75</v>
      </c>
      <c r="Y549" t="b">
        <v>1</v>
      </c>
      <c r="Z549">
        <v>78</v>
      </c>
      <c r="AA549">
        <f t="shared" si="81"/>
        <v>7.3485244750976495</v>
      </c>
      <c r="AB549">
        <f t="shared" si="79"/>
        <v>280.26236602442748</v>
      </c>
      <c r="AC549">
        <f t="shared" si="83"/>
        <v>16.972617771281627</v>
      </c>
    </row>
    <row r="550" spans="1:29" x14ac:dyDescent="0.3">
      <c r="A550">
        <f t="shared" si="80"/>
        <v>0</v>
      </c>
      <c r="B550" s="2">
        <f t="shared" si="85"/>
        <v>30.547500000011496</v>
      </c>
      <c r="C550" s="2">
        <f t="shared" si="84"/>
        <v>0.51576000000000022</v>
      </c>
      <c r="D550" s="2">
        <f t="shared" si="82"/>
        <v>13.915913000000273</v>
      </c>
      <c r="E550" s="2"/>
      <c r="F550">
        <v>2919.5194430000001</v>
      </c>
      <c r="G550">
        <v>234</v>
      </c>
      <c r="H550">
        <v>302.25</v>
      </c>
      <c r="I550">
        <v>239.41200000000001</v>
      </c>
      <c r="J550">
        <v>305.65600000000001</v>
      </c>
      <c r="K550">
        <v>245.263491428571</v>
      </c>
      <c r="L550">
        <v>294.67935999999997</v>
      </c>
      <c r="M550">
        <v>351.09975343768099</v>
      </c>
      <c r="N550">
        <v>0</v>
      </c>
      <c r="O550">
        <v>0</v>
      </c>
      <c r="P550">
        <v>0</v>
      </c>
      <c r="Q550">
        <v>0</v>
      </c>
      <c r="R550">
        <v>7.3485244750976494E-2</v>
      </c>
      <c r="S550">
        <v>-0.141376174926757</v>
      </c>
      <c r="T550">
        <v>0</v>
      </c>
      <c r="U550">
        <v>165.69900000000001</v>
      </c>
      <c r="V550">
        <v>-0.19700000000000001</v>
      </c>
      <c r="W550">
        <v>0.36</v>
      </c>
      <c r="X550">
        <v>0.75</v>
      </c>
      <c r="Y550" t="b">
        <v>1</v>
      </c>
      <c r="Z550">
        <v>78</v>
      </c>
      <c r="AA550">
        <f t="shared" si="81"/>
        <v>7.3485244750976495</v>
      </c>
      <c r="AB550">
        <f t="shared" si="79"/>
        <v>280.48684507583062</v>
      </c>
      <c r="AC550">
        <f t="shared" si="83"/>
        <v>16.883869383740276</v>
      </c>
    </row>
    <row r="551" spans="1:29" x14ac:dyDescent="0.3">
      <c r="A551">
        <f t="shared" si="80"/>
        <v>0</v>
      </c>
      <c r="B551" s="2">
        <f t="shared" si="85"/>
        <v>30.988199999683275</v>
      </c>
      <c r="C551" s="2">
        <f t="shared" si="84"/>
        <v>0.48955999999901678</v>
      </c>
      <c r="D551" s="2">
        <f t="shared" si="82"/>
        <v>13.946901199999957</v>
      </c>
      <c r="E551" s="2"/>
      <c r="F551">
        <v>2919.5504311999998</v>
      </c>
      <c r="G551">
        <v>234</v>
      </c>
      <c r="H551">
        <v>302.25</v>
      </c>
      <c r="I551">
        <v>239.166</v>
      </c>
      <c r="J551">
        <v>305.00099999999998</v>
      </c>
      <c r="K551">
        <v>244.77869142857099</v>
      </c>
      <c r="L551">
        <v>295.16891999999899</v>
      </c>
      <c r="M551">
        <v>351.09975343768099</v>
      </c>
      <c r="N551">
        <v>0</v>
      </c>
      <c r="O551">
        <v>0</v>
      </c>
      <c r="P551">
        <v>0</v>
      </c>
      <c r="Q551">
        <v>0</v>
      </c>
      <c r="R551">
        <v>0.14832821655273401</v>
      </c>
      <c r="S551">
        <v>-9.1725738525390593E-2</v>
      </c>
      <c r="T551">
        <v>0</v>
      </c>
      <c r="U551">
        <v>165.779</v>
      </c>
      <c r="V551">
        <v>-0.27900000000000003</v>
      </c>
      <c r="W551">
        <v>0.47499999999999998</v>
      </c>
      <c r="X551">
        <v>0.752</v>
      </c>
      <c r="Y551" t="b">
        <v>1</v>
      </c>
      <c r="Z551">
        <v>78</v>
      </c>
      <c r="AA551">
        <f t="shared" si="81"/>
        <v>14.832821655273401</v>
      </c>
      <c r="AB551">
        <f t="shared" si="79"/>
        <v>280.7145626219675</v>
      </c>
      <c r="AC551">
        <f t="shared" si="83"/>
        <v>15.798271600287222</v>
      </c>
    </row>
    <row r="552" spans="1:29" x14ac:dyDescent="0.3">
      <c r="A552">
        <f t="shared" si="80"/>
        <v>0</v>
      </c>
      <c r="B552" s="2">
        <f t="shared" si="85"/>
        <v>30.769700000291778</v>
      </c>
      <c r="C552" s="2">
        <f t="shared" si="84"/>
        <v>0.4633600000009892</v>
      </c>
      <c r="D552" s="2">
        <f t="shared" si="82"/>
        <v>13.977670900000248</v>
      </c>
      <c r="E552" s="2"/>
      <c r="F552">
        <v>2919.5812009000001</v>
      </c>
      <c r="G552">
        <v>234</v>
      </c>
      <c r="H552">
        <v>302.25</v>
      </c>
      <c r="I552">
        <v>238.797</v>
      </c>
      <c r="J552">
        <v>304.346</v>
      </c>
      <c r="K552">
        <v>244.30865142857101</v>
      </c>
      <c r="L552">
        <v>295.63227999999998</v>
      </c>
      <c r="M552">
        <v>351.09975343768099</v>
      </c>
      <c r="N552">
        <v>0</v>
      </c>
      <c r="O552">
        <v>0</v>
      </c>
      <c r="P552">
        <v>0</v>
      </c>
      <c r="Q552">
        <v>0</v>
      </c>
      <c r="R552">
        <v>0.109066177368164</v>
      </c>
      <c r="S552">
        <v>-8.5054214477538997E-2</v>
      </c>
      <c r="T552">
        <v>0</v>
      </c>
      <c r="U552">
        <v>165.815</v>
      </c>
      <c r="V552">
        <v>-5.3999999999999999E-2</v>
      </c>
      <c r="W552">
        <v>0.30599999999999999</v>
      </c>
      <c r="X552">
        <v>0.755</v>
      </c>
      <c r="Y552" t="b">
        <v>1</v>
      </c>
      <c r="Z552">
        <v>78</v>
      </c>
      <c r="AA552">
        <f t="shared" si="81"/>
        <v>10.906617736816401</v>
      </c>
      <c r="AB552">
        <f t="shared" si="79"/>
        <v>281.1709640944581</v>
      </c>
      <c r="AC552">
        <f t="shared" si="83"/>
        <v>15.058970350591501</v>
      </c>
    </row>
    <row r="553" spans="1:29" x14ac:dyDescent="0.3">
      <c r="A553">
        <f t="shared" si="80"/>
        <v>0</v>
      </c>
      <c r="B553" s="2">
        <f t="shared" si="85"/>
        <v>46.997299999929965</v>
      </c>
      <c r="C553" s="2">
        <f t="shared" si="84"/>
        <v>0.43716000000000577</v>
      </c>
      <c r="D553" s="2">
        <f t="shared" si="82"/>
        <v>14.024668200000178</v>
      </c>
      <c r="E553" s="2"/>
      <c r="F553">
        <v>2919.6281982</v>
      </c>
      <c r="G553">
        <v>234</v>
      </c>
      <c r="H553">
        <v>302.25</v>
      </c>
      <c r="I553">
        <v>238.55099999999999</v>
      </c>
      <c r="J553">
        <v>303.56</v>
      </c>
      <c r="K553">
        <v>243.85337142857099</v>
      </c>
      <c r="L553">
        <v>296.06943999999999</v>
      </c>
      <c r="M553">
        <v>351.09975343768099</v>
      </c>
      <c r="N553">
        <v>0</v>
      </c>
      <c r="O553">
        <v>0</v>
      </c>
      <c r="P553">
        <v>0</v>
      </c>
      <c r="Q553">
        <v>0</v>
      </c>
      <c r="R553">
        <v>0.109066177368164</v>
      </c>
      <c r="S553">
        <v>-8.5054214477538997E-2</v>
      </c>
      <c r="T553">
        <v>0</v>
      </c>
      <c r="U553">
        <v>165.815</v>
      </c>
      <c r="V553">
        <v>-5.3999999999999999E-2</v>
      </c>
      <c r="W553">
        <v>0.30599999999999999</v>
      </c>
      <c r="X553">
        <v>0.755</v>
      </c>
      <c r="Y553" t="b">
        <v>1</v>
      </c>
      <c r="Z553">
        <v>78</v>
      </c>
      <c r="AA553">
        <f t="shared" si="81"/>
        <v>10.906617736816401</v>
      </c>
      <c r="AB553">
        <f t="shared" si="79"/>
        <v>281.68354568021982</v>
      </c>
      <c r="AC553">
        <f t="shared" si="83"/>
        <v>9.3018109551114048</v>
      </c>
    </row>
    <row r="554" spans="1:29" x14ac:dyDescent="0.3">
      <c r="A554">
        <f t="shared" si="80"/>
        <v>0</v>
      </c>
      <c r="B554" s="2">
        <f t="shared" si="85"/>
        <v>31.003999999938969</v>
      </c>
      <c r="C554" s="2">
        <f t="shared" si="84"/>
        <v>0.41095999999998867</v>
      </c>
      <c r="D554" s="2">
        <f t="shared" si="82"/>
        <v>14.055672200000117</v>
      </c>
      <c r="E554" s="2"/>
      <c r="F554">
        <v>2919.6592022</v>
      </c>
      <c r="G554">
        <v>234</v>
      </c>
      <c r="H554">
        <v>302.25</v>
      </c>
      <c r="I554">
        <v>238.059</v>
      </c>
      <c r="J554">
        <v>302.774</v>
      </c>
      <c r="K554">
        <v>243.39809142857101</v>
      </c>
      <c r="L554">
        <v>296.48039999999997</v>
      </c>
      <c r="M554">
        <v>351.09975343768099</v>
      </c>
      <c r="N554">
        <v>0</v>
      </c>
      <c r="O554">
        <v>0</v>
      </c>
      <c r="P554">
        <v>0</v>
      </c>
      <c r="Q554">
        <v>0</v>
      </c>
      <c r="R554">
        <v>9.9567916870117096E-2</v>
      </c>
      <c r="S554">
        <v>-6.4857307434081996E-2</v>
      </c>
      <c r="T554">
        <v>0</v>
      </c>
      <c r="U554">
        <v>165.88399999999999</v>
      </c>
      <c r="V554">
        <v>-8.4000000000000005E-2</v>
      </c>
      <c r="W554">
        <v>0.16700000000000001</v>
      </c>
      <c r="X554">
        <v>0.752</v>
      </c>
      <c r="Y554" t="b">
        <v>1</v>
      </c>
      <c r="Z554">
        <v>78</v>
      </c>
      <c r="AA554">
        <f t="shared" si="81"/>
        <v>9.9567916870117088</v>
      </c>
      <c r="AB554">
        <f t="shared" si="79"/>
        <v>282.02169445653141</v>
      </c>
      <c r="AC554">
        <f t="shared" si="83"/>
        <v>13.255063862753117</v>
      </c>
    </row>
    <row r="555" spans="1:29" x14ac:dyDescent="0.3">
      <c r="A555">
        <f t="shared" si="80"/>
        <v>0</v>
      </c>
      <c r="B555" s="2">
        <f t="shared" si="85"/>
        <v>31.124999999974534</v>
      </c>
      <c r="C555" s="2">
        <f t="shared" si="84"/>
        <v>0.38999999999902002</v>
      </c>
      <c r="D555" s="2">
        <f t="shared" si="82"/>
        <v>14.086797200000092</v>
      </c>
      <c r="E555" s="2"/>
      <c r="F555">
        <v>2919.6903272</v>
      </c>
      <c r="G555">
        <v>234</v>
      </c>
      <c r="H555">
        <v>302.25</v>
      </c>
      <c r="I555">
        <v>237.56700000000001</v>
      </c>
      <c r="J555">
        <v>302.11900000000003</v>
      </c>
      <c r="K555">
        <v>242.94773142857099</v>
      </c>
      <c r="L555">
        <v>296.87039999999899</v>
      </c>
      <c r="M555">
        <v>351.09975343768099</v>
      </c>
      <c r="N555">
        <v>0</v>
      </c>
      <c r="O555">
        <v>0</v>
      </c>
      <c r="P555">
        <v>0</v>
      </c>
      <c r="Q555">
        <v>0</v>
      </c>
      <c r="R555">
        <v>9.9567916870117096E-2</v>
      </c>
      <c r="S555">
        <v>-6.4857307434081996E-2</v>
      </c>
      <c r="T555">
        <v>0</v>
      </c>
      <c r="U555">
        <v>165.88399999999999</v>
      </c>
      <c r="V555">
        <v>-8.4000000000000005E-2</v>
      </c>
      <c r="W555">
        <v>0.16700000000000001</v>
      </c>
      <c r="X555">
        <v>0.752</v>
      </c>
      <c r="Y555" t="b">
        <v>1</v>
      </c>
      <c r="Z555">
        <v>78</v>
      </c>
      <c r="AA555">
        <f t="shared" si="81"/>
        <v>9.9567916870117088</v>
      </c>
      <c r="AB555">
        <f t="shared" si="79"/>
        <v>282.33159959778942</v>
      </c>
      <c r="AC555">
        <f t="shared" si="83"/>
        <v>12.530120481906478</v>
      </c>
    </row>
    <row r="556" spans="1:29" x14ac:dyDescent="0.3">
      <c r="A556">
        <f t="shared" si="80"/>
        <v>0</v>
      </c>
      <c r="B556" s="2">
        <f t="shared" si="85"/>
        <v>31.098800000108895</v>
      </c>
      <c r="C556" s="2">
        <f t="shared" si="84"/>
        <v>0.36380000000099244</v>
      </c>
      <c r="D556" s="2">
        <f t="shared" si="82"/>
        <v>14.117896000000201</v>
      </c>
      <c r="E556" s="2"/>
      <c r="F556">
        <v>2919.7214260000001</v>
      </c>
      <c r="G556">
        <v>234</v>
      </c>
      <c r="H556">
        <v>302.25</v>
      </c>
      <c r="I556">
        <v>236.952</v>
      </c>
      <c r="J556">
        <v>301.33300000000003</v>
      </c>
      <c r="K556">
        <v>242.507211428571</v>
      </c>
      <c r="L556">
        <v>297.23419999999999</v>
      </c>
      <c r="M556">
        <v>351.09975343768099</v>
      </c>
      <c r="N556">
        <v>0</v>
      </c>
      <c r="O556">
        <v>0</v>
      </c>
      <c r="P556">
        <v>0</v>
      </c>
      <c r="Q556">
        <v>0</v>
      </c>
      <c r="R556">
        <v>9.9567916870117096E-2</v>
      </c>
      <c r="S556">
        <v>-6.4857307434081996E-2</v>
      </c>
      <c r="T556">
        <v>0</v>
      </c>
      <c r="U556">
        <v>165.88399999999999</v>
      </c>
      <c r="V556">
        <v>-8.4000000000000005E-2</v>
      </c>
      <c r="W556">
        <v>0.16700000000000001</v>
      </c>
      <c r="X556">
        <v>0.752</v>
      </c>
      <c r="Y556" t="b">
        <v>1</v>
      </c>
      <c r="Z556">
        <v>78</v>
      </c>
      <c r="AA556">
        <f t="shared" si="81"/>
        <v>9.9567916870117088</v>
      </c>
      <c r="AB556">
        <f t="shared" si="79"/>
        <v>282.64124387110655</v>
      </c>
      <c r="AC556">
        <f t="shared" si="83"/>
        <v>11.698200573646526</v>
      </c>
    </row>
    <row r="557" spans="1:29" x14ac:dyDescent="0.3">
      <c r="A557">
        <f t="shared" si="80"/>
        <v>0</v>
      </c>
      <c r="B557" s="2">
        <f t="shared" si="85"/>
        <v>31.774600000062492</v>
      </c>
      <c r="C557" s="2">
        <f t="shared" si="84"/>
        <v>0.34284000000002379</v>
      </c>
      <c r="D557" s="2">
        <f t="shared" si="82"/>
        <v>14.149670600000263</v>
      </c>
      <c r="E557" s="2"/>
      <c r="F557">
        <v>2919.7532006000001</v>
      </c>
      <c r="G557">
        <v>234</v>
      </c>
      <c r="H557">
        <v>302.25</v>
      </c>
      <c r="I557">
        <v>236.33699999999999</v>
      </c>
      <c r="J557">
        <v>300.678</v>
      </c>
      <c r="K557">
        <v>242.05193142857101</v>
      </c>
      <c r="L557">
        <v>297.57704000000001</v>
      </c>
      <c r="M557">
        <v>351.09975343768099</v>
      </c>
      <c r="N557">
        <v>0</v>
      </c>
      <c r="O557">
        <v>0</v>
      </c>
      <c r="P557">
        <v>0</v>
      </c>
      <c r="Q557">
        <v>0</v>
      </c>
      <c r="R557">
        <v>7.3123695373535094E-2</v>
      </c>
      <c r="S557">
        <v>-8.17726135253906E-2</v>
      </c>
      <c r="T557">
        <v>0</v>
      </c>
      <c r="U557">
        <v>166.13399999999999</v>
      </c>
      <c r="V557">
        <v>-2.8000000000000001E-2</v>
      </c>
      <c r="W557">
        <v>-0.108</v>
      </c>
      <c r="X557">
        <v>0.749</v>
      </c>
      <c r="Y557" t="b">
        <v>1</v>
      </c>
      <c r="Z557">
        <v>78</v>
      </c>
      <c r="AA557">
        <f t="shared" si="81"/>
        <v>7.3123695373535096</v>
      </c>
      <c r="AB557">
        <f t="shared" si="79"/>
        <v>282.95761694424527</v>
      </c>
      <c r="AC557">
        <f t="shared" si="83"/>
        <v>10.789750303681227</v>
      </c>
    </row>
    <row r="558" spans="1:29" x14ac:dyDescent="0.3">
      <c r="A558">
        <f t="shared" si="80"/>
        <v>0</v>
      </c>
      <c r="B558" s="2">
        <f t="shared" si="85"/>
        <v>15.961499999775697</v>
      </c>
      <c r="C558" s="2">
        <f t="shared" si="84"/>
        <v>0.32711999999997943</v>
      </c>
      <c r="D558" s="2">
        <f t="shared" si="82"/>
        <v>14.165632100000039</v>
      </c>
      <c r="E558" s="2"/>
      <c r="F558">
        <v>2919.7691620999999</v>
      </c>
      <c r="G558">
        <v>234</v>
      </c>
      <c r="H558">
        <v>302.25</v>
      </c>
      <c r="I558">
        <v>235.59899999999999</v>
      </c>
      <c r="J558">
        <v>300.28500000000003</v>
      </c>
      <c r="K558">
        <v>241.576971428571</v>
      </c>
      <c r="L558">
        <v>297.90415999999999</v>
      </c>
      <c r="M558">
        <v>351.09975343768099</v>
      </c>
      <c r="N558">
        <v>0</v>
      </c>
      <c r="O558">
        <v>0</v>
      </c>
      <c r="P558">
        <v>0</v>
      </c>
      <c r="Q558">
        <v>0</v>
      </c>
      <c r="R558">
        <v>2.46620025634765E-2</v>
      </c>
      <c r="S558">
        <v>-5.4493942260742098E-2</v>
      </c>
      <c r="T558">
        <v>0</v>
      </c>
      <c r="U558">
        <v>166.375</v>
      </c>
      <c r="V558">
        <v>8.1000000000000003E-2</v>
      </c>
      <c r="W558">
        <v>-0.222</v>
      </c>
      <c r="X558">
        <v>0.74399999999999999</v>
      </c>
      <c r="Y558" t="b">
        <v>1</v>
      </c>
      <c r="Z558">
        <v>78</v>
      </c>
      <c r="AA558">
        <f t="shared" si="81"/>
        <v>2.4662002563476499</v>
      </c>
      <c r="AB558">
        <f t="shared" si="79"/>
        <v>283.07433333061408</v>
      </c>
      <c r="AC558">
        <f t="shared" si="83"/>
        <v>20.494314444417903</v>
      </c>
    </row>
    <row r="559" spans="1:29" x14ac:dyDescent="0.3">
      <c r="A559">
        <f t="shared" si="80"/>
        <v>0</v>
      </c>
      <c r="B559" s="2">
        <f t="shared" si="85"/>
        <v>45.706200000040553</v>
      </c>
      <c r="C559" s="2">
        <f t="shared" si="84"/>
        <v>0.31139999999999191</v>
      </c>
      <c r="D559" s="2">
        <f t="shared" si="82"/>
        <v>14.211338300000079</v>
      </c>
      <c r="E559" s="2"/>
      <c r="F559">
        <v>2919.8148682999999</v>
      </c>
      <c r="G559">
        <v>234</v>
      </c>
      <c r="H559">
        <v>302.25</v>
      </c>
      <c r="I559">
        <v>235.107</v>
      </c>
      <c r="J559">
        <v>299.76100000000002</v>
      </c>
      <c r="K559">
        <v>241.09709142857099</v>
      </c>
      <c r="L559">
        <v>298.21555999999998</v>
      </c>
      <c r="M559">
        <v>351.09975343768099</v>
      </c>
      <c r="N559">
        <v>0</v>
      </c>
      <c r="O559">
        <v>0</v>
      </c>
      <c r="P559">
        <v>0</v>
      </c>
      <c r="Q559">
        <v>0</v>
      </c>
      <c r="R559">
        <v>2.46620025634765E-2</v>
      </c>
      <c r="S559">
        <v>-5.4493942260742098E-2</v>
      </c>
      <c r="T559">
        <v>0</v>
      </c>
      <c r="U559">
        <v>166.375</v>
      </c>
      <c r="V559">
        <v>8.1000000000000003E-2</v>
      </c>
      <c r="W559">
        <v>-0.222</v>
      </c>
      <c r="X559">
        <v>0.74399999999999999</v>
      </c>
      <c r="Y559" t="b">
        <v>1</v>
      </c>
      <c r="Z559">
        <v>78</v>
      </c>
      <c r="AA559">
        <f t="shared" si="81"/>
        <v>2.4662002563476499</v>
      </c>
      <c r="AB559">
        <f t="shared" si="79"/>
        <v>283.18705397277085</v>
      </c>
      <c r="AC559">
        <f t="shared" si="83"/>
        <v>6.8130800635300162</v>
      </c>
    </row>
    <row r="560" spans="1:29" x14ac:dyDescent="0.3">
      <c r="A560">
        <f t="shared" si="80"/>
        <v>0</v>
      </c>
      <c r="B560" s="2">
        <f t="shared" si="85"/>
        <v>30.561800000214134</v>
      </c>
      <c r="C560" s="2">
        <f t="shared" si="84"/>
        <v>0.2904399999999896</v>
      </c>
      <c r="D560" s="2">
        <f t="shared" si="82"/>
        <v>14.241900100000294</v>
      </c>
      <c r="E560" s="2"/>
      <c r="F560">
        <v>2919.8454301000002</v>
      </c>
      <c r="G560">
        <v>234</v>
      </c>
      <c r="H560">
        <v>302.25</v>
      </c>
      <c r="I560">
        <v>234.369</v>
      </c>
      <c r="J560">
        <v>299.23700000000002</v>
      </c>
      <c r="K560">
        <v>240.59753142857099</v>
      </c>
      <c r="L560">
        <v>298.50599999999997</v>
      </c>
      <c r="M560">
        <v>351.09975343768099</v>
      </c>
      <c r="N560">
        <v>0</v>
      </c>
      <c r="O560">
        <v>0</v>
      </c>
      <c r="P560">
        <v>0</v>
      </c>
      <c r="Q560">
        <v>0</v>
      </c>
      <c r="R560">
        <v>-2.6073665618896399E-2</v>
      </c>
      <c r="S560">
        <v>-5.1162559509277297E-2</v>
      </c>
      <c r="T560">
        <v>0</v>
      </c>
      <c r="U560">
        <v>166.459</v>
      </c>
      <c r="V560">
        <v>-0.10199999999999999</v>
      </c>
      <c r="W560">
        <v>-0.42499999999999999</v>
      </c>
      <c r="X560">
        <v>0.74099999999999999</v>
      </c>
      <c r="Y560" t="b">
        <v>1</v>
      </c>
      <c r="Z560">
        <v>78</v>
      </c>
      <c r="AA560">
        <f t="shared" si="81"/>
        <v>-2.60736656188964</v>
      </c>
      <c r="AB560">
        <f t="shared" si="79"/>
        <v>283.26242549176584</v>
      </c>
      <c r="AC560">
        <f t="shared" si="83"/>
        <v>9.5033669482149161</v>
      </c>
    </row>
    <row r="561" spans="1:29" x14ac:dyDescent="0.3">
      <c r="A561">
        <f t="shared" si="80"/>
        <v>0</v>
      </c>
      <c r="B561" s="2">
        <f t="shared" si="85"/>
        <v>31.079200000021956</v>
      </c>
      <c r="C561" s="2">
        <f t="shared" si="84"/>
        <v>0.27996000000001686</v>
      </c>
      <c r="D561" s="2">
        <f t="shared" si="82"/>
        <v>14.272979300000316</v>
      </c>
      <c r="E561" s="2"/>
      <c r="F561">
        <v>2919.8765093000002</v>
      </c>
      <c r="G561">
        <v>234</v>
      </c>
      <c r="H561">
        <v>302.25</v>
      </c>
      <c r="I561">
        <v>233.50800000000001</v>
      </c>
      <c r="J561">
        <v>298.71300000000002</v>
      </c>
      <c r="K561">
        <v>240.08321142857099</v>
      </c>
      <c r="L561">
        <v>298.78595999999999</v>
      </c>
      <c r="M561">
        <v>351.09975343768099</v>
      </c>
      <c r="N561">
        <v>0</v>
      </c>
      <c r="O561">
        <v>0</v>
      </c>
      <c r="P561">
        <v>0</v>
      </c>
      <c r="Q561">
        <v>0</v>
      </c>
      <c r="R561">
        <v>-2.6073665618896399E-2</v>
      </c>
      <c r="S561">
        <v>-5.1162559509277297E-2</v>
      </c>
      <c r="T561">
        <v>0</v>
      </c>
      <c r="U561">
        <v>166.459</v>
      </c>
      <c r="V561">
        <v>-0.10199999999999999</v>
      </c>
      <c r="W561">
        <v>-0.42499999999999999</v>
      </c>
      <c r="X561">
        <v>0.74099999999999999</v>
      </c>
      <c r="Y561" t="b">
        <v>1</v>
      </c>
      <c r="Z561">
        <v>78</v>
      </c>
      <c r="AA561">
        <f t="shared" si="81"/>
        <v>-2.60736656188964</v>
      </c>
      <c r="AB561">
        <f t="shared" si="79"/>
        <v>283.18139062491548</v>
      </c>
      <c r="AC561">
        <f t="shared" si="83"/>
        <v>9.0079538726807353</v>
      </c>
    </row>
    <row r="562" spans="1:29" x14ac:dyDescent="0.3">
      <c r="A562">
        <f t="shared" si="80"/>
        <v>0</v>
      </c>
      <c r="B562" s="2">
        <f t="shared" si="85"/>
        <v>31.247899999925721</v>
      </c>
      <c r="C562" s="2">
        <f t="shared" si="84"/>
        <v>0.26424000000002934</v>
      </c>
      <c r="D562" s="2">
        <f t="shared" si="82"/>
        <v>14.304227200000241</v>
      </c>
      <c r="E562" s="2"/>
      <c r="F562">
        <v>2919.9077572000001</v>
      </c>
      <c r="G562">
        <v>234</v>
      </c>
      <c r="H562">
        <v>302.25</v>
      </c>
      <c r="I562">
        <v>232.77</v>
      </c>
      <c r="J562">
        <v>298.18900000000002</v>
      </c>
      <c r="K562">
        <v>239.559051428571</v>
      </c>
      <c r="L562">
        <v>299.05020000000002</v>
      </c>
      <c r="M562">
        <v>351.09975343768099</v>
      </c>
      <c r="N562">
        <v>0</v>
      </c>
      <c r="O562">
        <v>0</v>
      </c>
      <c r="P562">
        <v>0</v>
      </c>
      <c r="Q562">
        <v>0</v>
      </c>
      <c r="R562">
        <v>-2.6073665618896399E-2</v>
      </c>
      <c r="S562">
        <v>-5.1162559509277297E-2</v>
      </c>
      <c r="T562">
        <v>0</v>
      </c>
      <c r="U562">
        <v>166.459</v>
      </c>
      <c r="V562">
        <v>-0.10199999999999999</v>
      </c>
      <c r="W562">
        <v>-0.42499999999999999</v>
      </c>
      <c r="X562">
        <v>0.74099999999999999</v>
      </c>
      <c r="Y562" t="b">
        <v>1</v>
      </c>
      <c r="Z562">
        <v>78</v>
      </c>
      <c r="AA562">
        <f t="shared" si="81"/>
        <v>-2.60736656188964</v>
      </c>
      <c r="AB562">
        <f t="shared" si="79"/>
        <v>283.09991589532638</v>
      </c>
      <c r="AC562">
        <f t="shared" si="83"/>
        <v>8.456248259904104</v>
      </c>
    </row>
    <row r="563" spans="1:29" x14ac:dyDescent="0.3">
      <c r="A563">
        <f t="shared" si="80"/>
        <v>0</v>
      </c>
      <c r="B563" s="2">
        <f t="shared" si="85"/>
        <v>31.162299999778043</v>
      </c>
      <c r="C563" s="2">
        <f t="shared" si="84"/>
        <v>0.2642399999999725</v>
      </c>
      <c r="D563" s="2">
        <f t="shared" si="82"/>
        <v>14.335389500000019</v>
      </c>
      <c r="E563" s="2"/>
      <c r="F563">
        <v>2919.9389194999999</v>
      </c>
      <c r="G563">
        <v>234</v>
      </c>
      <c r="H563">
        <v>302.25</v>
      </c>
      <c r="I563">
        <v>232.27799999999999</v>
      </c>
      <c r="J563">
        <v>297.53399999999999</v>
      </c>
      <c r="K563">
        <v>239.026371428571</v>
      </c>
      <c r="L563">
        <v>299.31443999999999</v>
      </c>
      <c r="M563">
        <v>351.09975343768099</v>
      </c>
      <c r="N563">
        <v>0</v>
      </c>
      <c r="O563">
        <v>0</v>
      </c>
      <c r="P563">
        <v>0</v>
      </c>
      <c r="Q563">
        <v>0</v>
      </c>
      <c r="R563">
        <v>-6.3538026809692302E-3</v>
      </c>
      <c r="S563">
        <v>-0.105164268493652</v>
      </c>
      <c r="T563">
        <v>0</v>
      </c>
      <c r="U563">
        <v>166.255</v>
      </c>
      <c r="V563">
        <v>-0.66600000000000004</v>
      </c>
      <c r="W563">
        <v>-0.71699999999999997</v>
      </c>
      <c r="X563">
        <v>0.73899999999999999</v>
      </c>
      <c r="Y563" t="b">
        <v>1</v>
      </c>
      <c r="Z563">
        <v>78</v>
      </c>
      <c r="AA563">
        <f t="shared" si="81"/>
        <v>-0.63538026809692305</v>
      </c>
      <c r="AB563">
        <f t="shared" ref="AB563:AB626" si="86">AB562+(AA562*(D563-D562))</f>
        <v>283.01866435631536</v>
      </c>
      <c r="AC563">
        <f t="shared" si="83"/>
        <v>8.4794768037614219</v>
      </c>
    </row>
    <row r="564" spans="1:29" x14ac:dyDescent="0.3">
      <c r="A564">
        <f t="shared" si="80"/>
        <v>0</v>
      </c>
      <c r="B564" s="2">
        <f t="shared" si="85"/>
        <v>31.114000000343367</v>
      </c>
      <c r="C564" s="2">
        <f t="shared" si="84"/>
        <v>0.41559999999998354</v>
      </c>
      <c r="D564" s="2">
        <f t="shared" si="82"/>
        <v>14.366503500000363</v>
      </c>
      <c r="E564" s="2"/>
      <c r="F564">
        <v>2919.9700335000002</v>
      </c>
      <c r="G564">
        <v>237.9</v>
      </c>
      <c r="H564">
        <v>304.2</v>
      </c>
      <c r="I564">
        <v>231.99600000000001</v>
      </c>
      <c r="J564">
        <v>300.92500000000001</v>
      </c>
      <c r="K564">
        <v>238.50209142857099</v>
      </c>
      <c r="L564">
        <v>299.73003999999997</v>
      </c>
      <c r="M564">
        <v>351.09975343768099</v>
      </c>
      <c r="N564">
        <v>0</v>
      </c>
      <c r="O564">
        <v>0</v>
      </c>
      <c r="P564">
        <v>0</v>
      </c>
      <c r="Q564">
        <v>0</v>
      </c>
      <c r="R564">
        <v>-6.3538026809692302E-3</v>
      </c>
      <c r="S564">
        <v>-0.105164268493652</v>
      </c>
      <c r="T564">
        <v>0</v>
      </c>
      <c r="U564">
        <v>166.255</v>
      </c>
      <c r="V564">
        <v>-0.66600000000000004</v>
      </c>
      <c r="W564">
        <v>-0.71699999999999997</v>
      </c>
      <c r="X564">
        <v>0.73899999999999999</v>
      </c>
      <c r="Y564" t="b">
        <v>1</v>
      </c>
      <c r="Z564">
        <v>78</v>
      </c>
      <c r="AA564">
        <f t="shared" si="81"/>
        <v>-0.63538026809692305</v>
      </c>
      <c r="AB564">
        <f t="shared" si="86"/>
        <v>282.99889513465359</v>
      </c>
      <c r="AC564">
        <f t="shared" si="83"/>
        <v>13.357331104820886</v>
      </c>
    </row>
    <row r="565" spans="1:29" x14ac:dyDescent="0.3">
      <c r="A565">
        <f t="shared" si="80"/>
        <v>0</v>
      </c>
      <c r="B565" s="2">
        <f t="shared" si="85"/>
        <v>30.530199999702745</v>
      </c>
      <c r="C565" s="2">
        <f t="shared" si="84"/>
        <v>0.64787999999902013</v>
      </c>
      <c r="D565" s="2">
        <f t="shared" si="82"/>
        <v>14.397033700000065</v>
      </c>
      <c r="E565" s="2"/>
      <c r="F565">
        <v>2920.0005636999999</v>
      </c>
      <c r="G565">
        <v>234</v>
      </c>
      <c r="H565">
        <v>307.125</v>
      </c>
      <c r="I565">
        <v>231.786</v>
      </c>
      <c r="J565">
        <v>306.339</v>
      </c>
      <c r="K565">
        <v>237.98909142857099</v>
      </c>
      <c r="L565">
        <v>300.37791999999899</v>
      </c>
      <c r="M565">
        <v>351.09975343768099</v>
      </c>
      <c r="N565">
        <v>0</v>
      </c>
      <c r="O565">
        <v>0</v>
      </c>
      <c r="P565">
        <v>0</v>
      </c>
      <c r="Q565">
        <v>0</v>
      </c>
      <c r="R565">
        <v>-8.4403924942016602E-3</v>
      </c>
      <c r="S565">
        <v>-0.15783836364746001</v>
      </c>
      <c r="T565">
        <v>0</v>
      </c>
      <c r="U565">
        <v>166</v>
      </c>
      <c r="V565">
        <v>-0.73699999999999999</v>
      </c>
      <c r="W565">
        <v>-0.52500000000000002</v>
      </c>
      <c r="X565">
        <v>0.73499999999999999</v>
      </c>
      <c r="Y565" t="b">
        <v>1</v>
      </c>
      <c r="Z565">
        <v>78</v>
      </c>
      <c r="AA565">
        <f t="shared" si="81"/>
        <v>-0.84403924942016606</v>
      </c>
      <c r="AB565">
        <f t="shared" si="86"/>
        <v>282.97949684799272</v>
      </c>
      <c r="AC565">
        <f t="shared" si="83"/>
        <v>21.220954989005254</v>
      </c>
    </row>
    <row r="566" spans="1:29" x14ac:dyDescent="0.3">
      <c r="A566">
        <f t="shared" si="80"/>
        <v>0</v>
      </c>
      <c r="B566" s="2">
        <f t="shared" si="85"/>
        <v>46.010300000034476</v>
      </c>
      <c r="C566" s="2">
        <f t="shared" si="84"/>
        <v>-300.37791999999899</v>
      </c>
      <c r="D566" s="2">
        <f t="shared" si="82"/>
        <v>14.4430440000001</v>
      </c>
      <c r="E566" s="2"/>
      <c r="F566">
        <v>2920.046574</v>
      </c>
      <c r="G566" t="s">
        <v>39</v>
      </c>
      <c r="H566" t="s">
        <v>46</v>
      </c>
      <c r="AA566">
        <f t="shared" si="81"/>
        <v>0</v>
      </c>
      <c r="AB566">
        <f t="shared" si="86"/>
        <v>282.94066234891511</v>
      </c>
      <c r="AC566">
        <f t="shared" si="83"/>
        <v>21.220954989005254</v>
      </c>
    </row>
    <row r="567" spans="1:29" x14ac:dyDescent="0.3">
      <c r="A567">
        <f t="shared" si="80"/>
        <v>0</v>
      </c>
      <c r="B567" s="2">
        <f t="shared" si="85"/>
        <v>0</v>
      </c>
      <c r="C567" s="2">
        <f t="shared" si="84"/>
        <v>301.41467999999998</v>
      </c>
      <c r="D567" s="2">
        <f t="shared" si="82"/>
        <v>14.4430440000001</v>
      </c>
      <c r="E567" s="2"/>
      <c r="F567">
        <v>2920.046574</v>
      </c>
      <c r="G567">
        <v>234</v>
      </c>
      <c r="H567">
        <v>312</v>
      </c>
      <c r="I567">
        <v>231.786</v>
      </c>
      <c r="J567">
        <v>315.79899999999998</v>
      </c>
      <c r="K567">
        <v>237.495771428571</v>
      </c>
      <c r="L567">
        <v>301.41467999999998</v>
      </c>
      <c r="M567">
        <v>351.09975343768099</v>
      </c>
      <c r="N567">
        <v>0</v>
      </c>
      <c r="O567">
        <v>0</v>
      </c>
      <c r="P567">
        <v>0</v>
      </c>
      <c r="Q567">
        <v>0</v>
      </c>
      <c r="R567">
        <v>-2.3751169204711899E-2</v>
      </c>
      <c r="S567">
        <v>-0.13045811462402301</v>
      </c>
      <c r="T567">
        <v>0</v>
      </c>
      <c r="U567">
        <v>166.17599999999999</v>
      </c>
      <c r="V567">
        <v>-0.59499999999999997</v>
      </c>
      <c r="W567">
        <v>-2.1000000000000001E-2</v>
      </c>
      <c r="X567">
        <v>0.73199999999999998</v>
      </c>
      <c r="Y567" t="b">
        <v>1</v>
      </c>
      <c r="Z567">
        <v>78</v>
      </c>
      <c r="AA567">
        <f t="shared" si="81"/>
        <v>-2.3751169204711897</v>
      </c>
      <c r="AB567">
        <f t="shared" si="86"/>
        <v>282.94066234891511</v>
      </c>
      <c r="AC567" t="e">
        <f t="shared" si="83"/>
        <v>#DIV/0!</v>
      </c>
    </row>
    <row r="568" spans="1:29" x14ac:dyDescent="0.3">
      <c r="A568">
        <f t="shared" si="80"/>
        <v>0</v>
      </c>
      <c r="B568" s="2">
        <f t="shared" si="85"/>
        <v>31.043399999816756</v>
      </c>
      <c r="C568" s="2">
        <f t="shared" si="84"/>
        <v>1.0210399999990045</v>
      </c>
      <c r="D568" s="2">
        <f t="shared" si="82"/>
        <v>14.474087399999917</v>
      </c>
      <c r="E568" s="2"/>
      <c r="F568">
        <v>2920.0776173999998</v>
      </c>
      <c r="G568">
        <v>234</v>
      </c>
      <c r="H568">
        <v>312</v>
      </c>
      <c r="I568">
        <v>231.54</v>
      </c>
      <c r="J568">
        <v>315.27499999999998</v>
      </c>
      <c r="K568">
        <v>237.01229142857099</v>
      </c>
      <c r="L568">
        <v>302.43571999999898</v>
      </c>
      <c r="M568">
        <v>351.09975343768099</v>
      </c>
      <c r="N568">
        <v>0</v>
      </c>
      <c r="O568">
        <v>0</v>
      </c>
      <c r="P568">
        <v>0</v>
      </c>
      <c r="Q568">
        <v>0</v>
      </c>
      <c r="R568">
        <v>-2.3751169204711899E-2</v>
      </c>
      <c r="S568">
        <v>-0.13045811462402301</v>
      </c>
      <c r="T568">
        <v>0</v>
      </c>
      <c r="U568">
        <v>166.17599999999999</v>
      </c>
      <c r="V568">
        <v>-0.59499999999999997</v>
      </c>
      <c r="W568">
        <v>-2.1000000000000001E-2</v>
      </c>
      <c r="X568">
        <v>0.73199999999999998</v>
      </c>
      <c r="Y568" t="b">
        <v>1</v>
      </c>
      <c r="Z568">
        <v>78</v>
      </c>
      <c r="AA568">
        <f t="shared" si="81"/>
        <v>-2.3751169204711897</v>
      </c>
      <c r="AB568">
        <f t="shared" si="86"/>
        <v>282.86693064430659</v>
      </c>
      <c r="AC568">
        <f t="shared" si="83"/>
        <v>32.890727175664765</v>
      </c>
    </row>
    <row r="569" spans="1:29" x14ac:dyDescent="0.3">
      <c r="A569">
        <f t="shared" si="80"/>
        <v>0</v>
      </c>
      <c r="B569" s="2">
        <f t="shared" si="85"/>
        <v>30.951100000038423</v>
      </c>
      <c r="C569" s="2">
        <f t="shared" si="84"/>
        <v>1.0158000000000129</v>
      </c>
      <c r="D569" s="2">
        <f t="shared" si="82"/>
        <v>14.505038499999955</v>
      </c>
      <c r="E569" s="2"/>
      <c r="F569">
        <v>2920.1085684999998</v>
      </c>
      <c r="G569">
        <v>234</v>
      </c>
      <c r="H569">
        <v>312</v>
      </c>
      <c r="I569">
        <v>231.29400000000001</v>
      </c>
      <c r="J569">
        <v>314.88200000000001</v>
      </c>
      <c r="K569">
        <v>236.533731428571</v>
      </c>
      <c r="L569">
        <v>303.45151999999899</v>
      </c>
      <c r="M569">
        <v>351.09975343768099</v>
      </c>
      <c r="N569">
        <v>0</v>
      </c>
      <c r="O569">
        <v>0</v>
      </c>
      <c r="P569">
        <v>0</v>
      </c>
      <c r="Q569">
        <v>0</v>
      </c>
      <c r="R569">
        <v>-2.3751169204711899E-2</v>
      </c>
      <c r="S569">
        <v>-0.13045811462402301</v>
      </c>
      <c r="T569">
        <v>0</v>
      </c>
      <c r="U569">
        <v>166.17599999999999</v>
      </c>
      <c r="V569">
        <v>-0.59499999999999997</v>
      </c>
      <c r="W569">
        <v>-2.1000000000000001E-2</v>
      </c>
      <c r="X569">
        <v>0.73199999999999998</v>
      </c>
      <c r="Y569" t="b">
        <v>1</v>
      </c>
      <c r="Z569">
        <v>78</v>
      </c>
      <c r="AA569">
        <f t="shared" si="81"/>
        <v>-2.3751169204711897</v>
      </c>
      <c r="AB569">
        <f t="shared" si="86"/>
        <v>282.79341816298933</v>
      </c>
      <c r="AC569">
        <f t="shared" si="83"/>
        <v>32.819512068997611</v>
      </c>
    </row>
    <row r="570" spans="1:29" x14ac:dyDescent="0.3">
      <c r="A570">
        <f t="shared" si="80"/>
        <v>0</v>
      </c>
      <c r="B570" s="2">
        <f t="shared" si="85"/>
        <v>31.032700000196201</v>
      </c>
      <c r="C570" s="2">
        <f t="shared" si="84"/>
        <v>1.0262800000010088</v>
      </c>
      <c r="D570" s="2">
        <f t="shared" si="82"/>
        <v>14.536071200000151</v>
      </c>
      <c r="E570" s="2"/>
      <c r="F570">
        <v>2920.1396012</v>
      </c>
      <c r="G570">
        <v>234</v>
      </c>
      <c r="H570">
        <v>312</v>
      </c>
      <c r="I570">
        <v>231.048</v>
      </c>
      <c r="J570">
        <v>314.62</v>
      </c>
      <c r="K570">
        <v>236.06993142857101</v>
      </c>
      <c r="L570">
        <v>304.4778</v>
      </c>
      <c r="M570">
        <v>351.09975343768099</v>
      </c>
      <c r="N570">
        <v>0</v>
      </c>
      <c r="O570">
        <v>0</v>
      </c>
      <c r="P570">
        <v>0</v>
      </c>
      <c r="Q570">
        <v>0</v>
      </c>
      <c r="R570">
        <v>-7.3337583541870097E-3</v>
      </c>
      <c r="S570">
        <v>-9.7389778137207006E-2</v>
      </c>
      <c r="T570">
        <v>0</v>
      </c>
      <c r="U570">
        <v>166.255</v>
      </c>
      <c r="V570">
        <v>-0.56699999999999995</v>
      </c>
      <c r="W570">
        <v>0.187</v>
      </c>
      <c r="X570">
        <v>0.72299999999999998</v>
      </c>
      <c r="Y570" t="b">
        <v>1</v>
      </c>
      <c r="Z570">
        <v>78</v>
      </c>
      <c r="AA570">
        <f t="shared" si="81"/>
        <v>-0.73337583541870099</v>
      </c>
      <c r="AB570">
        <f t="shared" si="86"/>
        <v>282.71971187213097</v>
      </c>
      <c r="AC570">
        <f t="shared" si="83"/>
        <v>33.070921962785071</v>
      </c>
    </row>
    <row r="571" spans="1:29" x14ac:dyDescent="0.3">
      <c r="A571">
        <f t="shared" si="80"/>
        <v>0</v>
      </c>
      <c r="B571" s="2">
        <f t="shared" si="85"/>
        <v>31.56940000008035</v>
      </c>
      <c r="C571" s="2">
        <f t="shared" si="84"/>
        <v>0.71307999999902449</v>
      </c>
      <c r="D571" s="2">
        <f t="shared" si="82"/>
        <v>14.567640600000232</v>
      </c>
      <c r="E571" s="2"/>
      <c r="F571">
        <v>2920.1711706000001</v>
      </c>
      <c r="G571">
        <v>234</v>
      </c>
      <c r="H571">
        <v>312</v>
      </c>
      <c r="I571">
        <v>230.92500000000001</v>
      </c>
      <c r="J571">
        <v>314.358</v>
      </c>
      <c r="K571">
        <v>235.62653142857101</v>
      </c>
      <c r="L571">
        <v>305.19087999999903</v>
      </c>
      <c r="M571">
        <v>351.09975343768099</v>
      </c>
      <c r="N571">
        <v>0</v>
      </c>
      <c r="O571">
        <v>0</v>
      </c>
      <c r="P571">
        <v>0</v>
      </c>
      <c r="Q571">
        <v>0</v>
      </c>
      <c r="R571">
        <v>-7.3337583541870097E-3</v>
      </c>
      <c r="S571">
        <v>-9.7389778137207006E-2</v>
      </c>
      <c r="T571">
        <v>0</v>
      </c>
      <c r="U571">
        <v>166.255</v>
      </c>
      <c r="V571">
        <v>-0.56699999999999995</v>
      </c>
      <c r="W571">
        <v>0.187</v>
      </c>
      <c r="X571">
        <v>0.72299999999999998</v>
      </c>
      <c r="Y571" t="b">
        <v>1</v>
      </c>
      <c r="Z571">
        <v>78</v>
      </c>
      <c r="AA571">
        <f t="shared" si="81"/>
        <v>-0.73337583541870099</v>
      </c>
      <c r="AB571">
        <f t="shared" si="86"/>
        <v>282.69655963703224</v>
      </c>
      <c r="AC571">
        <f t="shared" si="83"/>
        <v>22.587695679905529</v>
      </c>
    </row>
    <row r="572" spans="1:29" x14ac:dyDescent="0.3">
      <c r="A572">
        <f t="shared" si="80"/>
        <v>0</v>
      </c>
      <c r="B572" s="2">
        <f t="shared" si="85"/>
        <v>30.591799999911018</v>
      </c>
      <c r="C572" s="2">
        <f t="shared" si="84"/>
        <v>0.36711428571499027</v>
      </c>
      <c r="D572" s="2">
        <f t="shared" si="82"/>
        <v>14.598232400000143</v>
      </c>
      <c r="E572" s="2"/>
      <c r="F572">
        <v>2920.2017624</v>
      </c>
      <c r="G572">
        <v>234</v>
      </c>
      <c r="H572">
        <v>312</v>
      </c>
      <c r="I572">
        <v>230.80199999999999</v>
      </c>
      <c r="J572">
        <v>314.358</v>
      </c>
      <c r="K572">
        <v>235.21033714285699</v>
      </c>
      <c r="L572">
        <v>305.55799428571402</v>
      </c>
      <c r="M572">
        <v>351.09975343768099</v>
      </c>
      <c r="N572">
        <v>0</v>
      </c>
      <c r="O572">
        <v>0</v>
      </c>
      <c r="P572">
        <v>0</v>
      </c>
      <c r="Q572">
        <v>0</v>
      </c>
      <c r="R572">
        <v>-2.9105709075927699E-2</v>
      </c>
      <c r="S572">
        <v>-9.8782211303710898E-2</v>
      </c>
      <c r="T572">
        <v>0</v>
      </c>
      <c r="U572">
        <v>166.24600000000001</v>
      </c>
      <c r="V572">
        <v>-0.34200000000000003</v>
      </c>
      <c r="W572">
        <v>0.34699999999999998</v>
      </c>
      <c r="X572">
        <v>0.70399999999999996</v>
      </c>
      <c r="Y572" t="b">
        <v>1</v>
      </c>
      <c r="Z572">
        <v>78</v>
      </c>
      <c r="AA572">
        <f t="shared" si="81"/>
        <v>-2.9105709075927697</v>
      </c>
      <c r="AB572">
        <f t="shared" si="86"/>
        <v>282.67412435015035</v>
      </c>
      <c r="AC572">
        <f t="shared" si="83"/>
        <v>12.000414677006848</v>
      </c>
    </row>
    <row r="573" spans="1:29" x14ac:dyDescent="0.3">
      <c r="A573">
        <f t="shared" si="80"/>
        <v>0</v>
      </c>
      <c r="B573" s="2">
        <f t="shared" si="85"/>
        <v>47.234799999841925</v>
      </c>
      <c r="C573" s="2">
        <f t="shared" si="84"/>
        <v>0.1613657142859779</v>
      </c>
      <c r="D573" s="2">
        <f t="shared" si="82"/>
        <v>14.645467199999985</v>
      </c>
      <c r="E573" s="2"/>
      <c r="F573">
        <v>2920.2489971999998</v>
      </c>
      <c r="G573">
        <v>234</v>
      </c>
      <c r="H573">
        <v>312</v>
      </c>
      <c r="I573">
        <v>230.679</v>
      </c>
      <c r="J573">
        <v>314.358</v>
      </c>
      <c r="K573">
        <v>234.81035999999901</v>
      </c>
      <c r="L573">
        <v>305.71935999999999</v>
      </c>
      <c r="M573">
        <v>351.09975343768099</v>
      </c>
      <c r="N573">
        <v>0</v>
      </c>
      <c r="O573">
        <v>0</v>
      </c>
      <c r="P573">
        <v>0</v>
      </c>
      <c r="Q573">
        <v>0</v>
      </c>
      <c r="R573">
        <v>-4.7954853057861298E-2</v>
      </c>
      <c r="S573">
        <v>-7.1848220825195305E-2</v>
      </c>
      <c r="T573">
        <v>0</v>
      </c>
      <c r="U573">
        <v>166.23400000000001</v>
      </c>
      <c r="V573">
        <v>-0.13600000000000001</v>
      </c>
      <c r="W573">
        <v>0.22600000000000001</v>
      </c>
      <c r="X573">
        <v>0.67100000000000004</v>
      </c>
      <c r="Y573" t="b">
        <v>1</v>
      </c>
      <c r="Z573">
        <v>78</v>
      </c>
      <c r="AA573">
        <f t="shared" si="81"/>
        <v>-4.79548530578613</v>
      </c>
      <c r="AB573">
        <f t="shared" si="86"/>
        <v>282.53664411544486</v>
      </c>
      <c r="AC573">
        <f t="shared" si="83"/>
        <v>3.4162463752681904</v>
      </c>
    </row>
    <row r="574" spans="1:29" x14ac:dyDescent="0.3">
      <c r="A574">
        <f t="shared" si="80"/>
        <v>0</v>
      </c>
      <c r="B574" s="2">
        <f t="shared" si="85"/>
        <v>30.838300000141317</v>
      </c>
      <c r="C574" s="2">
        <f t="shared" si="84"/>
        <v>0.31664000000000669</v>
      </c>
      <c r="D574" s="2">
        <f t="shared" si="82"/>
        <v>14.676305500000126</v>
      </c>
      <c r="E574" s="2"/>
      <c r="F574">
        <v>2920.2798355</v>
      </c>
      <c r="G574">
        <v>234</v>
      </c>
      <c r="H574">
        <v>312</v>
      </c>
      <c r="I574">
        <v>230.55600000000001</v>
      </c>
      <c r="J574">
        <v>314.62</v>
      </c>
      <c r="K574">
        <v>234.42659999999901</v>
      </c>
      <c r="L574">
        <v>306.036</v>
      </c>
      <c r="M574">
        <v>351.09975343768099</v>
      </c>
      <c r="N574">
        <v>0</v>
      </c>
      <c r="O574">
        <v>0</v>
      </c>
      <c r="P574">
        <v>0</v>
      </c>
      <c r="Q574">
        <v>0</v>
      </c>
      <c r="R574">
        <v>-4.7954853057861298E-2</v>
      </c>
      <c r="S574">
        <v>-7.1848220825195305E-2</v>
      </c>
      <c r="T574">
        <v>0</v>
      </c>
      <c r="U574">
        <v>166.23400000000001</v>
      </c>
      <c r="V574">
        <v>-0.13600000000000001</v>
      </c>
      <c r="W574">
        <v>0.22600000000000001</v>
      </c>
      <c r="X574">
        <v>0.67100000000000004</v>
      </c>
      <c r="Y574" t="b">
        <v>1</v>
      </c>
      <c r="Z574">
        <v>78</v>
      </c>
      <c r="AA574">
        <f t="shared" si="81"/>
        <v>-4.79548530578613</v>
      </c>
      <c r="AB574">
        <f t="shared" si="86"/>
        <v>282.38875950093876</v>
      </c>
      <c r="AC574">
        <f t="shared" si="83"/>
        <v>10.267751464852333</v>
      </c>
    </row>
    <row r="575" spans="1:29" x14ac:dyDescent="0.3">
      <c r="A575">
        <f t="shared" si="80"/>
        <v>0</v>
      </c>
      <c r="B575" s="2">
        <f t="shared" si="85"/>
        <v>15.345299999808049</v>
      </c>
      <c r="C575" s="2">
        <f t="shared" si="84"/>
        <v>0.35331999999999653</v>
      </c>
      <c r="D575" s="2">
        <f t="shared" si="82"/>
        <v>14.691650799999934</v>
      </c>
      <c r="E575" s="2"/>
      <c r="F575">
        <v>2920.2951807999998</v>
      </c>
      <c r="G575">
        <v>234</v>
      </c>
      <c r="H575">
        <v>312</v>
      </c>
      <c r="I575">
        <v>230.31</v>
      </c>
      <c r="J575">
        <v>315.01299999999998</v>
      </c>
      <c r="K575">
        <v>234.04775999999899</v>
      </c>
      <c r="L575">
        <v>306.38932</v>
      </c>
      <c r="M575">
        <v>351.09975343768099</v>
      </c>
      <c r="N575">
        <v>0</v>
      </c>
      <c r="O575">
        <v>0</v>
      </c>
      <c r="P575">
        <v>0</v>
      </c>
      <c r="Q575">
        <v>0</v>
      </c>
      <c r="R575">
        <v>-4.7954853057861298E-2</v>
      </c>
      <c r="S575">
        <v>-7.1848220825195305E-2</v>
      </c>
      <c r="T575">
        <v>0</v>
      </c>
      <c r="U575">
        <v>166.23400000000001</v>
      </c>
      <c r="V575">
        <v>-0.13600000000000001</v>
      </c>
      <c r="W575">
        <v>0.22600000000000001</v>
      </c>
      <c r="X575">
        <v>0.67100000000000004</v>
      </c>
      <c r="Y575" t="b">
        <v>1</v>
      </c>
      <c r="Z575">
        <v>78</v>
      </c>
      <c r="AA575">
        <f t="shared" si="81"/>
        <v>-4.79548530578613</v>
      </c>
      <c r="AB575">
        <f t="shared" si="86"/>
        <v>282.31517134027678</v>
      </c>
      <c r="AC575">
        <f t="shared" si="83"/>
        <v>23.024639466443546</v>
      </c>
    </row>
    <row r="576" spans="1:29" x14ac:dyDescent="0.3">
      <c r="A576">
        <f t="shared" si="80"/>
        <v>0</v>
      </c>
      <c r="B576" s="2">
        <f t="shared" si="85"/>
        <v>45.731900000191672</v>
      </c>
      <c r="C576" s="2">
        <f t="shared" si="84"/>
        <v>0.38999999999998636</v>
      </c>
      <c r="D576" s="2">
        <f t="shared" si="82"/>
        <v>14.737382700000126</v>
      </c>
      <c r="E576" s="2"/>
      <c r="F576">
        <v>2920.3409127</v>
      </c>
      <c r="G576">
        <v>234</v>
      </c>
      <c r="H576">
        <v>312</v>
      </c>
      <c r="I576">
        <v>229.941</v>
      </c>
      <c r="J576">
        <v>315.40600000000001</v>
      </c>
      <c r="K576">
        <v>233.66891999999899</v>
      </c>
      <c r="L576">
        <v>306.77931999999998</v>
      </c>
      <c r="M576">
        <v>351.09975343768099</v>
      </c>
      <c r="N576">
        <v>0</v>
      </c>
      <c r="O576">
        <v>0</v>
      </c>
      <c r="P576">
        <v>0</v>
      </c>
      <c r="Q576">
        <v>0</v>
      </c>
      <c r="R576">
        <v>-6.7535140991210899E-2</v>
      </c>
      <c r="S576">
        <v>-5.5314441680908197E-2</v>
      </c>
      <c r="T576">
        <v>0</v>
      </c>
      <c r="U576">
        <v>166.196</v>
      </c>
      <c r="V576">
        <v>-0.13600000000000001</v>
      </c>
      <c r="W576">
        <v>0.23699999999999999</v>
      </c>
      <c r="X576">
        <v>0.61099999999999999</v>
      </c>
      <c r="Y576" t="b">
        <v>1</v>
      </c>
      <c r="Z576">
        <v>78</v>
      </c>
      <c r="AA576">
        <f t="shared" si="81"/>
        <v>-6.75351409912109</v>
      </c>
      <c r="AB576">
        <f t="shared" si="86"/>
        <v>282.09586468582017</v>
      </c>
      <c r="AC576">
        <f t="shared" si="83"/>
        <v>8.5279640688086822</v>
      </c>
    </row>
    <row r="577" spans="1:29" x14ac:dyDescent="0.3">
      <c r="A577">
        <f t="shared" si="80"/>
        <v>0</v>
      </c>
      <c r="B577" s="2">
        <f t="shared" si="85"/>
        <v>61.318200000187062</v>
      </c>
      <c r="C577" s="2">
        <f t="shared" si="84"/>
        <v>0.42667999999900985</v>
      </c>
      <c r="D577" s="2">
        <f t="shared" si="82"/>
        <v>14.798700900000313</v>
      </c>
      <c r="E577" s="2"/>
      <c r="F577">
        <v>2920.4022309000002</v>
      </c>
      <c r="G577">
        <v>234</v>
      </c>
      <c r="H577">
        <v>312</v>
      </c>
      <c r="I577">
        <v>229.44900000000001</v>
      </c>
      <c r="J577">
        <v>315.66800000000001</v>
      </c>
      <c r="K577">
        <v>233.280239999999</v>
      </c>
      <c r="L577">
        <v>307.20599999999899</v>
      </c>
      <c r="M577">
        <v>351.09975343768099</v>
      </c>
      <c r="N577">
        <v>0</v>
      </c>
      <c r="O577">
        <v>0</v>
      </c>
      <c r="P577">
        <v>0</v>
      </c>
      <c r="Q577">
        <v>0</v>
      </c>
      <c r="R577">
        <v>-6.7535140991210899E-2</v>
      </c>
      <c r="S577">
        <v>-5.5314441680908197E-2</v>
      </c>
      <c r="T577">
        <v>0</v>
      </c>
      <c r="U577">
        <v>166.196</v>
      </c>
      <c r="V577">
        <v>-0.13600000000000001</v>
      </c>
      <c r="W577">
        <v>0.23699999999999999</v>
      </c>
      <c r="X577">
        <v>0.61099999999999999</v>
      </c>
      <c r="Y577" t="b">
        <v>1</v>
      </c>
      <c r="Z577">
        <v>78</v>
      </c>
      <c r="AA577">
        <f t="shared" si="81"/>
        <v>-6.75351409912109</v>
      </c>
      <c r="AB577">
        <f t="shared" si="86"/>
        <v>281.68175135758617</v>
      </c>
      <c r="AC577">
        <f t="shared" si="83"/>
        <v>6.9584560537932978</v>
      </c>
    </row>
    <row r="578" spans="1:29" x14ac:dyDescent="0.3">
      <c r="A578">
        <f t="shared" si="80"/>
        <v>0</v>
      </c>
      <c r="B578" s="2">
        <f t="shared" si="85"/>
        <v>15.742599999612139</v>
      </c>
      <c r="C578" s="2">
        <f t="shared" si="84"/>
        <v>0.45812000000103126</v>
      </c>
      <c r="D578" s="2">
        <f t="shared" si="82"/>
        <v>14.814443499999925</v>
      </c>
      <c r="E578" s="2"/>
      <c r="F578">
        <v>2920.4179734999998</v>
      </c>
      <c r="G578">
        <v>234</v>
      </c>
      <c r="H578">
        <v>312</v>
      </c>
      <c r="I578">
        <v>228.465</v>
      </c>
      <c r="J578">
        <v>315.79899999999998</v>
      </c>
      <c r="K578">
        <v>232.86695999999901</v>
      </c>
      <c r="L578">
        <v>307.66412000000003</v>
      </c>
      <c r="M578">
        <v>351.09975343768099</v>
      </c>
      <c r="N578">
        <v>0</v>
      </c>
      <c r="O578">
        <v>0</v>
      </c>
      <c r="P578">
        <v>0</v>
      </c>
      <c r="Q578">
        <v>0</v>
      </c>
      <c r="R578">
        <v>-6.7535140991210899E-2</v>
      </c>
      <c r="S578">
        <v>-5.5314441680908197E-2</v>
      </c>
      <c r="T578">
        <v>0</v>
      </c>
      <c r="U578">
        <v>166.196</v>
      </c>
      <c r="V578">
        <v>-0.13600000000000001</v>
      </c>
      <c r="W578">
        <v>0.23699999999999999</v>
      </c>
      <c r="X578">
        <v>0.61099999999999999</v>
      </c>
      <c r="Y578" t="b">
        <v>1</v>
      </c>
      <c r="Z578">
        <v>78</v>
      </c>
      <c r="AA578">
        <f t="shared" si="81"/>
        <v>-6.75351409912109</v>
      </c>
      <c r="AB578">
        <f t="shared" si="86"/>
        <v>281.57543348653195</v>
      </c>
      <c r="AC578">
        <f t="shared" si="83"/>
        <v>29.100656817318502</v>
      </c>
    </row>
    <row r="579" spans="1:29" x14ac:dyDescent="0.3">
      <c r="A579">
        <f t="shared" si="80"/>
        <v>0</v>
      </c>
      <c r="B579" s="2">
        <f t="shared" si="85"/>
        <v>31.17130000009638</v>
      </c>
      <c r="C579" s="2">
        <f t="shared" si="84"/>
        <v>0.49479999999999791</v>
      </c>
      <c r="D579" s="2">
        <f t="shared" si="82"/>
        <v>14.845614800000021</v>
      </c>
      <c r="E579" s="2"/>
      <c r="F579">
        <v>2920.4491447999999</v>
      </c>
      <c r="G579">
        <v>234</v>
      </c>
      <c r="H579">
        <v>312</v>
      </c>
      <c r="I579">
        <v>227.48099999999999</v>
      </c>
      <c r="J579">
        <v>315.93</v>
      </c>
      <c r="K579">
        <v>232.42415999999901</v>
      </c>
      <c r="L579">
        <v>308.15892000000002</v>
      </c>
      <c r="M579">
        <v>351.09975343768099</v>
      </c>
      <c r="N579">
        <v>0</v>
      </c>
      <c r="O579">
        <v>0</v>
      </c>
      <c r="P579">
        <v>0</v>
      </c>
      <c r="Q579">
        <v>0</v>
      </c>
      <c r="R579">
        <v>-8.6129005432128897E-2</v>
      </c>
      <c r="S579">
        <v>-5.0330276489257801E-2</v>
      </c>
      <c r="T579">
        <v>0</v>
      </c>
      <c r="U579">
        <v>166.178</v>
      </c>
      <c r="V579">
        <v>-0.252</v>
      </c>
      <c r="W579">
        <v>0.42499999999999999</v>
      </c>
      <c r="X579">
        <v>0.56699999999999995</v>
      </c>
      <c r="Y579" t="b">
        <v>1</v>
      </c>
      <c r="Z579">
        <v>78</v>
      </c>
      <c r="AA579">
        <f t="shared" si="81"/>
        <v>-8.6129005432128896</v>
      </c>
      <c r="AB579">
        <f t="shared" si="86"/>
        <v>281.36491767249339</v>
      </c>
      <c r="AC579">
        <f t="shared" si="83"/>
        <v>15.87357601378409</v>
      </c>
    </row>
    <row r="580" spans="1:29" x14ac:dyDescent="0.3">
      <c r="A580">
        <f t="shared" si="80"/>
        <v>0</v>
      </c>
      <c r="B580" s="2">
        <f t="shared" si="85"/>
        <v>15.385100000003149</v>
      </c>
      <c r="C580" s="2">
        <f t="shared" si="84"/>
        <v>0.52623999999997295</v>
      </c>
      <c r="D580" s="2">
        <f t="shared" si="82"/>
        <v>14.860999900000024</v>
      </c>
      <c r="E580" s="2"/>
      <c r="F580">
        <v>2920.4645298999999</v>
      </c>
      <c r="G580">
        <v>234</v>
      </c>
      <c r="H580">
        <v>312</v>
      </c>
      <c r="I580">
        <v>226.62</v>
      </c>
      <c r="J580">
        <v>315.93</v>
      </c>
      <c r="K580">
        <v>231.966599999999</v>
      </c>
      <c r="L580">
        <v>308.68516</v>
      </c>
      <c r="M580">
        <v>351.09975343768099</v>
      </c>
      <c r="N580">
        <v>0</v>
      </c>
      <c r="O580">
        <v>0</v>
      </c>
      <c r="P580">
        <v>0</v>
      </c>
      <c r="Q580">
        <v>0</v>
      </c>
      <c r="R580">
        <v>-8.6129005432128897E-2</v>
      </c>
      <c r="S580">
        <v>-5.0330276489257801E-2</v>
      </c>
      <c r="T580">
        <v>0</v>
      </c>
      <c r="U580">
        <v>166.178</v>
      </c>
      <c r="V580">
        <v>-0.252</v>
      </c>
      <c r="W580">
        <v>0.42499999999999999</v>
      </c>
      <c r="X580">
        <v>0.56699999999999995</v>
      </c>
      <c r="Y580" t="b">
        <v>1</v>
      </c>
      <c r="Z580">
        <v>78</v>
      </c>
      <c r="AA580">
        <f t="shared" si="81"/>
        <v>-8.6129005432128896</v>
      </c>
      <c r="AB580">
        <f t="shared" si="86"/>
        <v>281.232407336346</v>
      </c>
      <c r="AC580">
        <f t="shared" si="83"/>
        <v>34.20452255753068</v>
      </c>
    </row>
    <row r="581" spans="1:29" x14ac:dyDescent="0.3">
      <c r="A581">
        <f t="shared" si="80"/>
        <v>0</v>
      </c>
      <c r="B581" s="2">
        <f t="shared" si="85"/>
        <v>31.367000000045664</v>
      </c>
      <c r="C581" s="2">
        <f t="shared" si="84"/>
        <v>0.53672000000000253</v>
      </c>
      <c r="D581" s="2">
        <f t="shared" si="82"/>
        <v>14.89236690000007</v>
      </c>
      <c r="E581" s="2"/>
      <c r="F581">
        <v>2920.4958968999999</v>
      </c>
      <c r="G581">
        <v>224.25</v>
      </c>
      <c r="H581">
        <v>312</v>
      </c>
      <c r="I581">
        <v>226.21799999999999</v>
      </c>
      <c r="J581">
        <v>315.53699999999998</v>
      </c>
      <c r="K581">
        <v>231.51264</v>
      </c>
      <c r="L581">
        <v>309.22188</v>
      </c>
      <c r="M581">
        <v>351.09975343768099</v>
      </c>
      <c r="N581">
        <v>0</v>
      </c>
      <c r="O581">
        <v>0</v>
      </c>
      <c r="P581">
        <v>0</v>
      </c>
      <c r="Q581">
        <v>0</v>
      </c>
      <c r="R581">
        <v>-8.6129005432128897E-2</v>
      </c>
      <c r="S581">
        <v>-5.0330276489257801E-2</v>
      </c>
      <c r="T581">
        <v>0</v>
      </c>
      <c r="U581">
        <v>166.178</v>
      </c>
      <c r="V581">
        <v>-0.252</v>
      </c>
      <c r="W581">
        <v>0.42499999999999999</v>
      </c>
      <c r="X581">
        <v>0.56699999999999995</v>
      </c>
      <c r="Y581" t="b">
        <v>1</v>
      </c>
      <c r="Z581">
        <v>78</v>
      </c>
      <c r="AA581">
        <f t="shared" si="81"/>
        <v>-8.6129005432128896</v>
      </c>
      <c r="AB581">
        <f t="shared" si="86"/>
        <v>280.96224648500663</v>
      </c>
      <c r="AC581">
        <f t="shared" si="83"/>
        <v>17.110976503944311</v>
      </c>
    </row>
    <row r="582" spans="1:29" x14ac:dyDescent="0.3">
      <c r="A582">
        <f t="shared" si="80"/>
        <v>0</v>
      </c>
      <c r="B582" s="2">
        <f t="shared" si="85"/>
        <v>30.708600000252773</v>
      </c>
      <c r="C582" s="2">
        <f t="shared" si="84"/>
        <v>0.56292000000001963</v>
      </c>
      <c r="D582" s="2">
        <f t="shared" si="82"/>
        <v>14.923075500000323</v>
      </c>
      <c r="E582" s="2"/>
      <c r="F582">
        <v>2920.5266055000002</v>
      </c>
      <c r="G582">
        <v>224.25</v>
      </c>
      <c r="H582">
        <v>312</v>
      </c>
      <c r="I582">
        <v>225.48</v>
      </c>
      <c r="J582">
        <v>315.40600000000001</v>
      </c>
      <c r="K582">
        <v>231.05375999999899</v>
      </c>
      <c r="L582">
        <v>309.78480000000002</v>
      </c>
      <c r="M582">
        <v>351.09975343768099</v>
      </c>
      <c r="N582">
        <v>0</v>
      </c>
      <c r="O582">
        <v>0</v>
      </c>
      <c r="P582">
        <v>0</v>
      </c>
      <c r="Q582">
        <v>0</v>
      </c>
      <c r="R582">
        <v>-9.2627632141113206E-2</v>
      </c>
      <c r="S582">
        <v>-4.36117706298828E-2</v>
      </c>
      <c r="T582">
        <v>0</v>
      </c>
      <c r="U582">
        <v>166.096</v>
      </c>
      <c r="V582">
        <v>-0.36099999999999999</v>
      </c>
      <c r="W582">
        <v>0.52800000000000002</v>
      </c>
      <c r="X582">
        <v>0.52300000000000002</v>
      </c>
      <c r="Y582" t="b">
        <v>1</v>
      </c>
      <c r="Z582">
        <v>78</v>
      </c>
      <c r="AA582">
        <f t="shared" si="81"/>
        <v>-9.2627632141113203</v>
      </c>
      <c r="AB582">
        <f t="shared" si="86"/>
        <v>280.69775636738314</v>
      </c>
      <c r="AC582">
        <f t="shared" si="83"/>
        <v>18.331021277276921</v>
      </c>
    </row>
    <row r="583" spans="1:29" x14ac:dyDescent="0.3">
      <c r="A583">
        <f t="shared" ref="A583:A646" si="87">N583*10000</f>
        <v>0</v>
      </c>
      <c r="B583" s="2">
        <f t="shared" si="85"/>
        <v>30.441199999586388</v>
      </c>
      <c r="C583" s="2">
        <f t="shared" si="84"/>
        <v>0.58911999999997988</v>
      </c>
      <c r="D583" s="2">
        <f t="shared" si="82"/>
        <v>14.953516699999909</v>
      </c>
      <c r="E583" s="2"/>
      <c r="F583">
        <v>2920.5570466999998</v>
      </c>
      <c r="G583">
        <v>224.25</v>
      </c>
      <c r="H583">
        <v>312</v>
      </c>
      <c r="I583">
        <v>224.86500000000001</v>
      </c>
      <c r="J583">
        <v>315.40600000000001</v>
      </c>
      <c r="K583">
        <v>230.59487999999999</v>
      </c>
      <c r="L583">
        <v>310.37392</v>
      </c>
      <c r="M583">
        <v>351.09975343768099</v>
      </c>
      <c r="N583">
        <v>0</v>
      </c>
      <c r="O583">
        <v>0</v>
      </c>
      <c r="P583">
        <v>0</v>
      </c>
      <c r="Q583">
        <v>0</v>
      </c>
      <c r="R583">
        <v>-0.102835624694824</v>
      </c>
      <c r="S583">
        <v>-2.66082649230957E-2</v>
      </c>
      <c r="T583">
        <v>0</v>
      </c>
      <c r="U583">
        <v>165.99199999999999</v>
      </c>
      <c r="V583">
        <v>-0.42</v>
      </c>
      <c r="W583">
        <v>0.46500000000000002</v>
      </c>
      <c r="X583">
        <v>0.47499999999999998</v>
      </c>
      <c r="Y583" t="b">
        <v>1</v>
      </c>
      <c r="Z583">
        <v>78</v>
      </c>
      <c r="AA583">
        <f t="shared" ref="AA583:AA646" si="88">R583*100</f>
        <v>-10.283562469482401</v>
      </c>
      <c r="AB583">
        <f t="shared" si="86"/>
        <v>280.41578673983355</v>
      </c>
      <c r="AC583">
        <f t="shared" si="83"/>
        <v>19.352719341155552</v>
      </c>
    </row>
    <row r="584" spans="1:29" x14ac:dyDescent="0.3">
      <c r="A584">
        <f t="shared" si="87"/>
        <v>0</v>
      </c>
      <c r="B584" s="2">
        <f t="shared" si="85"/>
        <v>46.655700000428624</v>
      </c>
      <c r="C584" s="2">
        <f t="shared" si="84"/>
        <v>0.59960000000000946</v>
      </c>
      <c r="D584" s="2">
        <f t="shared" ref="D584:D647" si="89">F584-$F$7</f>
        <v>15.000172400000338</v>
      </c>
      <c r="E584" s="2"/>
      <c r="F584">
        <v>2920.6037024000002</v>
      </c>
      <c r="G584">
        <v>224.25</v>
      </c>
      <c r="H584">
        <v>312</v>
      </c>
      <c r="I584">
        <v>224.37299999999999</v>
      </c>
      <c r="J584">
        <v>315.27499999999998</v>
      </c>
      <c r="K584">
        <v>230.145839999999</v>
      </c>
      <c r="L584">
        <v>310.97352000000001</v>
      </c>
      <c r="M584">
        <v>351.09975343768099</v>
      </c>
      <c r="N584">
        <v>0</v>
      </c>
      <c r="O584">
        <v>0</v>
      </c>
      <c r="P584">
        <v>0</v>
      </c>
      <c r="Q584">
        <v>0</v>
      </c>
      <c r="R584">
        <v>-0.102835624694824</v>
      </c>
      <c r="S584">
        <v>-2.66082649230957E-2</v>
      </c>
      <c r="T584">
        <v>0</v>
      </c>
      <c r="U584">
        <v>165.99199999999999</v>
      </c>
      <c r="V584">
        <v>-0.42</v>
      </c>
      <c r="W584">
        <v>0.46500000000000002</v>
      </c>
      <c r="X584">
        <v>0.47499999999999998</v>
      </c>
      <c r="Y584" t="b">
        <v>1</v>
      </c>
      <c r="Z584">
        <v>78</v>
      </c>
      <c r="AA584">
        <f t="shared" si="88"/>
        <v>-10.283562469482401</v>
      </c>
      <c r="AB584">
        <f t="shared" si="86"/>
        <v>279.93599993432173</v>
      </c>
      <c r="AC584">
        <f t="shared" ref="AC584:AC647" si="90">IF((L584-L583)/(D584-D583)&lt;100,IF((L584-L583)/(D584-D583)&gt;(-1*20),(L584-L583)/(D584-D583),AC583))</f>
        <v>12.851591552468422</v>
      </c>
    </row>
    <row r="585" spans="1:29" x14ac:dyDescent="0.3">
      <c r="A585">
        <f t="shared" si="87"/>
        <v>0</v>
      </c>
      <c r="B585" s="2">
        <f t="shared" si="85"/>
        <v>30.821599999853788</v>
      </c>
      <c r="C585" s="2">
        <f t="shared" ref="C585:C648" si="91">L585-L584</f>
        <v>0.62579999999996971</v>
      </c>
      <c r="D585" s="2">
        <f t="shared" si="89"/>
        <v>15.030994000000192</v>
      </c>
      <c r="E585" s="2"/>
      <c r="F585">
        <v>2920.6345240000001</v>
      </c>
      <c r="G585">
        <v>224.25</v>
      </c>
      <c r="H585">
        <v>312</v>
      </c>
      <c r="I585">
        <v>223.881</v>
      </c>
      <c r="J585">
        <v>315.40600000000001</v>
      </c>
      <c r="K585">
        <v>229.696799999999</v>
      </c>
      <c r="L585">
        <v>311.59931999999998</v>
      </c>
      <c r="M585">
        <v>351.09975343768099</v>
      </c>
      <c r="N585">
        <v>0</v>
      </c>
      <c r="O585">
        <v>0</v>
      </c>
      <c r="P585">
        <v>0</v>
      </c>
      <c r="Q585">
        <v>0</v>
      </c>
      <c r="R585">
        <v>-0.113728691101074</v>
      </c>
      <c r="S585">
        <v>-2.3383192062377899E-2</v>
      </c>
      <c r="T585">
        <v>0</v>
      </c>
      <c r="U585">
        <v>165.91499999999999</v>
      </c>
      <c r="V585">
        <v>-0.64800000000000002</v>
      </c>
      <c r="W585">
        <v>0.17899999999999999</v>
      </c>
      <c r="X585">
        <v>0.42399999999999999</v>
      </c>
      <c r="Y585" t="b">
        <v>1</v>
      </c>
      <c r="Z585">
        <v>78</v>
      </c>
      <c r="AA585">
        <f t="shared" si="88"/>
        <v>-11.3728691101074</v>
      </c>
      <c r="AB585">
        <f t="shared" si="86"/>
        <v>279.61904408531382</v>
      </c>
      <c r="AC585">
        <f t="shared" si="90"/>
        <v>20.303942689637733</v>
      </c>
    </row>
    <row r="586" spans="1:29" x14ac:dyDescent="0.3">
      <c r="A586">
        <f t="shared" si="87"/>
        <v>0</v>
      </c>
      <c r="B586" s="2">
        <f t="shared" si="85"/>
        <v>31.756699999732518</v>
      </c>
      <c r="C586" s="2">
        <f t="shared" si="91"/>
        <v>0.64676000000002887</v>
      </c>
      <c r="D586" s="2">
        <f t="shared" si="89"/>
        <v>15.062750699999924</v>
      </c>
      <c r="E586" s="2"/>
      <c r="F586">
        <v>2920.6662806999998</v>
      </c>
      <c r="G586">
        <v>214.5</v>
      </c>
      <c r="H586">
        <v>312</v>
      </c>
      <c r="I586">
        <v>224.46299999999999</v>
      </c>
      <c r="J586">
        <v>315.40600000000001</v>
      </c>
      <c r="K586">
        <v>229.300559999999</v>
      </c>
      <c r="L586">
        <v>312.24608000000001</v>
      </c>
      <c r="M586">
        <v>351.09975343768099</v>
      </c>
      <c r="N586">
        <v>0</v>
      </c>
      <c r="O586">
        <v>0</v>
      </c>
      <c r="P586">
        <v>0</v>
      </c>
      <c r="Q586">
        <v>0</v>
      </c>
      <c r="R586">
        <v>-0.113728691101074</v>
      </c>
      <c r="S586">
        <v>-2.3383192062377899E-2</v>
      </c>
      <c r="T586">
        <v>0</v>
      </c>
      <c r="U586">
        <v>165.91499999999999</v>
      </c>
      <c r="V586">
        <v>-0.64800000000000002</v>
      </c>
      <c r="W586">
        <v>0.17899999999999999</v>
      </c>
      <c r="X586">
        <v>0.42399999999999999</v>
      </c>
      <c r="Y586" t="b">
        <v>1</v>
      </c>
      <c r="Z586">
        <v>78</v>
      </c>
      <c r="AA586">
        <f t="shared" si="88"/>
        <v>-11.3728691101074</v>
      </c>
      <c r="AB586">
        <f t="shared" si="86"/>
        <v>279.25787929284792</v>
      </c>
      <c r="AC586">
        <f t="shared" si="90"/>
        <v>20.36609597362057</v>
      </c>
    </row>
    <row r="587" spans="1:29" x14ac:dyDescent="0.3">
      <c r="A587">
        <f t="shared" si="87"/>
        <v>0</v>
      </c>
      <c r="B587" s="2">
        <f t="shared" si="85"/>
        <v>30.940800000280433</v>
      </c>
      <c r="C587" s="2">
        <f t="shared" si="91"/>
        <v>0.67820000000000391</v>
      </c>
      <c r="D587" s="2">
        <f t="shared" si="89"/>
        <v>15.093691500000205</v>
      </c>
      <c r="E587" s="2"/>
      <c r="F587">
        <v>2920.6972215000001</v>
      </c>
      <c r="G587">
        <v>214.5</v>
      </c>
      <c r="H587">
        <v>312</v>
      </c>
      <c r="I587">
        <v>224.46299999999999</v>
      </c>
      <c r="J587">
        <v>315.66800000000001</v>
      </c>
      <c r="K587">
        <v>228.93875999999901</v>
      </c>
      <c r="L587">
        <v>312.92428000000001</v>
      </c>
      <c r="M587">
        <v>351.09975343768099</v>
      </c>
      <c r="N587">
        <v>0</v>
      </c>
      <c r="O587">
        <v>0</v>
      </c>
      <c r="P587">
        <v>0</v>
      </c>
      <c r="Q587">
        <v>0</v>
      </c>
      <c r="R587">
        <v>-0.113728691101074</v>
      </c>
      <c r="S587">
        <v>-2.3383192062377899E-2</v>
      </c>
      <c r="T587">
        <v>0</v>
      </c>
      <c r="U587">
        <v>165.91499999999999</v>
      </c>
      <c r="V587">
        <v>-0.64800000000000002</v>
      </c>
      <c r="W587">
        <v>0.17899999999999999</v>
      </c>
      <c r="X587">
        <v>0.42399999999999999</v>
      </c>
      <c r="Y587" t="b">
        <v>1</v>
      </c>
      <c r="Z587">
        <v>78</v>
      </c>
      <c r="AA587">
        <f t="shared" si="88"/>
        <v>-11.3728691101074</v>
      </c>
      <c r="AB587">
        <f t="shared" si="86"/>
        <v>278.9059936242827</v>
      </c>
      <c r="AC587">
        <f t="shared" si="90"/>
        <v>21.919278105086391</v>
      </c>
    </row>
    <row r="588" spans="1:29" x14ac:dyDescent="0.3">
      <c r="A588">
        <f t="shared" si="87"/>
        <v>0</v>
      </c>
      <c r="B588" s="2">
        <f t="shared" si="85"/>
        <v>30.817699999715842</v>
      </c>
      <c r="C588" s="2">
        <f t="shared" si="91"/>
        <v>0.73583999999999605</v>
      </c>
      <c r="D588" s="2">
        <f t="shared" si="89"/>
        <v>15.12450919999992</v>
      </c>
      <c r="E588" s="2"/>
      <c r="F588">
        <v>2920.7280391999998</v>
      </c>
      <c r="G588">
        <v>224.25</v>
      </c>
      <c r="H588">
        <v>312</v>
      </c>
      <c r="I588">
        <v>223.02</v>
      </c>
      <c r="J588">
        <v>316.58499999999998</v>
      </c>
      <c r="K588">
        <v>228.54875999999899</v>
      </c>
      <c r="L588">
        <v>313.66012000000001</v>
      </c>
      <c r="M588">
        <v>351.09975343768099</v>
      </c>
      <c r="N588">
        <v>0</v>
      </c>
      <c r="O588">
        <v>0</v>
      </c>
      <c r="P588">
        <v>0</v>
      </c>
      <c r="Q588">
        <v>0</v>
      </c>
      <c r="R588">
        <v>-0.13771966552734299</v>
      </c>
      <c r="S588">
        <v>-3.3615417480468701E-2</v>
      </c>
      <c r="T588">
        <v>0</v>
      </c>
      <c r="U588">
        <v>165.77</v>
      </c>
      <c r="V588">
        <v>-1.002</v>
      </c>
      <c r="W588">
        <v>-0.183</v>
      </c>
      <c r="X588">
        <v>0.376</v>
      </c>
      <c r="Y588" t="b">
        <v>1</v>
      </c>
      <c r="Z588">
        <v>78</v>
      </c>
      <c r="AA588">
        <f t="shared" si="88"/>
        <v>-13.7719665527343</v>
      </c>
      <c r="AB588">
        <f t="shared" si="86"/>
        <v>278.55550795591137</v>
      </c>
      <c r="AC588">
        <f t="shared" si="90"/>
        <v>23.877187460672957</v>
      </c>
    </row>
    <row r="589" spans="1:29" x14ac:dyDescent="0.3">
      <c r="A589">
        <f t="shared" si="87"/>
        <v>0</v>
      </c>
      <c r="B589" s="2">
        <f t="shared" si="85"/>
        <v>30.971000000135973</v>
      </c>
      <c r="C589" s="2">
        <f t="shared" si="91"/>
        <v>0.78300000000001546</v>
      </c>
      <c r="D589" s="2">
        <f t="shared" si="89"/>
        <v>15.155480200000056</v>
      </c>
      <c r="E589" s="2"/>
      <c r="F589">
        <v>2920.7590101999999</v>
      </c>
      <c r="G589">
        <v>224.25</v>
      </c>
      <c r="H589">
        <v>312</v>
      </c>
      <c r="I589">
        <v>222.65100000000001</v>
      </c>
      <c r="J589">
        <v>317.10899999999998</v>
      </c>
      <c r="K589">
        <v>228.163679999999</v>
      </c>
      <c r="L589">
        <v>314.44312000000002</v>
      </c>
      <c r="M589">
        <v>351.09975343768099</v>
      </c>
      <c r="N589">
        <v>0</v>
      </c>
      <c r="O589">
        <v>0</v>
      </c>
      <c r="P589">
        <v>0</v>
      </c>
      <c r="Q589">
        <v>0</v>
      </c>
      <c r="R589">
        <v>-0.12870739746093701</v>
      </c>
      <c r="S589">
        <v>-2.0068540573120099E-2</v>
      </c>
      <c r="T589">
        <v>0</v>
      </c>
      <c r="U589">
        <v>165.61199999999999</v>
      </c>
      <c r="V589">
        <v>-1.518</v>
      </c>
      <c r="W589">
        <v>-0.46300000000000002</v>
      </c>
      <c r="X589">
        <v>0.32500000000000001</v>
      </c>
      <c r="Y589" t="b">
        <v>1</v>
      </c>
      <c r="Z589">
        <v>78</v>
      </c>
      <c r="AA589">
        <f t="shared" si="88"/>
        <v>-12.870739746093701</v>
      </c>
      <c r="AB589">
        <f t="shared" si="86"/>
        <v>278.12897637980478</v>
      </c>
      <c r="AC589">
        <f t="shared" si="90"/>
        <v>25.28171515277446</v>
      </c>
    </row>
    <row r="590" spans="1:29" x14ac:dyDescent="0.3">
      <c r="A590">
        <f t="shared" si="87"/>
        <v>0</v>
      </c>
      <c r="B590" s="2">
        <f t="shared" si="85"/>
        <v>46.410599999944679</v>
      </c>
      <c r="C590" s="2">
        <f t="shared" si="91"/>
        <v>0.68927999999999656</v>
      </c>
      <c r="D590" s="2">
        <f t="shared" si="89"/>
        <v>15.201890800000001</v>
      </c>
      <c r="E590" s="2"/>
      <c r="F590">
        <v>2920.8054207999999</v>
      </c>
      <c r="G590">
        <v>224.25</v>
      </c>
      <c r="H590">
        <v>312</v>
      </c>
      <c r="I590">
        <v>221.91300000000001</v>
      </c>
      <c r="J590">
        <v>318.15699999999998</v>
      </c>
      <c r="K590">
        <v>227.76035999999999</v>
      </c>
      <c r="L590">
        <v>315.13240000000002</v>
      </c>
      <c r="M590">
        <v>351.09975343768099</v>
      </c>
      <c r="N590">
        <v>0</v>
      </c>
      <c r="O590">
        <v>0</v>
      </c>
      <c r="P590">
        <v>0</v>
      </c>
      <c r="Q590">
        <v>0</v>
      </c>
      <c r="R590">
        <v>-0.12870739746093701</v>
      </c>
      <c r="S590">
        <v>-2.0068540573120099E-2</v>
      </c>
      <c r="T590">
        <v>0</v>
      </c>
      <c r="U590">
        <v>165.61199999999999</v>
      </c>
      <c r="V590">
        <v>-1.518</v>
      </c>
      <c r="W590">
        <v>-0.46300000000000002</v>
      </c>
      <c r="X590">
        <v>0.32500000000000001</v>
      </c>
      <c r="Y590" t="b">
        <v>1</v>
      </c>
      <c r="Z590">
        <v>78</v>
      </c>
      <c r="AA590">
        <f t="shared" si="88"/>
        <v>-12.870739746093701</v>
      </c>
      <c r="AB590">
        <f t="shared" si="86"/>
        <v>277.53163762574542</v>
      </c>
      <c r="AC590">
        <f t="shared" si="90"/>
        <v>14.85177955037897</v>
      </c>
    </row>
    <row r="591" spans="1:29" x14ac:dyDescent="0.3">
      <c r="A591">
        <f t="shared" si="87"/>
        <v>0</v>
      </c>
      <c r="B591" s="2">
        <f t="shared" si="85"/>
        <v>31.227400000261696</v>
      </c>
      <c r="C591" s="2">
        <f t="shared" si="91"/>
        <v>0.48843999999996868</v>
      </c>
      <c r="D591" s="2">
        <f t="shared" si="89"/>
        <v>15.233118200000263</v>
      </c>
      <c r="E591" s="2"/>
      <c r="F591">
        <v>2920.8366482000001</v>
      </c>
      <c r="G591">
        <v>224.25</v>
      </c>
      <c r="H591">
        <v>312</v>
      </c>
      <c r="I591">
        <v>221.667</v>
      </c>
      <c r="J591">
        <v>318.55</v>
      </c>
      <c r="K591">
        <v>227.35560000000001</v>
      </c>
      <c r="L591">
        <v>315.62083999999999</v>
      </c>
      <c r="M591">
        <v>351.09975343768099</v>
      </c>
      <c r="N591">
        <v>0</v>
      </c>
      <c r="O591">
        <v>0</v>
      </c>
      <c r="P591">
        <v>0</v>
      </c>
      <c r="Q591">
        <v>0</v>
      </c>
      <c r="R591">
        <v>-0.121933822631835</v>
      </c>
      <c r="S591">
        <v>-3.5743061065673799E-2</v>
      </c>
      <c r="T591">
        <v>0</v>
      </c>
      <c r="U591">
        <v>165.58099999999999</v>
      </c>
      <c r="V591">
        <v>-1.992</v>
      </c>
      <c r="W591">
        <v>-0.54</v>
      </c>
      <c r="X591">
        <v>0.28000000000000003</v>
      </c>
      <c r="Y591" t="b">
        <v>1</v>
      </c>
      <c r="Z591">
        <v>78</v>
      </c>
      <c r="AA591">
        <f t="shared" si="88"/>
        <v>-12.1933822631835</v>
      </c>
      <c r="AB591">
        <f t="shared" si="86"/>
        <v>277.12971788739486</v>
      </c>
      <c r="AC591">
        <f t="shared" si="90"/>
        <v>15.641391854457156</v>
      </c>
    </row>
    <row r="592" spans="1:29" x14ac:dyDescent="0.3">
      <c r="A592">
        <f t="shared" si="87"/>
        <v>0</v>
      </c>
      <c r="B592" s="2">
        <f t="shared" si="85"/>
        <v>31.650299999910203</v>
      </c>
      <c r="C592" s="2">
        <f t="shared" si="91"/>
        <v>0.14672000000001617</v>
      </c>
      <c r="D592" s="2">
        <f t="shared" si="89"/>
        <v>15.264768500000173</v>
      </c>
      <c r="E592" s="2"/>
      <c r="F592">
        <v>2920.8682985</v>
      </c>
      <c r="G592">
        <v>224.25</v>
      </c>
      <c r="H592">
        <v>312</v>
      </c>
      <c r="I592">
        <v>221.05199999999999</v>
      </c>
      <c r="J592">
        <v>319.46699999999998</v>
      </c>
      <c r="K592">
        <v>226.92624000000001</v>
      </c>
      <c r="L592">
        <v>315.76756</v>
      </c>
      <c r="M592">
        <v>351.09975343768099</v>
      </c>
      <c r="N592">
        <v>0</v>
      </c>
      <c r="O592">
        <v>0</v>
      </c>
      <c r="P592">
        <v>0</v>
      </c>
      <c r="Q592">
        <v>0</v>
      </c>
      <c r="R592">
        <v>-0.121933822631835</v>
      </c>
      <c r="S592">
        <v>-3.5743061065673799E-2</v>
      </c>
      <c r="T592">
        <v>0</v>
      </c>
      <c r="U592">
        <v>165.58099999999999</v>
      </c>
      <c r="V592">
        <v>-1.992</v>
      </c>
      <c r="W592">
        <v>-0.54</v>
      </c>
      <c r="X592">
        <v>0.28000000000000003</v>
      </c>
      <c r="Y592" t="b">
        <v>1</v>
      </c>
      <c r="Z592">
        <v>78</v>
      </c>
      <c r="AA592">
        <f t="shared" si="88"/>
        <v>-12.1933822631835</v>
      </c>
      <c r="AB592">
        <f t="shared" si="86"/>
        <v>276.74379368075154</v>
      </c>
      <c r="AC592">
        <f t="shared" si="90"/>
        <v>4.6356590616971225</v>
      </c>
    </row>
    <row r="593" spans="1:29" x14ac:dyDescent="0.3">
      <c r="A593">
        <f t="shared" si="87"/>
        <v>0</v>
      </c>
      <c r="B593" s="2">
        <f t="shared" si="85"/>
        <v>15.442599999914819</v>
      </c>
      <c r="C593" s="2">
        <f t="shared" si="91"/>
        <v>0.20959999999899992</v>
      </c>
      <c r="D593" s="2">
        <f t="shared" si="89"/>
        <v>15.280211100000088</v>
      </c>
      <c r="E593" s="2"/>
      <c r="F593">
        <v>2920.8837411</v>
      </c>
      <c r="G593">
        <v>224.25</v>
      </c>
      <c r="H593">
        <v>312</v>
      </c>
      <c r="I593">
        <v>220.56</v>
      </c>
      <c r="J593">
        <v>320.51499999999999</v>
      </c>
      <c r="K593">
        <v>226.48703999999901</v>
      </c>
      <c r="L593">
        <v>315.977159999999</v>
      </c>
      <c r="M593">
        <v>351.09975343768099</v>
      </c>
      <c r="N593">
        <v>0</v>
      </c>
      <c r="O593">
        <v>0</v>
      </c>
      <c r="P593">
        <v>0</v>
      </c>
      <c r="Q593">
        <v>0</v>
      </c>
      <c r="R593">
        <v>-0.121933822631835</v>
      </c>
      <c r="S593">
        <v>-3.5743061065673799E-2</v>
      </c>
      <c r="T593">
        <v>0</v>
      </c>
      <c r="U593">
        <v>165.58099999999999</v>
      </c>
      <c r="V593">
        <v>-1.992</v>
      </c>
      <c r="W593">
        <v>-0.54</v>
      </c>
      <c r="X593">
        <v>0.28000000000000003</v>
      </c>
      <c r="Y593" t="b">
        <v>1</v>
      </c>
      <c r="Z593">
        <v>78</v>
      </c>
      <c r="AA593">
        <f t="shared" si="88"/>
        <v>-12.1933822631835</v>
      </c>
      <c r="AB593">
        <f t="shared" si="86"/>
        <v>276.55549615581515</v>
      </c>
      <c r="AC593">
        <f t="shared" si="90"/>
        <v>13.572843951158228</v>
      </c>
    </row>
    <row r="594" spans="1:29" x14ac:dyDescent="0.3">
      <c r="A594">
        <f t="shared" si="87"/>
        <v>0</v>
      </c>
      <c r="B594" s="2">
        <f t="shared" si="85"/>
        <v>46.550600000045961</v>
      </c>
      <c r="C594" s="2">
        <f t="shared" si="91"/>
        <v>0.27248000000099637</v>
      </c>
      <c r="D594" s="2">
        <f t="shared" si="89"/>
        <v>15.326761700000134</v>
      </c>
      <c r="E594" s="2"/>
      <c r="F594">
        <v>2920.9302917</v>
      </c>
      <c r="G594">
        <v>224.25</v>
      </c>
      <c r="H594">
        <v>312</v>
      </c>
      <c r="I594">
        <v>219.94499999999999</v>
      </c>
      <c r="J594">
        <v>321.69400000000002</v>
      </c>
      <c r="K594">
        <v>226.03308000000001</v>
      </c>
      <c r="L594">
        <v>316.24964</v>
      </c>
      <c r="M594">
        <v>351.09975343768099</v>
      </c>
      <c r="N594">
        <v>0</v>
      </c>
      <c r="O594">
        <v>0</v>
      </c>
      <c r="P594">
        <v>0</v>
      </c>
      <c r="Q594">
        <v>0</v>
      </c>
      <c r="R594">
        <v>-0.10828158569335899</v>
      </c>
      <c r="S594">
        <v>-4.7612003326415998E-2</v>
      </c>
      <c r="T594">
        <v>0</v>
      </c>
      <c r="U594">
        <v>165.52500000000001</v>
      </c>
      <c r="V594">
        <v>-2.2120000000000002</v>
      </c>
      <c r="W594">
        <v>-0.63800000000000001</v>
      </c>
      <c r="X594">
        <v>0.245</v>
      </c>
      <c r="Y594" t="b">
        <v>1</v>
      </c>
      <c r="Z594">
        <v>78</v>
      </c>
      <c r="AA594">
        <f t="shared" si="88"/>
        <v>-10.828158569335899</v>
      </c>
      <c r="AB594">
        <f t="shared" si="86"/>
        <v>275.98788689543403</v>
      </c>
      <c r="AC594">
        <f t="shared" si="90"/>
        <v>5.8534154232325113</v>
      </c>
    </row>
    <row r="595" spans="1:29" x14ac:dyDescent="0.3">
      <c r="A595">
        <f t="shared" si="87"/>
        <v>0</v>
      </c>
      <c r="B595" s="2">
        <f t="shared" si="85"/>
        <v>15.799400000105379</v>
      </c>
      <c r="C595" s="2">
        <f t="shared" si="91"/>
        <v>0.33535999999998012</v>
      </c>
      <c r="D595" s="2">
        <f t="shared" si="89"/>
        <v>15.342561100000239</v>
      </c>
      <c r="E595" s="2"/>
      <c r="F595">
        <v>2920.9460911000001</v>
      </c>
      <c r="G595">
        <v>224.25</v>
      </c>
      <c r="H595">
        <v>312</v>
      </c>
      <c r="I595">
        <v>219.57599999999999</v>
      </c>
      <c r="J595">
        <v>323.00400000000002</v>
      </c>
      <c r="K595">
        <v>225.57419999999999</v>
      </c>
      <c r="L595">
        <v>316.58499999999998</v>
      </c>
      <c r="M595">
        <v>351.09975343768099</v>
      </c>
      <c r="N595">
        <v>0</v>
      </c>
      <c r="O595">
        <v>0</v>
      </c>
      <c r="P595">
        <v>0</v>
      </c>
      <c r="Q595">
        <v>0</v>
      </c>
      <c r="R595">
        <v>-0.10828158569335899</v>
      </c>
      <c r="S595">
        <v>-4.7612003326415998E-2</v>
      </c>
      <c r="T595">
        <v>0</v>
      </c>
      <c r="U595">
        <v>165.52500000000001</v>
      </c>
      <c r="V595">
        <v>-2.2120000000000002</v>
      </c>
      <c r="W595">
        <v>-0.63800000000000001</v>
      </c>
      <c r="X595">
        <v>0.245</v>
      </c>
      <c r="Y595" t="b">
        <v>1</v>
      </c>
      <c r="Z595">
        <v>78</v>
      </c>
      <c r="AA595">
        <f t="shared" si="88"/>
        <v>-10.828158569335899</v>
      </c>
      <c r="AB595">
        <f t="shared" si="86"/>
        <v>275.81680848693253</v>
      </c>
      <c r="AC595">
        <f t="shared" si="90"/>
        <v>21.226122510838596</v>
      </c>
    </row>
    <row r="596" spans="1:29" x14ac:dyDescent="0.3">
      <c r="A596">
        <f t="shared" si="87"/>
        <v>0</v>
      </c>
      <c r="B596" s="2">
        <f t="shared" si="85"/>
        <v>31.36979999999312</v>
      </c>
      <c r="C596" s="2">
        <f t="shared" si="91"/>
        <v>0.39824000000004389</v>
      </c>
      <c r="D596" s="2">
        <f t="shared" si="89"/>
        <v>15.373930900000232</v>
      </c>
      <c r="E596" s="2"/>
      <c r="F596">
        <v>2920.9774609000001</v>
      </c>
      <c r="G596">
        <v>224.25</v>
      </c>
      <c r="H596">
        <v>312</v>
      </c>
      <c r="I596">
        <v>219.084</v>
      </c>
      <c r="J596">
        <v>324.31400000000002</v>
      </c>
      <c r="K596">
        <v>225.10056</v>
      </c>
      <c r="L596">
        <v>316.98324000000002</v>
      </c>
      <c r="M596">
        <v>351.09975343768099</v>
      </c>
      <c r="N596">
        <v>0</v>
      </c>
      <c r="O596">
        <v>0</v>
      </c>
      <c r="P596">
        <v>0</v>
      </c>
      <c r="Q596">
        <v>0</v>
      </c>
      <c r="R596">
        <v>-9.6201896667480399E-2</v>
      </c>
      <c r="S596">
        <v>-8.8404701232910096E-2</v>
      </c>
      <c r="T596">
        <v>0</v>
      </c>
      <c r="U596">
        <v>165.52699999999999</v>
      </c>
      <c r="V596">
        <v>-2.0979999999999999</v>
      </c>
      <c r="W596">
        <v>-0.442</v>
      </c>
      <c r="X596">
        <v>0.20699999999999999</v>
      </c>
      <c r="Y596" t="b">
        <v>1</v>
      </c>
      <c r="Z596">
        <v>78</v>
      </c>
      <c r="AA596">
        <f t="shared" si="88"/>
        <v>-9.6201896667480398</v>
      </c>
      <c r="AB596">
        <f t="shared" si="86"/>
        <v>275.47713131824423</v>
      </c>
      <c r="AC596">
        <f t="shared" si="90"/>
        <v>12.695012400465775</v>
      </c>
    </row>
    <row r="597" spans="1:29" x14ac:dyDescent="0.3">
      <c r="A597">
        <f t="shared" si="87"/>
        <v>0</v>
      </c>
      <c r="B597" s="2">
        <f t="shared" si="85"/>
        <v>30.809800000042742</v>
      </c>
      <c r="C597" s="2">
        <f t="shared" si="91"/>
        <v>0</v>
      </c>
      <c r="D597" s="2">
        <f t="shared" si="89"/>
        <v>15.404740700000275</v>
      </c>
      <c r="E597" s="2"/>
      <c r="F597">
        <v>2921.0082707000001</v>
      </c>
      <c r="G597">
        <v>224.25</v>
      </c>
      <c r="H597">
        <v>312</v>
      </c>
      <c r="I597">
        <v>219.084</v>
      </c>
      <c r="J597">
        <v>324.31400000000002</v>
      </c>
      <c r="K597">
        <v>225.10056</v>
      </c>
      <c r="L597">
        <v>316.98324000000002</v>
      </c>
      <c r="M597">
        <v>351.09975343768099</v>
      </c>
      <c r="N597">
        <v>0</v>
      </c>
      <c r="O597">
        <v>0</v>
      </c>
      <c r="P597">
        <v>0</v>
      </c>
      <c r="Q597">
        <v>0</v>
      </c>
      <c r="R597">
        <v>-8.5364402770995995E-2</v>
      </c>
      <c r="S597">
        <v>-9.6555313110351496E-2</v>
      </c>
      <c r="T597">
        <v>0</v>
      </c>
      <c r="U597">
        <v>165.40299999999999</v>
      </c>
      <c r="V597">
        <v>-2.097</v>
      </c>
      <c r="W597">
        <v>-0.23499999999999999</v>
      </c>
      <c r="X597">
        <v>0.19500000000000001</v>
      </c>
      <c r="Y597" t="b">
        <v>1</v>
      </c>
      <c r="Z597">
        <v>78</v>
      </c>
      <c r="AA597">
        <f t="shared" si="88"/>
        <v>-8.5364402770995991</v>
      </c>
      <c r="AB597">
        <f t="shared" si="86"/>
        <v>275.18073519864924</v>
      </c>
      <c r="AC597">
        <f t="shared" si="90"/>
        <v>0</v>
      </c>
    </row>
    <row r="598" spans="1:29" x14ac:dyDescent="0.3">
      <c r="A598">
        <f t="shared" si="87"/>
        <v>0</v>
      </c>
      <c r="B598" s="2">
        <f t="shared" ref="B598:B661" si="92">(F598-F597)*1000</f>
        <v>46.985799999674782</v>
      </c>
      <c r="C598" s="2">
        <f t="shared" si="91"/>
        <v>0</v>
      </c>
      <c r="D598" s="2">
        <f t="shared" si="89"/>
        <v>15.45172649999995</v>
      </c>
      <c r="E598" s="2"/>
      <c r="F598">
        <v>2921.0552564999998</v>
      </c>
      <c r="G598">
        <v>224.25</v>
      </c>
      <c r="H598">
        <v>312</v>
      </c>
      <c r="I598">
        <v>219.084</v>
      </c>
      <c r="J598">
        <v>324.31400000000002</v>
      </c>
      <c r="K598">
        <v>225.10056</v>
      </c>
      <c r="L598">
        <v>316.98324000000002</v>
      </c>
      <c r="M598">
        <v>351.09975343768099</v>
      </c>
      <c r="N598">
        <v>0</v>
      </c>
      <c r="O598">
        <v>0</v>
      </c>
      <c r="P598">
        <v>0</v>
      </c>
      <c r="Q598">
        <v>0</v>
      </c>
      <c r="R598">
        <v>-8.5364402770995995E-2</v>
      </c>
      <c r="S598">
        <v>-9.6555313110351496E-2</v>
      </c>
      <c r="T598">
        <v>0</v>
      </c>
      <c r="U598">
        <v>165.40299999999999</v>
      </c>
      <c r="V598">
        <v>-2.097</v>
      </c>
      <c r="W598">
        <v>-0.23499999999999999</v>
      </c>
      <c r="X598">
        <v>0.19500000000000001</v>
      </c>
      <c r="Y598" t="b">
        <v>1</v>
      </c>
      <c r="Z598">
        <v>78</v>
      </c>
      <c r="AA598">
        <f t="shared" si="88"/>
        <v>-8.5364402770995991</v>
      </c>
      <c r="AB598">
        <f t="shared" si="86"/>
        <v>274.77964372308026</v>
      </c>
      <c r="AC598">
        <f t="shared" si="90"/>
        <v>0</v>
      </c>
    </row>
    <row r="599" spans="1:29" x14ac:dyDescent="0.3">
      <c r="A599">
        <f t="shared" si="87"/>
        <v>0</v>
      </c>
      <c r="B599" s="2">
        <f t="shared" si="92"/>
        <v>31.055100000230595</v>
      </c>
      <c r="C599" s="2">
        <f t="shared" si="91"/>
        <v>0</v>
      </c>
      <c r="D599" s="2">
        <f t="shared" si="89"/>
        <v>15.48278160000018</v>
      </c>
      <c r="E599" s="2"/>
      <c r="F599">
        <v>2921.0863116</v>
      </c>
      <c r="G599">
        <v>224.25</v>
      </c>
      <c r="H599">
        <v>312</v>
      </c>
      <c r="I599">
        <v>219.084</v>
      </c>
      <c r="J599">
        <v>324.31400000000002</v>
      </c>
      <c r="K599">
        <v>225.10056</v>
      </c>
      <c r="L599">
        <v>316.98324000000002</v>
      </c>
      <c r="M599">
        <v>351.09975343768099</v>
      </c>
      <c r="N599">
        <v>0</v>
      </c>
      <c r="O599">
        <v>0</v>
      </c>
      <c r="P599">
        <v>0</v>
      </c>
      <c r="Q599">
        <v>0</v>
      </c>
      <c r="R599">
        <v>-8.5364402770995995E-2</v>
      </c>
      <c r="S599">
        <v>-9.6555313110351496E-2</v>
      </c>
      <c r="T599">
        <v>0</v>
      </c>
      <c r="U599">
        <v>165.40299999999999</v>
      </c>
      <c r="V599">
        <v>-2.097</v>
      </c>
      <c r="W599">
        <v>-0.23499999999999999</v>
      </c>
      <c r="X599">
        <v>0.19500000000000001</v>
      </c>
      <c r="Y599" t="b">
        <v>1</v>
      </c>
      <c r="Z599">
        <v>78</v>
      </c>
      <c r="AA599">
        <f t="shared" si="88"/>
        <v>-8.5364402770995991</v>
      </c>
      <c r="AB599">
        <f t="shared" si="86"/>
        <v>274.51454371662891</v>
      </c>
      <c r="AC599">
        <f t="shared" si="90"/>
        <v>0</v>
      </c>
    </row>
    <row r="600" spans="1:29" x14ac:dyDescent="0.3">
      <c r="A600">
        <f t="shared" si="87"/>
        <v>0</v>
      </c>
      <c r="B600" s="2">
        <f t="shared" si="92"/>
        <v>31.295700000100624</v>
      </c>
      <c r="C600" s="2">
        <f t="shared" si="91"/>
        <v>0</v>
      </c>
      <c r="D600" s="2">
        <f t="shared" si="89"/>
        <v>15.514077300000281</v>
      </c>
      <c r="E600" s="2"/>
      <c r="F600">
        <v>2921.1176073000001</v>
      </c>
      <c r="G600">
        <v>224.25</v>
      </c>
      <c r="H600">
        <v>312</v>
      </c>
      <c r="I600">
        <v>219.084</v>
      </c>
      <c r="J600">
        <v>324.31400000000002</v>
      </c>
      <c r="K600">
        <v>225.10056</v>
      </c>
      <c r="L600">
        <v>316.98324000000002</v>
      </c>
      <c r="M600">
        <v>351.09975343768099</v>
      </c>
      <c r="N600">
        <v>0</v>
      </c>
      <c r="O600">
        <v>0</v>
      </c>
      <c r="P600">
        <v>0</v>
      </c>
      <c r="Q600">
        <v>0</v>
      </c>
      <c r="R600">
        <v>-0.17555871582031199</v>
      </c>
      <c r="S600">
        <v>-0.15989340209960901</v>
      </c>
      <c r="T600">
        <v>0</v>
      </c>
      <c r="U600">
        <v>165.5</v>
      </c>
      <c r="V600">
        <v>-2.11</v>
      </c>
      <c r="W600">
        <v>-8.7999999999999995E-2</v>
      </c>
      <c r="X600">
        <v>0.17</v>
      </c>
      <c r="Y600" t="b">
        <v>1</v>
      </c>
      <c r="Z600">
        <v>78</v>
      </c>
      <c r="AA600">
        <f t="shared" si="88"/>
        <v>-17.555871582031198</v>
      </c>
      <c r="AB600">
        <f t="shared" si="86"/>
        <v>274.24738984264803</v>
      </c>
      <c r="AC600">
        <f t="shared" si="90"/>
        <v>0</v>
      </c>
    </row>
    <row r="601" spans="1:29" x14ac:dyDescent="0.3">
      <c r="A601">
        <f t="shared" si="87"/>
        <v>0</v>
      </c>
      <c r="B601" s="2">
        <f t="shared" si="92"/>
        <v>31.055799999649025</v>
      </c>
      <c r="C601" s="2">
        <f t="shared" si="91"/>
        <v>0</v>
      </c>
      <c r="D601" s="2">
        <f t="shared" si="89"/>
        <v>15.54513309999993</v>
      </c>
      <c r="E601" s="2"/>
      <c r="F601">
        <v>2921.1486630999998</v>
      </c>
      <c r="G601">
        <v>224.25</v>
      </c>
      <c r="H601">
        <v>312</v>
      </c>
      <c r="I601">
        <v>219.084</v>
      </c>
      <c r="J601">
        <v>324.31400000000002</v>
      </c>
      <c r="K601">
        <v>225.10056</v>
      </c>
      <c r="L601">
        <v>316.98324000000002</v>
      </c>
      <c r="M601">
        <v>351.09975343768099</v>
      </c>
      <c r="N601">
        <v>0</v>
      </c>
      <c r="O601">
        <v>0</v>
      </c>
      <c r="P601">
        <v>0</v>
      </c>
      <c r="Q601">
        <v>0</v>
      </c>
      <c r="R601">
        <v>-0.17555871582031199</v>
      </c>
      <c r="S601">
        <v>-0.15989340209960901</v>
      </c>
      <c r="T601">
        <v>0</v>
      </c>
      <c r="U601">
        <v>165.5</v>
      </c>
      <c r="V601">
        <v>-2.11</v>
      </c>
      <c r="W601">
        <v>-8.7999999999999995E-2</v>
      </c>
      <c r="X601">
        <v>0.17</v>
      </c>
      <c r="Y601" t="b">
        <v>1</v>
      </c>
      <c r="Z601">
        <v>78</v>
      </c>
      <c r="AA601">
        <f t="shared" si="88"/>
        <v>-17.555871582031198</v>
      </c>
      <c r="AB601">
        <f t="shared" si="86"/>
        <v>273.70217820597696</v>
      </c>
      <c r="AC601">
        <f t="shared" si="90"/>
        <v>0</v>
      </c>
    </row>
    <row r="602" spans="1:29" x14ac:dyDescent="0.3">
      <c r="A602">
        <f t="shared" si="87"/>
        <v>0</v>
      </c>
      <c r="B602" s="2">
        <f t="shared" si="92"/>
        <v>30.862900000101945</v>
      </c>
      <c r="C602" s="2">
        <f t="shared" si="91"/>
        <v>0</v>
      </c>
      <c r="D602" s="2">
        <f t="shared" si="89"/>
        <v>15.575996000000032</v>
      </c>
      <c r="E602" s="2"/>
      <c r="F602">
        <v>2921.1795259999999</v>
      </c>
      <c r="G602">
        <v>224.25</v>
      </c>
      <c r="H602">
        <v>312</v>
      </c>
      <c r="I602">
        <v>219.084</v>
      </c>
      <c r="J602">
        <v>324.31400000000002</v>
      </c>
      <c r="K602">
        <v>225.10056</v>
      </c>
      <c r="L602">
        <v>316.98324000000002</v>
      </c>
      <c r="M602">
        <v>351.09975343768099</v>
      </c>
      <c r="N602">
        <v>0</v>
      </c>
      <c r="O602">
        <v>0</v>
      </c>
      <c r="P602">
        <v>0</v>
      </c>
      <c r="Q602">
        <v>0</v>
      </c>
      <c r="R602">
        <v>-0.26615579223632801</v>
      </c>
      <c r="S602">
        <v>-0.25767465209960899</v>
      </c>
      <c r="T602">
        <v>0</v>
      </c>
      <c r="U602">
        <v>165.77199999999999</v>
      </c>
      <c r="V602">
        <v>-2.4940000000000002</v>
      </c>
      <c r="W602">
        <v>0.28899999999999998</v>
      </c>
      <c r="X602">
        <v>0.17</v>
      </c>
      <c r="Y602" t="b">
        <v>1</v>
      </c>
      <c r="Z602">
        <v>78</v>
      </c>
      <c r="AA602">
        <f t="shared" si="88"/>
        <v>-26.6155792236328</v>
      </c>
      <c r="AB602">
        <f t="shared" si="86"/>
        <v>273.16035309692609</v>
      </c>
      <c r="AC602">
        <f t="shared" si="90"/>
        <v>0</v>
      </c>
    </row>
    <row r="603" spans="1:29" x14ac:dyDescent="0.3">
      <c r="A603">
        <f t="shared" si="87"/>
        <v>0</v>
      </c>
      <c r="B603" s="2">
        <f t="shared" si="92"/>
        <v>30.656100000214792</v>
      </c>
      <c r="C603" s="2">
        <f t="shared" si="91"/>
        <v>0</v>
      </c>
      <c r="D603" s="2">
        <f t="shared" si="89"/>
        <v>15.606652100000247</v>
      </c>
      <c r="E603" s="2"/>
      <c r="F603">
        <v>2921.2101821000001</v>
      </c>
      <c r="G603">
        <v>224.25</v>
      </c>
      <c r="H603">
        <v>312</v>
      </c>
      <c r="I603">
        <v>219.084</v>
      </c>
      <c r="J603">
        <v>324.31400000000002</v>
      </c>
      <c r="K603">
        <v>225.10056</v>
      </c>
      <c r="L603">
        <v>316.98324000000002</v>
      </c>
      <c r="M603">
        <v>351.09975343768099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165.79599999999999</v>
      </c>
      <c r="V603">
        <v>2.5999999999999999E-2</v>
      </c>
      <c r="W603">
        <v>-0.33500000000000002</v>
      </c>
      <c r="X603">
        <v>0</v>
      </c>
      <c r="Y603" t="b">
        <v>0</v>
      </c>
      <c r="Z603">
        <v>78</v>
      </c>
      <c r="AA603">
        <f t="shared" si="88"/>
        <v>0</v>
      </c>
      <c r="AB603">
        <f t="shared" si="86"/>
        <v>272.34442323868274</v>
      </c>
      <c r="AC603">
        <f t="shared" si="90"/>
        <v>0</v>
      </c>
    </row>
    <row r="604" spans="1:29" x14ac:dyDescent="0.3">
      <c r="A604">
        <f t="shared" si="87"/>
        <v>0</v>
      </c>
      <c r="B604" s="2">
        <f t="shared" si="92"/>
        <v>46.86360000005152</v>
      </c>
      <c r="C604" s="2">
        <f t="shared" si="91"/>
        <v>0</v>
      </c>
      <c r="D604" s="2">
        <f t="shared" si="89"/>
        <v>15.653515700000298</v>
      </c>
      <c r="E604" s="2"/>
      <c r="F604">
        <v>2921.2570457000002</v>
      </c>
      <c r="G604">
        <v>224.25</v>
      </c>
      <c r="H604">
        <v>312</v>
      </c>
      <c r="I604">
        <v>219.084</v>
      </c>
      <c r="J604">
        <v>324.31400000000002</v>
      </c>
      <c r="K604">
        <v>225.10056</v>
      </c>
      <c r="L604">
        <v>316.98324000000002</v>
      </c>
      <c r="M604">
        <v>351.09975343768099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165.79599999999999</v>
      </c>
      <c r="V604">
        <v>2.5999999999999999E-2</v>
      </c>
      <c r="W604">
        <v>-0.33500000000000002</v>
      </c>
      <c r="X604">
        <v>0</v>
      </c>
      <c r="Y604" t="b">
        <v>0</v>
      </c>
      <c r="Z604">
        <v>78</v>
      </c>
      <c r="AA604">
        <f t="shared" si="88"/>
        <v>0</v>
      </c>
      <c r="AB604">
        <f t="shared" si="86"/>
        <v>272.34442323868274</v>
      </c>
      <c r="AC604">
        <f t="shared" si="90"/>
        <v>0</v>
      </c>
    </row>
    <row r="605" spans="1:29" x14ac:dyDescent="0.3">
      <c r="A605">
        <f t="shared" si="87"/>
        <v>0</v>
      </c>
      <c r="B605" s="2">
        <f t="shared" si="92"/>
        <v>31.220099999700324</v>
      </c>
      <c r="C605" s="2">
        <f t="shared" si="91"/>
        <v>0</v>
      </c>
      <c r="D605" s="2">
        <f t="shared" si="89"/>
        <v>15.684735799999999</v>
      </c>
      <c r="E605" s="2"/>
      <c r="F605">
        <v>2921.2882657999999</v>
      </c>
      <c r="G605">
        <v>224.25</v>
      </c>
      <c r="H605">
        <v>312</v>
      </c>
      <c r="I605">
        <v>219.084</v>
      </c>
      <c r="J605">
        <v>324.31400000000002</v>
      </c>
      <c r="K605">
        <v>225.10056</v>
      </c>
      <c r="L605">
        <v>316.98324000000002</v>
      </c>
      <c r="M605">
        <v>351.09975343768099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165.79599999999999</v>
      </c>
      <c r="V605">
        <v>2.5999999999999999E-2</v>
      </c>
      <c r="W605">
        <v>-0.33500000000000002</v>
      </c>
      <c r="X605">
        <v>0</v>
      </c>
      <c r="Y605" t="b">
        <v>0</v>
      </c>
      <c r="Z605">
        <v>78</v>
      </c>
      <c r="AA605">
        <f t="shared" si="88"/>
        <v>0</v>
      </c>
      <c r="AB605">
        <f t="shared" si="86"/>
        <v>272.34442323868274</v>
      </c>
      <c r="AC605">
        <f t="shared" si="90"/>
        <v>0</v>
      </c>
    </row>
    <row r="606" spans="1:29" x14ac:dyDescent="0.3">
      <c r="A606">
        <f t="shared" si="87"/>
        <v>0</v>
      </c>
      <c r="B606" s="2">
        <f t="shared" si="92"/>
        <v>31.472300000132236</v>
      </c>
      <c r="C606" s="2">
        <f t="shared" si="91"/>
        <v>0</v>
      </c>
      <c r="D606" s="2">
        <f t="shared" si="89"/>
        <v>15.716208100000131</v>
      </c>
      <c r="E606" s="2"/>
      <c r="F606">
        <v>2921.3197381</v>
      </c>
      <c r="G606">
        <v>224.25</v>
      </c>
      <c r="H606">
        <v>312</v>
      </c>
      <c r="I606">
        <v>219.084</v>
      </c>
      <c r="J606">
        <v>324.31400000000002</v>
      </c>
      <c r="K606">
        <v>225.10056</v>
      </c>
      <c r="L606">
        <v>316.98324000000002</v>
      </c>
      <c r="M606">
        <v>351.09975343768099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165.53299999999999</v>
      </c>
      <c r="V606">
        <v>0.189</v>
      </c>
      <c r="W606">
        <v>-0.35899999999999999</v>
      </c>
      <c r="X606">
        <v>0</v>
      </c>
      <c r="Y606" t="b">
        <v>0</v>
      </c>
      <c r="Z606">
        <v>78</v>
      </c>
      <c r="AA606">
        <f t="shared" si="88"/>
        <v>0</v>
      </c>
      <c r="AB606">
        <f t="shared" si="86"/>
        <v>272.34442323868274</v>
      </c>
      <c r="AC606">
        <f t="shared" si="90"/>
        <v>0</v>
      </c>
    </row>
    <row r="607" spans="1:29" x14ac:dyDescent="0.3">
      <c r="A607">
        <f t="shared" si="87"/>
        <v>0</v>
      </c>
      <c r="B607" s="2">
        <f t="shared" si="92"/>
        <v>15.810599999895203</v>
      </c>
      <c r="C607" s="2">
        <f t="shared" si="91"/>
        <v>0</v>
      </c>
      <c r="D607" s="2">
        <f t="shared" si="89"/>
        <v>15.732018700000026</v>
      </c>
      <c r="E607" s="2"/>
      <c r="F607">
        <v>2921.3355486999999</v>
      </c>
      <c r="G607">
        <v>224.25</v>
      </c>
      <c r="H607">
        <v>312</v>
      </c>
      <c r="I607">
        <v>219.084</v>
      </c>
      <c r="J607">
        <v>324.31400000000002</v>
      </c>
      <c r="K607">
        <v>225.10056</v>
      </c>
      <c r="L607">
        <v>316.98324000000002</v>
      </c>
      <c r="M607">
        <v>351.09975343768099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165.53299999999999</v>
      </c>
      <c r="V607">
        <v>0.189</v>
      </c>
      <c r="W607">
        <v>-0.35899999999999999</v>
      </c>
      <c r="X607">
        <v>0</v>
      </c>
      <c r="Y607" t="b">
        <v>0</v>
      </c>
      <c r="Z607">
        <v>78</v>
      </c>
      <c r="AA607">
        <f t="shared" si="88"/>
        <v>0</v>
      </c>
      <c r="AB607">
        <f t="shared" si="86"/>
        <v>272.34442323868274</v>
      </c>
      <c r="AC607">
        <f t="shared" si="90"/>
        <v>0</v>
      </c>
    </row>
    <row r="608" spans="1:29" x14ac:dyDescent="0.3">
      <c r="A608">
        <f t="shared" si="87"/>
        <v>0</v>
      </c>
      <c r="B608" s="2">
        <f t="shared" si="92"/>
        <v>30.972900000051595</v>
      </c>
      <c r="C608" s="2">
        <f t="shared" si="91"/>
        <v>0</v>
      </c>
      <c r="D608" s="2">
        <f t="shared" si="89"/>
        <v>15.762991600000078</v>
      </c>
      <c r="E608" s="2"/>
      <c r="F608">
        <v>2921.3665215999999</v>
      </c>
      <c r="G608">
        <v>224.25</v>
      </c>
      <c r="H608">
        <v>312</v>
      </c>
      <c r="I608">
        <v>219.084</v>
      </c>
      <c r="J608">
        <v>324.31400000000002</v>
      </c>
      <c r="K608">
        <v>225.10056</v>
      </c>
      <c r="L608">
        <v>316.98324000000002</v>
      </c>
      <c r="M608">
        <v>351.09975343768099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165.53100000000001</v>
      </c>
      <c r="V608">
        <v>-5.3999999999999999E-2</v>
      </c>
      <c r="W608">
        <v>-0.44500000000000001</v>
      </c>
      <c r="X608">
        <v>0</v>
      </c>
      <c r="Y608" t="b">
        <v>0</v>
      </c>
      <c r="Z608">
        <v>78</v>
      </c>
      <c r="AA608">
        <f t="shared" si="88"/>
        <v>0</v>
      </c>
      <c r="AB608">
        <f t="shared" si="86"/>
        <v>272.34442323868274</v>
      </c>
      <c r="AC608">
        <f t="shared" si="90"/>
        <v>0</v>
      </c>
    </row>
    <row r="609" spans="1:29" x14ac:dyDescent="0.3">
      <c r="A609">
        <f t="shared" si="87"/>
        <v>0</v>
      </c>
      <c r="B609" s="2">
        <f t="shared" si="92"/>
        <v>30.950800000027812</v>
      </c>
      <c r="C609" s="2">
        <f t="shared" si="91"/>
        <v>0</v>
      </c>
      <c r="D609" s="2">
        <f t="shared" si="89"/>
        <v>15.793942400000105</v>
      </c>
      <c r="E609" s="2"/>
      <c r="F609">
        <v>2921.3974724</v>
      </c>
      <c r="G609">
        <v>224.25</v>
      </c>
      <c r="H609">
        <v>312</v>
      </c>
      <c r="I609">
        <v>219.084</v>
      </c>
      <c r="J609">
        <v>324.31400000000002</v>
      </c>
      <c r="K609">
        <v>225.10056</v>
      </c>
      <c r="L609">
        <v>316.98324000000002</v>
      </c>
      <c r="M609">
        <v>351.09975343768099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165.523</v>
      </c>
      <c r="V609">
        <v>-8.5999999999999993E-2</v>
      </c>
      <c r="W609">
        <v>-0.441</v>
      </c>
      <c r="X609">
        <v>0</v>
      </c>
      <c r="Y609" t="b">
        <v>0</v>
      </c>
      <c r="Z609">
        <v>78</v>
      </c>
      <c r="AA609">
        <f t="shared" si="88"/>
        <v>0</v>
      </c>
      <c r="AB609">
        <f t="shared" si="86"/>
        <v>272.34442323868274</v>
      </c>
      <c r="AC609">
        <f t="shared" si="90"/>
        <v>0</v>
      </c>
    </row>
    <row r="610" spans="1:29" x14ac:dyDescent="0.3">
      <c r="A610">
        <f t="shared" si="87"/>
        <v>0</v>
      </c>
      <c r="B610" s="2">
        <f t="shared" si="92"/>
        <v>47.186499999952503</v>
      </c>
      <c r="C610" s="2">
        <f t="shared" si="91"/>
        <v>0</v>
      </c>
      <c r="D610" s="2">
        <f t="shared" si="89"/>
        <v>15.841128900000058</v>
      </c>
      <c r="E610" s="2"/>
      <c r="F610">
        <v>2921.4446588999999</v>
      </c>
      <c r="G610">
        <v>224.25</v>
      </c>
      <c r="H610">
        <v>312</v>
      </c>
      <c r="I610">
        <v>219.084</v>
      </c>
      <c r="J610">
        <v>324.31400000000002</v>
      </c>
      <c r="K610">
        <v>225.10056</v>
      </c>
      <c r="L610">
        <v>316.98324000000002</v>
      </c>
      <c r="M610">
        <v>351.09975343768099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165.523</v>
      </c>
      <c r="V610">
        <v>-8.5999999999999993E-2</v>
      </c>
      <c r="W610">
        <v>-0.441</v>
      </c>
      <c r="X610">
        <v>0</v>
      </c>
      <c r="Y610" t="b">
        <v>0</v>
      </c>
      <c r="Z610">
        <v>78</v>
      </c>
      <c r="AA610">
        <f t="shared" si="88"/>
        <v>0</v>
      </c>
      <c r="AB610">
        <f t="shared" si="86"/>
        <v>272.34442323868274</v>
      </c>
      <c r="AC610">
        <f t="shared" si="90"/>
        <v>0</v>
      </c>
    </row>
    <row r="611" spans="1:29" x14ac:dyDescent="0.3">
      <c r="A611">
        <f t="shared" si="87"/>
        <v>0</v>
      </c>
      <c r="B611" s="2">
        <f t="shared" si="92"/>
        <v>30.551000000286876</v>
      </c>
      <c r="C611" s="2">
        <f t="shared" si="91"/>
        <v>0</v>
      </c>
      <c r="D611" s="2">
        <f t="shared" si="89"/>
        <v>15.871679900000345</v>
      </c>
      <c r="E611" s="2"/>
      <c r="F611">
        <v>2921.4752099000002</v>
      </c>
      <c r="G611">
        <v>224.25</v>
      </c>
      <c r="H611">
        <v>312</v>
      </c>
      <c r="I611">
        <v>219.084</v>
      </c>
      <c r="J611">
        <v>324.31400000000002</v>
      </c>
      <c r="K611">
        <v>225.10056</v>
      </c>
      <c r="L611">
        <v>316.98324000000002</v>
      </c>
      <c r="M611">
        <v>351.09975343768099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165.523</v>
      </c>
      <c r="V611">
        <v>-8.5999999999999993E-2</v>
      </c>
      <c r="W611">
        <v>-0.441</v>
      </c>
      <c r="X611">
        <v>0</v>
      </c>
      <c r="Y611" t="b">
        <v>0</v>
      </c>
      <c r="Z611">
        <v>78</v>
      </c>
      <c r="AA611">
        <f t="shared" si="88"/>
        <v>0</v>
      </c>
      <c r="AB611">
        <f t="shared" si="86"/>
        <v>272.34442323868274</v>
      </c>
      <c r="AC611">
        <f t="shared" si="90"/>
        <v>0</v>
      </c>
    </row>
    <row r="612" spans="1:29" x14ac:dyDescent="0.3">
      <c r="A612">
        <f t="shared" si="87"/>
        <v>0</v>
      </c>
      <c r="B612" s="2">
        <f t="shared" si="92"/>
        <v>31.504599999607308</v>
      </c>
      <c r="C612" s="2">
        <f t="shared" si="91"/>
        <v>0</v>
      </c>
      <c r="D612" s="2">
        <f t="shared" si="89"/>
        <v>15.903184499999952</v>
      </c>
      <c r="E612" s="2"/>
      <c r="F612">
        <v>2921.5067144999998</v>
      </c>
      <c r="G612">
        <v>224.25</v>
      </c>
      <c r="H612">
        <v>312</v>
      </c>
      <c r="I612">
        <v>219.084</v>
      </c>
      <c r="J612">
        <v>324.31400000000002</v>
      </c>
      <c r="K612">
        <v>225.10056</v>
      </c>
      <c r="L612">
        <v>316.98324000000002</v>
      </c>
      <c r="M612">
        <v>351.09975343768099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165.50800000000001</v>
      </c>
      <c r="V612">
        <v>6.0000000000000001E-3</v>
      </c>
      <c r="W612">
        <v>-0.42399999999999999</v>
      </c>
      <c r="X612">
        <v>0</v>
      </c>
      <c r="Y612" t="b">
        <v>0</v>
      </c>
      <c r="Z612">
        <v>78</v>
      </c>
      <c r="AA612">
        <f t="shared" si="88"/>
        <v>0</v>
      </c>
      <c r="AB612">
        <f t="shared" si="86"/>
        <v>272.34442323868274</v>
      </c>
      <c r="AC612">
        <f t="shared" si="90"/>
        <v>0</v>
      </c>
    </row>
    <row r="613" spans="1:29" x14ac:dyDescent="0.3">
      <c r="A613">
        <f t="shared" si="87"/>
        <v>0</v>
      </c>
      <c r="B613" s="2">
        <f t="shared" si="92"/>
        <v>31.624900000224443</v>
      </c>
      <c r="C613" s="2">
        <f t="shared" si="91"/>
        <v>0</v>
      </c>
      <c r="D613" s="2">
        <f t="shared" si="89"/>
        <v>15.934809400000177</v>
      </c>
      <c r="E613" s="2"/>
      <c r="F613">
        <v>2921.5383394</v>
      </c>
      <c r="G613">
        <v>224.25</v>
      </c>
      <c r="H613">
        <v>312</v>
      </c>
      <c r="I613">
        <v>219.084</v>
      </c>
      <c r="J613">
        <v>324.31400000000002</v>
      </c>
      <c r="K613">
        <v>225.10056</v>
      </c>
      <c r="L613">
        <v>316.98324000000002</v>
      </c>
      <c r="M613">
        <v>351.09975343768099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165.50800000000001</v>
      </c>
      <c r="V613">
        <v>6.0000000000000001E-3</v>
      </c>
      <c r="W613">
        <v>-0.42399999999999999</v>
      </c>
      <c r="X613">
        <v>0</v>
      </c>
      <c r="Y613" t="b">
        <v>0</v>
      </c>
      <c r="Z613">
        <v>78</v>
      </c>
      <c r="AA613">
        <f t="shared" si="88"/>
        <v>0</v>
      </c>
      <c r="AB613">
        <f t="shared" si="86"/>
        <v>272.34442323868274</v>
      </c>
      <c r="AC613">
        <f t="shared" si="90"/>
        <v>0</v>
      </c>
    </row>
    <row r="614" spans="1:29" x14ac:dyDescent="0.3">
      <c r="A614">
        <f t="shared" si="87"/>
        <v>0</v>
      </c>
      <c r="B614" s="2">
        <f t="shared" si="92"/>
        <v>30.122699999992619</v>
      </c>
      <c r="C614" s="2">
        <f t="shared" si="91"/>
        <v>0</v>
      </c>
      <c r="D614" s="2">
        <f t="shared" si="89"/>
        <v>15.964932100000169</v>
      </c>
      <c r="E614" s="2"/>
      <c r="F614">
        <v>2921.5684621</v>
      </c>
      <c r="G614">
        <v>224.25</v>
      </c>
      <c r="H614">
        <v>312</v>
      </c>
      <c r="I614">
        <v>219.084</v>
      </c>
      <c r="J614">
        <v>324.31400000000002</v>
      </c>
      <c r="K614">
        <v>225.10056</v>
      </c>
      <c r="L614">
        <v>316.98324000000002</v>
      </c>
      <c r="M614">
        <v>351.09975343768099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165.506</v>
      </c>
      <c r="V614">
        <v>0</v>
      </c>
      <c r="W614">
        <v>-0.40400000000000003</v>
      </c>
      <c r="X614">
        <v>0</v>
      </c>
      <c r="Y614" t="b">
        <v>0</v>
      </c>
      <c r="Z614">
        <v>78</v>
      </c>
      <c r="AA614">
        <f t="shared" si="88"/>
        <v>0</v>
      </c>
      <c r="AB614">
        <f t="shared" si="86"/>
        <v>272.34442323868274</v>
      </c>
      <c r="AC614">
        <f t="shared" si="90"/>
        <v>0</v>
      </c>
    </row>
    <row r="615" spans="1:29" x14ac:dyDescent="0.3">
      <c r="A615">
        <f t="shared" si="87"/>
        <v>0</v>
      </c>
      <c r="B615" s="2">
        <f t="shared" si="92"/>
        <v>32.003899999835994</v>
      </c>
      <c r="C615" s="2">
        <f t="shared" si="91"/>
        <v>0</v>
      </c>
      <c r="D615" s="2">
        <f t="shared" si="89"/>
        <v>15.996936000000005</v>
      </c>
      <c r="E615" s="2"/>
      <c r="F615">
        <v>2921.6004659999999</v>
      </c>
      <c r="G615">
        <v>224.25</v>
      </c>
      <c r="H615">
        <v>312</v>
      </c>
      <c r="I615">
        <v>219.084</v>
      </c>
      <c r="J615">
        <v>324.31400000000002</v>
      </c>
      <c r="K615">
        <v>225.10056</v>
      </c>
      <c r="L615">
        <v>316.98324000000002</v>
      </c>
      <c r="M615">
        <v>351.09975343768099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165.506</v>
      </c>
      <c r="V615">
        <v>-6.0000000000000001E-3</v>
      </c>
      <c r="W615">
        <v>-0.39600000000000002</v>
      </c>
      <c r="X615">
        <v>0</v>
      </c>
      <c r="Y615" t="b">
        <v>0</v>
      </c>
      <c r="Z615">
        <v>78</v>
      </c>
      <c r="AA615">
        <f t="shared" si="88"/>
        <v>0</v>
      </c>
      <c r="AB615">
        <f t="shared" si="86"/>
        <v>272.34442323868274</v>
      </c>
      <c r="AC615">
        <f t="shared" si="90"/>
        <v>0</v>
      </c>
    </row>
    <row r="616" spans="1:29" x14ac:dyDescent="0.3">
      <c r="A616">
        <f t="shared" si="87"/>
        <v>0</v>
      </c>
      <c r="B616" s="2">
        <f t="shared" si="92"/>
        <v>62.43399999993926</v>
      </c>
      <c r="C616" s="2">
        <f t="shared" si="91"/>
        <v>0</v>
      </c>
      <c r="D616" s="2">
        <f t="shared" si="89"/>
        <v>16.059369999999944</v>
      </c>
      <c r="E616" s="2"/>
      <c r="F616">
        <v>2921.6628999999998</v>
      </c>
      <c r="G616">
        <v>224.25</v>
      </c>
      <c r="H616">
        <v>312</v>
      </c>
      <c r="I616">
        <v>219.084</v>
      </c>
      <c r="J616">
        <v>324.31400000000002</v>
      </c>
      <c r="K616">
        <v>225.10056</v>
      </c>
      <c r="L616">
        <v>316.98324000000002</v>
      </c>
      <c r="M616">
        <v>351.09975343768099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165.506</v>
      </c>
      <c r="V616">
        <v>-6.0000000000000001E-3</v>
      </c>
      <c r="W616">
        <v>-0.39600000000000002</v>
      </c>
      <c r="X616">
        <v>0</v>
      </c>
      <c r="Y616" t="b">
        <v>0</v>
      </c>
      <c r="Z616">
        <v>78</v>
      </c>
      <c r="AA616">
        <f t="shared" si="88"/>
        <v>0</v>
      </c>
      <c r="AB616">
        <f t="shared" si="86"/>
        <v>272.34442323868274</v>
      </c>
      <c r="AC616">
        <f t="shared" si="90"/>
        <v>0</v>
      </c>
    </row>
    <row r="617" spans="1:29" x14ac:dyDescent="0.3">
      <c r="A617">
        <f t="shared" si="87"/>
        <v>0</v>
      </c>
      <c r="B617" s="2">
        <f t="shared" si="92"/>
        <v>15.29900000014095</v>
      </c>
      <c r="C617" s="2">
        <f t="shared" si="91"/>
        <v>0</v>
      </c>
      <c r="D617" s="2">
        <f t="shared" si="89"/>
        <v>16.074669000000085</v>
      </c>
      <c r="E617" s="2"/>
      <c r="F617">
        <v>2921.6781989999999</v>
      </c>
      <c r="G617">
        <v>224.25</v>
      </c>
      <c r="H617">
        <v>312</v>
      </c>
      <c r="I617">
        <v>219.084</v>
      </c>
      <c r="J617">
        <v>324.31400000000002</v>
      </c>
      <c r="K617">
        <v>225.10056</v>
      </c>
      <c r="L617">
        <v>316.98324000000002</v>
      </c>
      <c r="M617">
        <v>351.09975343768099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165.506</v>
      </c>
      <c r="V617">
        <v>-6.0000000000000001E-3</v>
      </c>
      <c r="W617">
        <v>-0.39600000000000002</v>
      </c>
      <c r="X617">
        <v>0</v>
      </c>
      <c r="Y617" t="b">
        <v>0</v>
      </c>
      <c r="Z617">
        <v>78</v>
      </c>
      <c r="AA617">
        <f t="shared" si="88"/>
        <v>0</v>
      </c>
      <c r="AB617">
        <f t="shared" si="86"/>
        <v>272.34442323868274</v>
      </c>
      <c r="AC617">
        <f t="shared" si="90"/>
        <v>0</v>
      </c>
    </row>
    <row r="618" spans="1:29" x14ac:dyDescent="0.3">
      <c r="A618">
        <f t="shared" si="87"/>
        <v>0</v>
      </c>
      <c r="B618" s="2">
        <f t="shared" si="92"/>
        <v>31.278200000087963</v>
      </c>
      <c r="C618" s="2">
        <f t="shared" si="91"/>
        <v>0</v>
      </c>
      <c r="D618" s="2">
        <f t="shared" si="89"/>
        <v>16.105947200000173</v>
      </c>
      <c r="E618" s="2"/>
      <c r="F618">
        <v>2921.7094772</v>
      </c>
      <c r="G618">
        <v>224.25</v>
      </c>
      <c r="H618">
        <v>312</v>
      </c>
      <c r="I618">
        <v>219.084</v>
      </c>
      <c r="J618">
        <v>324.31400000000002</v>
      </c>
      <c r="K618">
        <v>225.10056</v>
      </c>
      <c r="L618">
        <v>316.98324000000002</v>
      </c>
      <c r="M618">
        <v>351.09975343768099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165.511</v>
      </c>
      <c r="V618">
        <v>2.3E-2</v>
      </c>
      <c r="W618">
        <v>-0.39600000000000002</v>
      </c>
      <c r="X618">
        <v>0</v>
      </c>
      <c r="Y618" t="b">
        <v>0</v>
      </c>
      <c r="Z618">
        <v>78</v>
      </c>
      <c r="AA618">
        <f t="shared" si="88"/>
        <v>0</v>
      </c>
      <c r="AB618">
        <f t="shared" si="86"/>
        <v>272.34442323868274</v>
      </c>
      <c r="AC618">
        <f t="shared" si="90"/>
        <v>0</v>
      </c>
    </row>
    <row r="619" spans="1:29" x14ac:dyDescent="0.3">
      <c r="A619">
        <f t="shared" si="87"/>
        <v>0</v>
      </c>
      <c r="B619" s="2">
        <f t="shared" si="92"/>
        <v>30.804500000158441</v>
      </c>
      <c r="C619" s="2">
        <f t="shared" si="91"/>
        <v>0</v>
      </c>
      <c r="D619" s="2">
        <f t="shared" si="89"/>
        <v>16.136751700000332</v>
      </c>
      <c r="E619" s="2"/>
      <c r="F619">
        <v>2921.7402817000002</v>
      </c>
      <c r="G619">
        <v>224.25</v>
      </c>
      <c r="H619">
        <v>312</v>
      </c>
      <c r="I619">
        <v>219.084</v>
      </c>
      <c r="J619">
        <v>324.31400000000002</v>
      </c>
      <c r="K619">
        <v>225.10056</v>
      </c>
      <c r="L619">
        <v>316.98324000000002</v>
      </c>
      <c r="M619">
        <v>351.09975343768099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165.511</v>
      </c>
      <c r="V619">
        <v>2.3E-2</v>
      </c>
      <c r="W619">
        <v>-0.39600000000000002</v>
      </c>
      <c r="X619">
        <v>0</v>
      </c>
      <c r="Y619" t="b">
        <v>0</v>
      </c>
      <c r="Z619">
        <v>78</v>
      </c>
      <c r="AA619">
        <f t="shared" si="88"/>
        <v>0</v>
      </c>
      <c r="AB619">
        <f t="shared" si="86"/>
        <v>272.34442323868274</v>
      </c>
      <c r="AC619">
        <f t="shared" si="90"/>
        <v>0</v>
      </c>
    </row>
    <row r="620" spans="1:29" x14ac:dyDescent="0.3">
      <c r="A620">
        <f t="shared" si="87"/>
        <v>0</v>
      </c>
      <c r="B620" s="2">
        <f t="shared" si="92"/>
        <v>31.531599999652826</v>
      </c>
      <c r="C620" s="2">
        <f t="shared" si="91"/>
        <v>0</v>
      </c>
      <c r="D620" s="2">
        <f t="shared" si="89"/>
        <v>16.168283299999985</v>
      </c>
      <c r="E620" s="2"/>
      <c r="F620">
        <v>2921.7718132999998</v>
      </c>
      <c r="G620">
        <v>224.25</v>
      </c>
      <c r="H620">
        <v>312</v>
      </c>
      <c r="I620">
        <v>219.084</v>
      </c>
      <c r="J620">
        <v>324.31400000000002</v>
      </c>
      <c r="K620">
        <v>225.10056</v>
      </c>
      <c r="L620">
        <v>316.98324000000002</v>
      </c>
      <c r="M620">
        <v>351.09975343768099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165.51</v>
      </c>
      <c r="V620">
        <v>5.7000000000000002E-2</v>
      </c>
      <c r="W620">
        <v>-0.39500000000000002</v>
      </c>
      <c r="X620">
        <v>0</v>
      </c>
      <c r="Y620" t="b">
        <v>0</v>
      </c>
      <c r="Z620">
        <v>78</v>
      </c>
      <c r="AA620">
        <f t="shared" si="88"/>
        <v>0</v>
      </c>
      <c r="AB620">
        <f t="shared" si="86"/>
        <v>272.34442323868274</v>
      </c>
      <c r="AC620">
        <f t="shared" si="90"/>
        <v>0</v>
      </c>
    </row>
    <row r="621" spans="1:29" x14ac:dyDescent="0.3">
      <c r="A621">
        <f t="shared" si="87"/>
        <v>0</v>
      </c>
      <c r="B621" s="2">
        <f t="shared" si="92"/>
        <v>46.901700000034907</v>
      </c>
      <c r="C621" s="2">
        <f t="shared" si="91"/>
        <v>0</v>
      </c>
      <c r="D621" s="2">
        <f t="shared" si="89"/>
        <v>16.215185000000019</v>
      </c>
      <c r="E621" s="2"/>
      <c r="F621">
        <v>2921.8187149999999</v>
      </c>
      <c r="G621">
        <v>224.25</v>
      </c>
      <c r="H621">
        <v>312</v>
      </c>
      <c r="I621">
        <v>219.084</v>
      </c>
      <c r="J621">
        <v>324.31400000000002</v>
      </c>
      <c r="K621">
        <v>225.10056</v>
      </c>
      <c r="L621">
        <v>316.98324000000002</v>
      </c>
      <c r="M621">
        <v>351.09975343768099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165.505</v>
      </c>
      <c r="V621">
        <v>7.1999999999999995E-2</v>
      </c>
      <c r="W621">
        <v>-0.39700000000000002</v>
      </c>
      <c r="X621">
        <v>0</v>
      </c>
      <c r="Y621" t="b">
        <v>0</v>
      </c>
      <c r="Z621">
        <v>78</v>
      </c>
      <c r="AA621">
        <f t="shared" si="88"/>
        <v>0</v>
      </c>
      <c r="AB621">
        <f t="shared" si="86"/>
        <v>272.34442323868274</v>
      </c>
      <c r="AC621">
        <f t="shared" si="90"/>
        <v>0</v>
      </c>
    </row>
    <row r="622" spans="1:29" x14ac:dyDescent="0.3">
      <c r="A622">
        <f t="shared" si="87"/>
        <v>0</v>
      </c>
      <c r="B622" s="2">
        <f t="shared" si="92"/>
        <v>46.52170000008482</v>
      </c>
      <c r="C622" s="2">
        <f t="shared" si="91"/>
        <v>0</v>
      </c>
      <c r="D622" s="2">
        <f t="shared" si="89"/>
        <v>16.261706700000104</v>
      </c>
      <c r="E622" s="2"/>
      <c r="F622">
        <v>2921.8652367</v>
      </c>
      <c r="G622">
        <v>224.25</v>
      </c>
      <c r="H622">
        <v>312</v>
      </c>
      <c r="I622">
        <v>219.084</v>
      </c>
      <c r="J622">
        <v>324.31400000000002</v>
      </c>
      <c r="K622">
        <v>225.10056</v>
      </c>
      <c r="L622">
        <v>316.98324000000002</v>
      </c>
      <c r="M622">
        <v>351.09975343768099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165.505</v>
      </c>
      <c r="V622">
        <v>7.1999999999999995E-2</v>
      </c>
      <c r="W622">
        <v>-0.39700000000000002</v>
      </c>
      <c r="X622">
        <v>0</v>
      </c>
      <c r="Y622" t="b">
        <v>0</v>
      </c>
      <c r="Z622">
        <v>78</v>
      </c>
      <c r="AA622">
        <f t="shared" si="88"/>
        <v>0</v>
      </c>
      <c r="AB622">
        <f t="shared" si="86"/>
        <v>272.34442323868274</v>
      </c>
      <c r="AC622">
        <f t="shared" si="90"/>
        <v>0</v>
      </c>
    </row>
    <row r="623" spans="1:29" x14ac:dyDescent="0.3">
      <c r="A623">
        <f t="shared" si="87"/>
        <v>0</v>
      </c>
      <c r="B623" s="2">
        <f t="shared" si="92"/>
        <v>15.789300000051298</v>
      </c>
      <c r="C623" s="2">
        <f t="shared" si="91"/>
        <v>0</v>
      </c>
      <c r="D623" s="2">
        <f t="shared" si="89"/>
        <v>16.277496000000156</v>
      </c>
      <c r="E623" s="2"/>
      <c r="F623">
        <v>2921.881026</v>
      </c>
      <c r="G623">
        <v>224.25</v>
      </c>
      <c r="H623">
        <v>312</v>
      </c>
      <c r="I623">
        <v>219.084</v>
      </c>
      <c r="J623">
        <v>324.31400000000002</v>
      </c>
      <c r="K623">
        <v>225.10056</v>
      </c>
      <c r="L623">
        <v>316.98324000000002</v>
      </c>
      <c r="M623">
        <v>351.09975343768099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165.505</v>
      </c>
      <c r="V623">
        <v>7.1999999999999995E-2</v>
      </c>
      <c r="W623">
        <v>-0.39700000000000002</v>
      </c>
      <c r="X623">
        <v>0</v>
      </c>
      <c r="Y623" t="b">
        <v>0</v>
      </c>
      <c r="Z623">
        <v>78</v>
      </c>
      <c r="AA623">
        <f t="shared" si="88"/>
        <v>0</v>
      </c>
      <c r="AB623">
        <f t="shared" si="86"/>
        <v>272.34442323868274</v>
      </c>
      <c r="AC623">
        <f t="shared" si="90"/>
        <v>0</v>
      </c>
    </row>
    <row r="624" spans="1:29" x14ac:dyDescent="0.3">
      <c r="A624">
        <f t="shared" si="87"/>
        <v>0</v>
      </c>
      <c r="B624" s="2">
        <f t="shared" si="92"/>
        <v>15.722099999948114</v>
      </c>
      <c r="C624" s="2">
        <f t="shared" si="91"/>
        <v>0</v>
      </c>
      <c r="D624" s="2">
        <f t="shared" si="89"/>
        <v>16.293218100000104</v>
      </c>
      <c r="E624" s="2"/>
      <c r="F624">
        <v>2921.8967481</v>
      </c>
      <c r="G624">
        <v>224.25</v>
      </c>
      <c r="H624">
        <v>312</v>
      </c>
      <c r="I624">
        <v>219.084</v>
      </c>
      <c r="J624">
        <v>324.31400000000002</v>
      </c>
      <c r="K624">
        <v>225.10056</v>
      </c>
      <c r="L624">
        <v>316.98324000000002</v>
      </c>
      <c r="M624">
        <v>351.09975343768099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165.506</v>
      </c>
      <c r="V624">
        <v>8.2000000000000003E-2</v>
      </c>
      <c r="W624">
        <v>-0.39600000000000002</v>
      </c>
      <c r="X624">
        <v>0</v>
      </c>
      <c r="Y624" t="b">
        <v>0</v>
      </c>
      <c r="Z624">
        <v>78</v>
      </c>
      <c r="AA624">
        <f t="shared" si="88"/>
        <v>0</v>
      </c>
      <c r="AB624">
        <f t="shared" si="86"/>
        <v>272.34442323868274</v>
      </c>
      <c r="AC624">
        <f t="shared" si="90"/>
        <v>0</v>
      </c>
    </row>
    <row r="625" spans="1:29" x14ac:dyDescent="0.3">
      <c r="A625">
        <f t="shared" si="87"/>
        <v>0</v>
      </c>
      <c r="B625" s="2">
        <f t="shared" si="92"/>
        <v>30.69099999993341</v>
      </c>
      <c r="C625" s="2">
        <f t="shared" si="91"/>
        <v>0</v>
      </c>
      <c r="D625" s="2">
        <f t="shared" si="89"/>
        <v>16.323909100000037</v>
      </c>
      <c r="E625" s="2"/>
      <c r="F625">
        <v>2921.9274390999999</v>
      </c>
      <c r="G625">
        <v>224.25</v>
      </c>
      <c r="H625">
        <v>312</v>
      </c>
      <c r="I625">
        <v>219.084</v>
      </c>
      <c r="J625">
        <v>324.31400000000002</v>
      </c>
      <c r="K625">
        <v>225.10056</v>
      </c>
      <c r="L625">
        <v>316.98324000000002</v>
      </c>
      <c r="M625">
        <v>351.09975343768099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165.506</v>
      </c>
      <c r="V625">
        <v>8.2000000000000003E-2</v>
      </c>
      <c r="W625">
        <v>-0.39600000000000002</v>
      </c>
      <c r="X625">
        <v>0</v>
      </c>
      <c r="Y625" t="b">
        <v>0</v>
      </c>
      <c r="Z625">
        <v>78</v>
      </c>
      <c r="AA625">
        <f t="shared" si="88"/>
        <v>0</v>
      </c>
      <c r="AB625">
        <f t="shared" si="86"/>
        <v>272.34442323868274</v>
      </c>
      <c r="AC625">
        <f t="shared" si="90"/>
        <v>0</v>
      </c>
    </row>
    <row r="626" spans="1:29" x14ac:dyDescent="0.3">
      <c r="A626">
        <f t="shared" si="87"/>
        <v>0</v>
      </c>
      <c r="B626" s="2">
        <f t="shared" si="92"/>
        <v>30.719700000190642</v>
      </c>
      <c r="C626" s="2">
        <f t="shared" si="91"/>
        <v>0</v>
      </c>
      <c r="D626" s="2">
        <f t="shared" si="89"/>
        <v>16.354628800000228</v>
      </c>
      <c r="E626" s="2"/>
      <c r="F626">
        <v>2921.9581588000001</v>
      </c>
      <c r="G626">
        <v>224.25</v>
      </c>
      <c r="H626">
        <v>312</v>
      </c>
      <c r="I626">
        <v>219.084</v>
      </c>
      <c r="J626">
        <v>324.31400000000002</v>
      </c>
      <c r="K626">
        <v>225.10056</v>
      </c>
      <c r="L626">
        <v>316.98324000000002</v>
      </c>
      <c r="M626">
        <v>351.09975343768099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165.505</v>
      </c>
      <c r="V626">
        <v>0.1</v>
      </c>
      <c r="W626">
        <v>-0.38300000000000001</v>
      </c>
      <c r="X626">
        <v>0</v>
      </c>
      <c r="Y626" t="b">
        <v>0</v>
      </c>
      <c r="Z626">
        <v>78</v>
      </c>
      <c r="AA626">
        <f t="shared" si="88"/>
        <v>0</v>
      </c>
      <c r="AB626">
        <f t="shared" si="86"/>
        <v>272.34442323868274</v>
      </c>
      <c r="AC626">
        <f t="shared" si="90"/>
        <v>0</v>
      </c>
    </row>
    <row r="627" spans="1:29" x14ac:dyDescent="0.3">
      <c r="A627">
        <f t="shared" si="87"/>
        <v>0</v>
      </c>
      <c r="B627" s="2">
        <f t="shared" si="92"/>
        <v>30.529300000125659</v>
      </c>
      <c r="C627" s="2">
        <f t="shared" si="91"/>
        <v>0</v>
      </c>
      <c r="D627" s="2">
        <f t="shared" si="89"/>
        <v>16.385158100000353</v>
      </c>
      <c r="E627" s="2"/>
      <c r="F627">
        <v>2921.9886881000002</v>
      </c>
      <c r="G627">
        <v>224.25</v>
      </c>
      <c r="H627">
        <v>312</v>
      </c>
      <c r="I627">
        <v>219.084</v>
      </c>
      <c r="J627">
        <v>324.31400000000002</v>
      </c>
      <c r="K627">
        <v>225.10056</v>
      </c>
      <c r="L627">
        <v>316.98324000000002</v>
      </c>
      <c r="M627">
        <v>351.09975343768099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165.505</v>
      </c>
      <c r="V627">
        <v>0.1</v>
      </c>
      <c r="W627">
        <v>-0.38300000000000001</v>
      </c>
      <c r="X627">
        <v>0</v>
      </c>
      <c r="Y627" t="b">
        <v>0</v>
      </c>
      <c r="Z627">
        <v>78</v>
      </c>
      <c r="AA627">
        <f t="shared" si="88"/>
        <v>0</v>
      </c>
      <c r="AB627">
        <f t="shared" ref="AB627:AB681" si="93">AB626+(AA626*(D627-D626))</f>
        <v>272.34442323868274</v>
      </c>
      <c r="AC627">
        <f t="shared" si="90"/>
        <v>0</v>
      </c>
    </row>
    <row r="628" spans="1:29" x14ac:dyDescent="0.3">
      <c r="A628">
        <f t="shared" si="87"/>
        <v>0</v>
      </c>
      <c r="B628" s="2">
        <f t="shared" si="92"/>
        <v>31.391099999837024</v>
      </c>
      <c r="C628" s="2">
        <f t="shared" si="91"/>
        <v>0</v>
      </c>
      <c r="D628" s="2">
        <f t="shared" si="89"/>
        <v>16.41654920000019</v>
      </c>
      <c r="E628" s="2"/>
      <c r="F628">
        <v>2922.0200792000001</v>
      </c>
      <c r="G628">
        <v>224.25</v>
      </c>
      <c r="H628">
        <v>312</v>
      </c>
      <c r="I628">
        <v>219.084</v>
      </c>
      <c r="J628">
        <v>324.31400000000002</v>
      </c>
      <c r="K628">
        <v>225.10056</v>
      </c>
      <c r="L628">
        <v>316.98324000000002</v>
      </c>
      <c r="M628">
        <v>351.09975343768099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165.51</v>
      </c>
      <c r="V628">
        <v>0.12</v>
      </c>
      <c r="W628">
        <v>-0.376</v>
      </c>
      <c r="X628">
        <v>0</v>
      </c>
      <c r="Y628" t="b">
        <v>0</v>
      </c>
      <c r="Z628">
        <v>78</v>
      </c>
      <c r="AA628">
        <f t="shared" si="88"/>
        <v>0</v>
      </c>
      <c r="AB628">
        <f t="shared" si="93"/>
        <v>272.34442323868274</v>
      </c>
      <c r="AC628">
        <f t="shared" si="90"/>
        <v>0</v>
      </c>
    </row>
    <row r="629" spans="1:29" x14ac:dyDescent="0.3">
      <c r="A629">
        <f t="shared" si="87"/>
        <v>0</v>
      </c>
      <c r="B629" s="2">
        <f t="shared" si="92"/>
        <v>46.153400000093825</v>
      </c>
      <c r="C629" s="2">
        <f t="shared" si="91"/>
        <v>0</v>
      </c>
      <c r="D629" s="2">
        <f t="shared" si="89"/>
        <v>16.462702600000284</v>
      </c>
      <c r="E629" s="2"/>
      <c r="F629">
        <v>2922.0662326000001</v>
      </c>
      <c r="G629">
        <v>224.25</v>
      </c>
      <c r="H629">
        <v>312</v>
      </c>
      <c r="I629">
        <v>219.084</v>
      </c>
      <c r="J629">
        <v>324.31400000000002</v>
      </c>
      <c r="K629">
        <v>225.10056</v>
      </c>
      <c r="L629">
        <v>316.98324000000002</v>
      </c>
      <c r="M629">
        <v>351.09975343768099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165.51</v>
      </c>
      <c r="V629">
        <v>0.12</v>
      </c>
      <c r="W629">
        <v>-0.376</v>
      </c>
      <c r="X629">
        <v>0</v>
      </c>
      <c r="Y629" t="b">
        <v>0</v>
      </c>
      <c r="Z629">
        <v>78</v>
      </c>
      <c r="AA629">
        <f t="shared" si="88"/>
        <v>0</v>
      </c>
      <c r="AB629">
        <f t="shared" si="93"/>
        <v>272.34442323868274</v>
      </c>
      <c r="AC629">
        <f t="shared" si="90"/>
        <v>0</v>
      </c>
    </row>
    <row r="630" spans="1:29" x14ac:dyDescent="0.3">
      <c r="A630">
        <f t="shared" si="87"/>
        <v>0</v>
      </c>
      <c r="B630" s="2">
        <f t="shared" si="92"/>
        <v>31.256299999768089</v>
      </c>
      <c r="C630" s="2">
        <f t="shared" si="91"/>
        <v>0</v>
      </c>
      <c r="D630" s="2">
        <f t="shared" si="89"/>
        <v>16.493958900000052</v>
      </c>
      <c r="E630" s="2"/>
      <c r="F630">
        <v>2922.0974888999999</v>
      </c>
      <c r="G630">
        <v>224.25</v>
      </c>
      <c r="H630">
        <v>312</v>
      </c>
      <c r="I630">
        <v>219.084</v>
      </c>
      <c r="J630">
        <v>324.31400000000002</v>
      </c>
      <c r="K630">
        <v>225.10056</v>
      </c>
      <c r="L630">
        <v>316.98324000000002</v>
      </c>
      <c r="M630">
        <v>351.09975343768099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165.50700000000001</v>
      </c>
      <c r="V630">
        <v>0.13800000000000001</v>
      </c>
      <c r="W630">
        <v>-0.36699999999999999</v>
      </c>
      <c r="X630">
        <v>0</v>
      </c>
      <c r="Y630" t="b">
        <v>0</v>
      </c>
      <c r="Z630">
        <v>78</v>
      </c>
      <c r="AA630">
        <f t="shared" si="88"/>
        <v>0</v>
      </c>
      <c r="AB630">
        <f t="shared" si="93"/>
        <v>272.34442323868274</v>
      </c>
      <c r="AC630">
        <f t="shared" si="90"/>
        <v>0</v>
      </c>
    </row>
    <row r="631" spans="1:29" x14ac:dyDescent="0.3">
      <c r="A631">
        <f t="shared" si="87"/>
        <v>0</v>
      </c>
      <c r="B631" s="2">
        <f t="shared" si="92"/>
        <v>31.396100000165461</v>
      </c>
      <c r="C631" s="2">
        <f t="shared" si="91"/>
        <v>0</v>
      </c>
      <c r="D631" s="2">
        <f t="shared" si="89"/>
        <v>16.525355000000218</v>
      </c>
      <c r="E631" s="2"/>
      <c r="F631">
        <v>2922.1288850000001</v>
      </c>
      <c r="G631">
        <v>224.25</v>
      </c>
      <c r="H631">
        <v>312</v>
      </c>
      <c r="I631">
        <v>219.084</v>
      </c>
      <c r="J631">
        <v>324.31400000000002</v>
      </c>
      <c r="K631">
        <v>225.10056</v>
      </c>
      <c r="L631">
        <v>316.98324000000002</v>
      </c>
      <c r="M631">
        <v>351.09975343768099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165.50700000000001</v>
      </c>
      <c r="V631">
        <v>0.13800000000000001</v>
      </c>
      <c r="W631">
        <v>-0.36699999999999999</v>
      </c>
      <c r="X631">
        <v>0</v>
      </c>
      <c r="Y631" t="b">
        <v>0</v>
      </c>
      <c r="Z631">
        <v>78</v>
      </c>
      <c r="AA631">
        <f t="shared" si="88"/>
        <v>0</v>
      </c>
      <c r="AB631">
        <f t="shared" si="93"/>
        <v>272.34442323868274</v>
      </c>
      <c r="AC631">
        <f t="shared" si="90"/>
        <v>0</v>
      </c>
    </row>
    <row r="632" spans="1:29" x14ac:dyDescent="0.3">
      <c r="A632">
        <f t="shared" si="87"/>
        <v>0</v>
      </c>
      <c r="B632" s="2">
        <f t="shared" si="92"/>
        <v>30.579400000078749</v>
      </c>
      <c r="C632" s="2">
        <f t="shared" si="91"/>
        <v>0</v>
      </c>
      <c r="D632" s="2">
        <f t="shared" si="89"/>
        <v>16.555934400000297</v>
      </c>
      <c r="E632" s="2"/>
      <c r="F632">
        <v>2922.1594644000002</v>
      </c>
      <c r="G632">
        <v>224.25</v>
      </c>
      <c r="H632">
        <v>312</v>
      </c>
      <c r="I632">
        <v>219.084</v>
      </c>
      <c r="J632">
        <v>324.31400000000002</v>
      </c>
      <c r="K632">
        <v>225.10056</v>
      </c>
      <c r="L632">
        <v>316.98324000000002</v>
      </c>
      <c r="M632">
        <v>351.09975343768099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165.50700000000001</v>
      </c>
      <c r="V632">
        <v>0.16400000000000001</v>
      </c>
      <c r="W632">
        <v>-0.36</v>
      </c>
      <c r="X632">
        <v>0</v>
      </c>
      <c r="Y632" t="b">
        <v>0</v>
      </c>
      <c r="Z632">
        <v>78</v>
      </c>
      <c r="AA632">
        <f t="shared" si="88"/>
        <v>0</v>
      </c>
      <c r="AB632">
        <f t="shared" si="93"/>
        <v>272.34442323868274</v>
      </c>
      <c r="AC632">
        <f t="shared" si="90"/>
        <v>0</v>
      </c>
    </row>
    <row r="633" spans="1:29" x14ac:dyDescent="0.3">
      <c r="A633">
        <f t="shared" si="87"/>
        <v>0</v>
      </c>
      <c r="B633" s="2">
        <f t="shared" si="92"/>
        <v>30.834299999696668</v>
      </c>
      <c r="C633" s="2">
        <f t="shared" si="91"/>
        <v>0</v>
      </c>
      <c r="D633" s="2">
        <f t="shared" si="89"/>
        <v>16.586768699999993</v>
      </c>
      <c r="E633" s="2"/>
      <c r="F633">
        <v>2922.1902986999999</v>
      </c>
      <c r="G633">
        <v>224.25</v>
      </c>
      <c r="H633">
        <v>312</v>
      </c>
      <c r="I633">
        <v>219.084</v>
      </c>
      <c r="J633">
        <v>324.31400000000002</v>
      </c>
      <c r="K633">
        <v>225.10056</v>
      </c>
      <c r="L633">
        <v>316.98324000000002</v>
      </c>
      <c r="M633">
        <v>351.09975343768099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165.50700000000001</v>
      </c>
      <c r="V633">
        <v>0.16400000000000001</v>
      </c>
      <c r="W633">
        <v>-0.36</v>
      </c>
      <c r="X633">
        <v>0</v>
      </c>
      <c r="Y633" t="b">
        <v>0</v>
      </c>
      <c r="Z633">
        <v>78</v>
      </c>
      <c r="AA633">
        <f t="shared" si="88"/>
        <v>0</v>
      </c>
      <c r="AB633">
        <f t="shared" si="93"/>
        <v>272.34442323868274</v>
      </c>
      <c r="AC633">
        <f t="shared" si="90"/>
        <v>0</v>
      </c>
    </row>
    <row r="634" spans="1:29" x14ac:dyDescent="0.3">
      <c r="A634">
        <f t="shared" si="87"/>
        <v>0</v>
      </c>
      <c r="B634" s="2">
        <f t="shared" si="92"/>
        <v>31.114700000216544</v>
      </c>
      <c r="C634" s="2">
        <f t="shared" si="91"/>
        <v>0</v>
      </c>
      <c r="D634" s="2">
        <f t="shared" si="89"/>
        <v>16.61788340000021</v>
      </c>
      <c r="E634" s="2"/>
      <c r="F634">
        <v>2922.2214134000001</v>
      </c>
      <c r="G634">
        <v>224.25</v>
      </c>
      <c r="H634">
        <v>312</v>
      </c>
      <c r="I634">
        <v>219.084</v>
      </c>
      <c r="J634">
        <v>324.31400000000002</v>
      </c>
      <c r="K634">
        <v>225.10056</v>
      </c>
      <c r="L634">
        <v>316.98324000000002</v>
      </c>
      <c r="M634">
        <v>351.09975343768099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165.50399999999999</v>
      </c>
      <c r="V634">
        <v>0.187</v>
      </c>
      <c r="W634">
        <v>-0.35299999999999998</v>
      </c>
      <c r="X634">
        <v>0</v>
      </c>
      <c r="Y634" t="b">
        <v>0</v>
      </c>
      <c r="Z634">
        <v>78</v>
      </c>
      <c r="AA634">
        <f t="shared" si="88"/>
        <v>0</v>
      </c>
      <c r="AB634">
        <f t="shared" si="93"/>
        <v>272.34442323868274</v>
      </c>
      <c r="AC634">
        <f t="shared" si="90"/>
        <v>0</v>
      </c>
    </row>
    <row r="635" spans="1:29" x14ac:dyDescent="0.3">
      <c r="A635">
        <f t="shared" si="87"/>
        <v>0</v>
      </c>
      <c r="B635" s="2">
        <f t="shared" si="92"/>
        <v>30.032399999981862</v>
      </c>
      <c r="C635" s="2">
        <f t="shared" si="91"/>
        <v>0</v>
      </c>
      <c r="D635" s="2">
        <f t="shared" si="89"/>
        <v>16.647915800000192</v>
      </c>
      <c r="E635" s="2"/>
      <c r="F635">
        <v>2922.2514458000001</v>
      </c>
      <c r="G635">
        <v>224.25</v>
      </c>
      <c r="H635">
        <v>312</v>
      </c>
      <c r="I635">
        <v>219.084</v>
      </c>
      <c r="J635">
        <v>324.31400000000002</v>
      </c>
      <c r="K635">
        <v>225.10056</v>
      </c>
      <c r="L635">
        <v>316.98324000000002</v>
      </c>
      <c r="M635">
        <v>351.09975343768099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165.50399999999999</v>
      </c>
      <c r="V635">
        <v>0.187</v>
      </c>
      <c r="W635">
        <v>-0.35299999999999998</v>
      </c>
      <c r="X635">
        <v>0</v>
      </c>
      <c r="Y635" t="b">
        <v>0</v>
      </c>
      <c r="Z635">
        <v>78</v>
      </c>
      <c r="AA635">
        <f t="shared" si="88"/>
        <v>0</v>
      </c>
      <c r="AB635">
        <f t="shared" si="93"/>
        <v>272.34442323868274</v>
      </c>
      <c r="AC635">
        <f t="shared" si="90"/>
        <v>0</v>
      </c>
    </row>
    <row r="636" spans="1:29" x14ac:dyDescent="0.3">
      <c r="A636">
        <f t="shared" si="87"/>
        <v>0</v>
      </c>
      <c r="B636" s="2">
        <f t="shared" si="92"/>
        <v>45.787499999732972</v>
      </c>
      <c r="C636" s="2">
        <f t="shared" si="91"/>
        <v>0</v>
      </c>
      <c r="D636" s="2">
        <f t="shared" si="89"/>
        <v>16.693703299999925</v>
      </c>
      <c r="E636" s="2"/>
      <c r="F636">
        <v>2922.2972332999998</v>
      </c>
      <c r="G636">
        <v>224.25</v>
      </c>
      <c r="H636">
        <v>312</v>
      </c>
      <c r="I636">
        <v>219.084</v>
      </c>
      <c r="J636">
        <v>324.31400000000002</v>
      </c>
      <c r="K636">
        <v>225.10056</v>
      </c>
      <c r="L636">
        <v>316.98324000000002</v>
      </c>
      <c r="M636">
        <v>351.09975343768099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165.501</v>
      </c>
      <c r="V636">
        <v>0.20799999999999999</v>
      </c>
      <c r="W636">
        <v>-0.34399999999999997</v>
      </c>
      <c r="X636">
        <v>0</v>
      </c>
      <c r="Y636" t="b">
        <v>0</v>
      </c>
      <c r="Z636">
        <v>78</v>
      </c>
      <c r="AA636">
        <f t="shared" si="88"/>
        <v>0</v>
      </c>
      <c r="AB636">
        <f t="shared" si="93"/>
        <v>272.34442323868274</v>
      </c>
      <c r="AC636">
        <f t="shared" si="90"/>
        <v>0</v>
      </c>
    </row>
    <row r="637" spans="1:29" x14ac:dyDescent="0.3">
      <c r="A637">
        <f t="shared" si="87"/>
        <v>0</v>
      </c>
      <c r="B637" s="2">
        <f t="shared" si="92"/>
        <v>31.938500000251224</v>
      </c>
      <c r="C637" s="2">
        <f t="shared" si="91"/>
        <v>0</v>
      </c>
      <c r="D637" s="2">
        <f t="shared" si="89"/>
        <v>16.725641800000176</v>
      </c>
      <c r="E637" s="2"/>
      <c r="F637">
        <v>2922.3291718</v>
      </c>
      <c r="G637">
        <v>224.25</v>
      </c>
      <c r="H637">
        <v>312</v>
      </c>
      <c r="I637">
        <v>219.084</v>
      </c>
      <c r="J637">
        <v>324.31400000000002</v>
      </c>
      <c r="K637">
        <v>225.10056</v>
      </c>
      <c r="L637">
        <v>316.98324000000002</v>
      </c>
      <c r="M637">
        <v>351.09975343768099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165.501</v>
      </c>
      <c r="V637">
        <v>0.20799999999999999</v>
      </c>
      <c r="W637">
        <v>-0.34399999999999997</v>
      </c>
      <c r="X637">
        <v>0</v>
      </c>
      <c r="Y637" t="b">
        <v>0</v>
      </c>
      <c r="Z637">
        <v>78</v>
      </c>
      <c r="AA637">
        <f t="shared" si="88"/>
        <v>0</v>
      </c>
      <c r="AB637">
        <f t="shared" si="93"/>
        <v>272.34442323868274</v>
      </c>
      <c r="AC637">
        <f t="shared" si="90"/>
        <v>0</v>
      </c>
    </row>
    <row r="638" spans="1:29" x14ac:dyDescent="0.3">
      <c r="A638">
        <f t="shared" si="87"/>
        <v>0</v>
      </c>
      <c r="B638" s="2">
        <f t="shared" si="92"/>
        <v>30.624099999840837</v>
      </c>
      <c r="C638" s="2">
        <f t="shared" si="91"/>
        <v>0</v>
      </c>
      <c r="D638" s="2">
        <f t="shared" si="89"/>
        <v>16.756265900000017</v>
      </c>
      <c r="E638" s="2"/>
      <c r="F638">
        <v>2922.3597958999999</v>
      </c>
      <c r="G638">
        <v>224.25</v>
      </c>
      <c r="H638">
        <v>312</v>
      </c>
      <c r="I638">
        <v>219.084</v>
      </c>
      <c r="J638">
        <v>324.31400000000002</v>
      </c>
      <c r="K638">
        <v>225.10056</v>
      </c>
      <c r="L638">
        <v>316.98324000000002</v>
      </c>
      <c r="M638">
        <v>351.09975343768099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165.49799999999999</v>
      </c>
      <c r="V638">
        <v>0.23</v>
      </c>
      <c r="W638">
        <v>-0.33400000000000002</v>
      </c>
      <c r="X638">
        <v>0</v>
      </c>
      <c r="Y638" t="b">
        <v>0</v>
      </c>
      <c r="Z638">
        <v>78</v>
      </c>
      <c r="AA638">
        <f t="shared" si="88"/>
        <v>0</v>
      </c>
      <c r="AB638">
        <f t="shared" si="93"/>
        <v>272.34442323868274</v>
      </c>
      <c r="AC638">
        <f t="shared" si="90"/>
        <v>0</v>
      </c>
    </row>
    <row r="639" spans="1:29" x14ac:dyDescent="0.3">
      <c r="A639">
        <f t="shared" si="87"/>
        <v>0</v>
      </c>
      <c r="B639" s="2">
        <f t="shared" si="92"/>
        <v>15.5826000000161</v>
      </c>
      <c r="C639" s="2">
        <f t="shared" si="91"/>
        <v>0</v>
      </c>
      <c r="D639" s="2">
        <f t="shared" si="89"/>
        <v>16.771848500000033</v>
      </c>
      <c r="E639" s="2"/>
      <c r="F639">
        <v>2922.3753784999999</v>
      </c>
      <c r="G639">
        <v>224.25</v>
      </c>
      <c r="H639">
        <v>312</v>
      </c>
      <c r="I639">
        <v>219.084</v>
      </c>
      <c r="J639">
        <v>324.31400000000002</v>
      </c>
      <c r="K639">
        <v>225.10056</v>
      </c>
      <c r="L639">
        <v>316.98324000000002</v>
      </c>
      <c r="M639">
        <v>351.09975343768099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165.49799999999999</v>
      </c>
      <c r="V639">
        <v>0.23</v>
      </c>
      <c r="W639">
        <v>-0.33400000000000002</v>
      </c>
      <c r="X639">
        <v>0</v>
      </c>
      <c r="Y639" t="b">
        <v>0</v>
      </c>
      <c r="Z639">
        <v>78</v>
      </c>
      <c r="AA639">
        <f t="shared" si="88"/>
        <v>0</v>
      </c>
      <c r="AB639">
        <f t="shared" si="93"/>
        <v>272.34442323868274</v>
      </c>
      <c r="AC639">
        <f t="shared" si="90"/>
        <v>0</v>
      </c>
    </row>
    <row r="640" spans="1:29" x14ac:dyDescent="0.3">
      <c r="A640">
        <f t="shared" si="87"/>
        <v>0</v>
      </c>
      <c r="B640" s="2">
        <f t="shared" si="92"/>
        <v>31.565900000259717</v>
      </c>
      <c r="C640" s="2">
        <f t="shared" si="91"/>
        <v>0</v>
      </c>
      <c r="D640" s="2">
        <f t="shared" si="89"/>
        <v>16.803414400000293</v>
      </c>
      <c r="E640" s="2"/>
      <c r="F640">
        <v>2922.4069444000002</v>
      </c>
      <c r="G640">
        <v>224.25</v>
      </c>
      <c r="H640">
        <v>312</v>
      </c>
      <c r="I640">
        <v>219.084</v>
      </c>
      <c r="J640">
        <v>324.31400000000002</v>
      </c>
      <c r="K640">
        <v>225.10056</v>
      </c>
      <c r="L640">
        <v>316.98324000000002</v>
      </c>
      <c r="M640">
        <v>351.09975343768099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165.49700000000001</v>
      </c>
      <c r="V640">
        <v>0.253</v>
      </c>
      <c r="W640">
        <v>-0.32700000000000001</v>
      </c>
      <c r="X640">
        <v>0</v>
      </c>
      <c r="Y640" t="b">
        <v>0</v>
      </c>
      <c r="Z640">
        <v>78</v>
      </c>
      <c r="AA640">
        <f t="shared" si="88"/>
        <v>0</v>
      </c>
      <c r="AB640">
        <f t="shared" si="93"/>
        <v>272.34442323868274</v>
      </c>
      <c r="AC640">
        <f t="shared" si="90"/>
        <v>0</v>
      </c>
    </row>
    <row r="641" spans="1:29" x14ac:dyDescent="0.3">
      <c r="A641">
        <f t="shared" si="87"/>
        <v>0</v>
      </c>
      <c r="B641" s="2">
        <f t="shared" si="92"/>
        <v>31.350899999779358</v>
      </c>
      <c r="C641" s="2">
        <f t="shared" si="91"/>
        <v>0</v>
      </c>
      <c r="D641" s="2">
        <f t="shared" si="89"/>
        <v>16.834765300000072</v>
      </c>
      <c r="E641" s="2"/>
      <c r="F641">
        <v>2922.4382952999999</v>
      </c>
      <c r="G641">
        <v>224.25</v>
      </c>
      <c r="H641">
        <v>312</v>
      </c>
      <c r="I641">
        <v>219.084</v>
      </c>
      <c r="J641">
        <v>324.31400000000002</v>
      </c>
      <c r="K641">
        <v>225.10056</v>
      </c>
      <c r="L641">
        <v>316.98324000000002</v>
      </c>
      <c r="M641">
        <v>351.09975343768099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165.49700000000001</v>
      </c>
      <c r="V641">
        <v>0.253</v>
      </c>
      <c r="W641">
        <v>-0.32700000000000001</v>
      </c>
      <c r="X641">
        <v>0</v>
      </c>
      <c r="Y641" t="b">
        <v>0</v>
      </c>
      <c r="Z641">
        <v>78</v>
      </c>
      <c r="AA641">
        <f t="shared" si="88"/>
        <v>0</v>
      </c>
      <c r="AB641">
        <f t="shared" si="93"/>
        <v>272.34442323868274</v>
      </c>
      <c r="AC641">
        <f t="shared" si="90"/>
        <v>0</v>
      </c>
    </row>
    <row r="642" spans="1:29" x14ac:dyDescent="0.3">
      <c r="A642">
        <f t="shared" si="87"/>
        <v>0</v>
      </c>
      <c r="B642" s="2">
        <f t="shared" si="92"/>
        <v>30.846500000279775</v>
      </c>
      <c r="C642" s="2">
        <f t="shared" si="91"/>
        <v>0</v>
      </c>
      <c r="D642" s="2">
        <f t="shared" si="89"/>
        <v>16.865611800000352</v>
      </c>
      <c r="E642" s="2"/>
      <c r="F642">
        <v>2922.4691418000002</v>
      </c>
      <c r="G642">
        <v>224.25</v>
      </c>
      <c r="H642">
        <v>312</v>
      </c>
      <c r="I642">
        <v>219.084</v>
      </c>
      <c r="J642">
        <v>324.31400000000002</v>
      </c>
      <c r="K642">
        <v>225.10056</v>
      </c>
      <c r="L642">
        <v>316.98324000000002</v>
      </c>
      <c r="M642">
        <v>351.09975343768099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165.495</v>
      </c>
      <c r="V642">
        <v>0.28000000000000003</v>
      </c>
      <c r="W642">
        <v>-0.32700000000000001</v>
      </c>
      <c r="X642">
        <v>0</v>
      </c>
      <c r="Y642" t="b">
        <v>0</v>
      </c>
      <c r="Z642">
        <v>78</v>
      </c>
      <c r="AA642">
        <f t="shared" si="88"/>
        <v>0</v>
      </c>
      <c r="AB642">
        <f t="shared" si="93"/>
        <v>272.34442323868274</v>
      </c>
      <c r="AC642">
        <f t="shared" si="90"/>
        <v>0</v>
      </c>
    </row>
    <row r="643" spans="1:29" x14ac:dyDescent="0.3">
      <c r="A643">
        <f t="shared" si="87"/>
        <v>0</v>
      </c>
      <c r="B643" s="2">
        <f t="shared" si="92"/>
        <v>47.614499999781401</v>
      </c>
      <c r="C643" s="2">
        <f t="shared" si="91"/>
        <v>0</v>
      </c>
      <c r="D643" s="2">
        <f t="shared" si="89"/>
        <v>16.913226300000133</v>
      </c>
      <c r="E643" s="2"/>
      <c r="F643">
        <v>2922.5167563</v>
      </c>
      <c r="G643">
        <v>224.25</v>
      </c>
      <c r="H643">
        <v>312</v>
      </c>
      <c r="I643">
        <v>219.084</v>
      </c>
      <c r="J643">
        <v>324.31400000000002</v>
      </c>
      <c r="K643">
        <v>225.10056</v>
      </c>
      <c r="L643">
        <v>316.98324000000002</v>
      </c>
      <c r="M643">
        <v>351.09975343768099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165.495</v>
      </c>
      <c r="V643">
        <v>0.28000000000000003</v>
      </c>
      <c r="W643">
        <v>-0.32700000000000001</v>
      </c>
      <c r="X643">
        <v>0</v>
      </c>
      <c r="Y643" t="b">
        <v>0</v>
      </c>
      <c r="Z643">
        <v>78</v>
      </c>
      <c r="AA643">
        <f t="shared" si="88"/>
        <v>0</v>
      </c>
      <c r="AB643">
        <f t="shared" si="93"/>
        <v>272.34442323868274</v>
      </c>
      <c r="AC643">
        <f t="shared" si="90"/>
        <v>0</v>
      </c>
    </row>
    <row r="644" spans="1:29" x14ac:dyDescent="0.3">
      <c r="A644">
        <f t="shared" si="87"/>
        <v>0</v>
      </c>
      <c r="B644" s="2">
        <f t="shared" si="92"/>
        <v>30.689100000017788</v>
      </c>
      <c r="C644" s="2">
        <f t="shared" si="91"/>
        <v>0</v>
      </c>
      <c r="D644" s="2">
        <f t="shared" si="89"/>
        <v>16.943915400000151</v>
      </c>
      <c r="E644" s="2"/>
      <c r="F644">
        <v>2922.5474454</v>
      </c>
      <c r="G644">
        <v>224.25</v>
      </c>
      <c r="H644">
        <v>312</v>
      </c>
      <c r="I644">
        <v>219.084</v>
      </c>
      <c r="J644">
        <v>324.31400000000002</v>
      </c>
      <c r="K644">
        <v>225.10056</v>
      </c>
      <c r="L644">
        <v>316.98324000000002</v>
      </c>
      <c r="M644">
        <v>351.09975343768099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165.495</v>
      </c>
      <c r="V644">
        <v>0.30099999999999999</v>
      </c>
      <c r="W644">
        <v>-0.31900000000000001</v>
      </c>
      <c r="X644">
        <v>0</v>
      </c>
      <c r="Y644" t="b">
        <v>0</v>
      </c>
      <c r="Z644">
        <v>78</v>
      </c>
      <c r="AA644">
        <f t="shared" si="88"/>
        <v>0</v>
      </c>
      <c r="AB644">
        <f t="shared" si="93"/>
        <v>272.34442323868274</v>
      </c>
      <c r="AC644">
        <f t="shared" si="90"/>
        <v>0</v>
      </c>
    </row>
    <row r="645" spans="1:29" x14ac:dyDescent="0.3">
      <c r="A645">
        <f t="shared" si="87"/>
        <v>0</v>
      </c>
      <c r="B645" s="2">
        <f t="shared" si="92"/>
        <v>30.932000000120752</v>
      </c>
      <c r="C645" s="2">
        <f t="shared" si="91"/>
        <v>0</v>
      </c>
      <c r="D645" s="2">
        <f t="shared" si="89"/>
        <v>16.974847400000272</v>
      </c>
      <c r="E645" s="2"/>
      <c r="F645">
        <v>2922.5783774000001</v>
      </c>
      <c r="G645">
        <v>224.25</v>
      </c>
      <c r="H645">
        <v>312</v>
      </c>
      <c r="I645">
        <v>219.084</v>
      </c>
      <c r="J645">
        <v>324.31400000000002</v>
      </c>
      <c r="K645">
        <v>225.10056</v>
      </c>
      <c r="L645">
        <v>316.98324000000002</v>
      </c>
      <c r="M645">
        <v>351.09975343768099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165.495</v>
      </c>
      <c r="V645">
        <v>0.30099999999999999</v>
      </c>
      <c r="W645">
        <v>-0.31900000000000001</v>
      </c>
      <c r="X645">
        <v>0</v>
      </c>
      <c r="Y645" t="b">
        <v>0</v>
      </c>
      <c r="Z645">
        <v>78</v>
      </c>
      <c r="AA645">
        <f t="shared" si="88"/>
        <v>0</v>
      </c>
      <c r="AB645">
        <f t="shared" si="93"/>
        <v>272.34442323868274</v>
      </c>
      <c r="AC645">
        <f t="shared" si="90"/>
        <v>0</v>
      </c>
    </row>
    <row r="646" spans="1:29" x14ac:dyDescent="0.3">
      <c r="A646">
        <f t="shared" si="87"/>
        <v>0</v>
      </c>
      <c r="B646" s="2">
        <f t="shared" si="92"/>
        <v>31.216599999879691</v>
      </c>
      <c r="C646" s="2">
        <f t="shared" si="91"/>
        <v>0</v>
      </c>
      <c r="D646" s="2">
        <f t="shared" si="89"/>
        <v>17.006064000000151</v>
      </c>
      <c r="E646" s="2"/>
      <c r="F646">
        <v>2922.609594</v>
      </c>
      <c r="G646">
        <v>224.25</v>
      </c>
      <c r="H646">
        <v>312</v>
      </c>
      <c r="I646">
        <v>219.084</v>
      </c>
      <c r="J646">
        <v>324.31400000000002</v>
      </c>
      <c r="K646">
        <v>225.10056</v>
      </c>
      <c r="L646">
        <v>316.98324000000002</v>
      </c>
      <c r="M646">
        <v>351.09975343768099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165.494</v>
      </c>
      <c r="V646">
        <v>0.32100000000000001</v>
      </c>
      <c r="W646">
        <v>-0.313</v>
      </c>
      <c r="X646">
        <v>0</v>
      </c>
      <c r="Y646" t="b">
        <v>0</v>
      </c>
      <c r="Z646">
        <v>78</v>
      </c>
      <c r="AA646">
        <f t="shared" si="88"/>
        <v>0</v>
      </c>
      <c r="AB646">
        <f t="shared" si="93"/>
        <v>272.34442323868274</v>
      </c>
      <c r="AC646">
        <f t="shared" si="90"/>
        <v>0</v>
      </c>
    </row>
    <row r="647" spans="1:29" x14ac:dyDescent="0.3">
      <c r="A647">
        <f t="shared" ref="A647:A681" si="94">N647*10000</f>
        <v>0</v>
      </c>
      <c r="B647" s="2">
        <f t="shared" si="92"/>
        <v>30.570200000056502</v>
      </c>
      <c r="C647" s="2">
        <f t="shared" si="91"/>
        <v>0</v>
      </c>
      <c r="D647" s="2">
        <f t="shared" si="89"/>
        <v>17.036634200000208</v>
      </c>
      <c r="E647" s="2"/>
      <c r="F647">
        <v>2922.6401642000001</v>
      </c>
      <c r="G647">
        <v>224.25</v>
      </c>
      <c r="H647">
        <v>312</v>
      </c>
      <c r="I647">
        <v>219.084</v>
      </c>
      <c r="J647">
        <v>324.31400000000002</v>
      </c>
      <c r="K647">
        <v>225.10056</v>
      </c>
      <c r="L647">
        <v>316.98324000000002</v>
      </c>
      <c r="M647">
        <v>351.09975343768099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165.494</v>
      </c>
      <c r="V647">
        <v>0.32100000000000001</v>
      </c>
      <c r="W647">
        <v>-0.313</v>
      </c>
      <c r="X647">
        <v>0</v>
      </c>
      <c r="Y647" t="b">
        <v>0</v>
      </c>
      <c r="Z647">
        <v>78</v>
      </c>
      <c r="AA647">
        <f t="shared" ref="AA647:AA681" si="95">R647*100</f>
        <v>0</v>
      </c>
      <c r="AB647">
        <f t="shared" si="93"/>
        <v>272.34442323868274</v>
      </c>
      <c r="AC647">
        <f t="shared" si="90"/>
        <v>0</v>
      </c>
    </row>
    <row r="648" spans="1:29" x14ac:dyDescent="0.3">
      <c r="A648">
        <f t="shared" si="94"/>
        <v>0</v>
      </c>
      <c r="B648" s="2">
        <f t="shared" si="92"/>
        <v>31.05409999989206</v>
      </c>
      <c r="C648" s="2">
        <f t="shared" si="91"/>
        <v>0</v>
      </c>
      <c r="D648" s="2">
        <f t="shared" ref="D648:D681" si="96">F648-$F$7</f>
        <v>17.0676883000001</v>
      </c>
      <c r="E648" s="2"/>
      <c r="F648">
        <v>2922.6712183</v>
      </c>
      <c r="G648">
        <v>224.25</v>
      </c>
      <c r="H648">
        <v>312</v>
      </c>
      <c r="I648">
        <v>219.084</v>
      </c>
      <c r="J648">
        <v>324.31400000000002</v>
      </c>
      <c r="K648">
        <v>225.10056</v>
      </c>
      <c r="L648">
        <v>316.98324000000002</v>
      </c>
      <c r="M648">
        <v>351.09975343768099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165.49299999999999</v>
      </c>
      <c r="V648">
        <v>0.34100000000000003</v>
      </c>
      <c r="W648">
        <v>-0.307</v>
      </c>
      <c r="X648">
        <v>0</v>
      </c>
      <c r="Y648" t="b">
        <v>0</v>
      </c>
      <c r="Z648">
        <v>78</v>
      </c>
      <c r="AA648">
        <f t="shared" si="95"/>
        <v>0</v>
      </c>
      <c r="AB648">
        <f t="shared" si="93"/>
        <v>272.34442323868274</v>
      </c>
      <c r="AC648">
        <f t="shared" ref="AC648:AC681" si="97">IF((L648-L647)/(D648-D647)&lt;100,IF((L648-L647)/(D648-D647)&gt;(-1*20),(L648-L647)/(D648-D647),AC647))</f>
        <v>0</v>
      </c>
    </row>
    <row r="649" spans="1:29" x14ac:dyDescent="0.3">
      <c r="A649">
        <f t="shared" si="94"/>
        <v>0</v>
      </c>
      <c r="B649" s="2">
        <f t="shared" si="92"/>
        <v>46.666900000218448</v>
      </c>
      <c r="C649" s="2">
        <f t="shared" ref="C649:C681" si="98">L649-L648</f>
        <v>0</v>
      </c>
      <c r="D649" s="2">
        <f t="shared" si="96"/>
        <v>17.114355200000318</v>
      </c>
      <c r="E649" s="2"/>
      <c r="F649">
        <v>2922.7178852000002</v>
      </c>
      <c r="G649">
        <v>224.25</v>
      </c>
      <c r="H649">
        <v>312</v>
      </c>
      <c r="I649">
        <v>219.084</v>
      </c>
      <c r="J649">
        <v>324.31400000000002</v>
      </c>
      <c r="K649">
        <v>225.10056</v>
      </c>
      <c r="L649">
        <v>316.98324000000002</v>
      </c>
      <c r="M649">
        <v>351.09975343768099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165.49299999999999</v>
      </c>
      <c r="V649">
        <v>0.34100000000000003</v>
      </c>
      <c r="W649">
        <v>-0.307</v>
      </c>
      <c r="X649">
        <v>0</v>
      </c>
      <c r="Y649" t="b">
        <v>0</v>
      </c>
      <c r="Z649">
        <v>78</v>
      </c>
      <c r="AA649">
        <f t="shared" si="95"/>
        <v>0</v>
      </c>
      <c r="AB649">
        <f t="shared" si="93"/>
        <v>272.34442323868274</v>
      </c>
      <c r="AC649">
        <f t="shared" si="97"/>
        <v>0</v>
      </c>
    </row>
    <row r="650" spans="1:29" x14ac:dyDescent="0.3">
      <c r="A650">
        <f t="shared" si="94"/>
        <v>0</v>
      </c>
      <c r="B650" s="2">
        <f t="shared" si="92"/>
        <v>31.505599999945844</v>
      </c>
      <c r="C650" s="2">
        <f t="shared" si="98"/>
        <v>0</v>
      </c>
      <c r="D650" s="2">
        <f t="shared" si="96"/>
        <v>17.145860800000264</v>
      </c>
      <c r="E650" s="2"/>
      <c r="F650">
        <v>2922.7493908000001</v>
      </c>
      <c r="G650">
        <v>224.25</v>
      </c>
      <c r="H650">
        <v>312</v>
      </c>
      <c r="I650">
        <v>219.084</v>
      </c>
      <c r="J650">
        <v>324.31400000000002</v>
      </c>
      <c r="K650">
        <v>225.10056</v>
      </c>
      <c r="L650">
        <v>316.98324000000002</v>
      </c>
      <c r="M650">
        <v>351.09975343768099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165.49199999999999</v>
      </c>
      <c r="V650">
        <v>0.36599999999999999</v>
      </c>
      <c r="W650">
        <v>-0.29899999999999999</v>
      </c>
      <c r="X650">
        <v>0</v>
      </c>
      <c r="Y650" t="b">
        <v>0</v>
      </c>
      <c r="Z650">
        <v>78</v>
      </c>
      <c r="AA650">
        <f t="shared" si="95"/>
        <v>0</v>
      </c>
      <c r="AB650">
        <f t="shared" si="93"/>
        <v>272.34442323868274</v>
      </c>
      <c r="AC650">
        <f t="shared" si="97"/>
        <v>0</v>
      </c>
    </row>
    <row r="651" spans="1:29" x14ac:dyDescent="0.3">
      <c r="A651">
        <f t="shared" si="94"/>
        <v>0</v>
      </c>
      <c r="B651" s="2">
        <f t="shared" si="92"/>
        <v>30.740199999854667</v>
      </c>
      <c r="C651" s="2">
        <f t="shared" si="98"/>
        <v>0</v>
      </c>
      <c r="D651" s="2">
        <f t="shared" si="96"/>
        <v>17.176601000000119</v>
      </c>
      <c r="E651" s="2"/>
      <c r="F651">
        <v>2922.780131</v>
      </c>
      <c r="G651">
        <v>224.25</v>
      </c>
      <c r="H651">
        <v>312</v>
      </c>
      <c r="I651">
        <v>219.084</v>
      </c>
      <c r="J651">
        <v>324.31400000000002</v>
      </c>
      <c r="K651">
        <v>225.10056</v>
      </c>
      <c r="L651">
        <v>316.98324000000002</v>
      </c>
      <c r="M651">
        <v>351.09975343768099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165.49199999999999</v>
      </c>
      <c r="V651">
        <v>0.36599999999999999</v>
      </c>
      <c r="W651">
        <v>-0.29899999999999999</v>
      </c>
      <c r="X651">
        <v>0</v>
      </c>
      <c r="Y651" t="b">
        <v>0</v>
      </c>
      <c r="Z651">
        <v>78</v>
      </c>
      <c r="AA651">
        <f t="shared" si="95"/>
        <v>0</v>
      </c>
      <c r="AB651">
        <f t="shared" si="93"/>
        <v>272.34442323868274</v>
      </c>
      <c r="AC651">
        <f t="shared" si="97"/>
        <v>0</v>
      </c>
    </row>
    <row r="652" spans="1:29" x14ac:dyDescent="0.3">
      <c r="A652">
        <f t="shared" si="94"/>
        <v>0</v>
      </c>
      <c r="B652" s="2">
        <f t="shared" si="92"/>
        <v>30.755300000237185</v>
      </c>
      <c r="C652" s="2">
        <f t="shared" si="98"/>
        <v>0</v>
      </c>
      <c r="D652" s="2">
        <f t="shared" si="96"/>
        <v>17.207356300000356</v>
      </c>
      <c r="E652" s="2"/>
      <c r="F652">
        <v>2922.8108863000002</v>
      </c>
      <c r="G652">
        <v>224.25</v>
      </c>
      <c r="H652">
        <v>312</v>
      </c>
      <c r="I652">
        <v>219.084</v>
      </c>
      <c r="J652">
        <v>324.31400000000002</v>
      </c>
      <c r="K652">
        <v>225.10056</v>
      </c>
      <c r="L652">
        <v>316.98324000000002</v>
      </c>
      <c r="M652">
        <v>351.09975343768099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165.488</v>
      </c>
      <c r="V652">
        <v>0.371</v>
      </c>
      <c r="W652">
        <v>-0.29399999999999998</v>
      </c>
      <c r="X652">
        <v>0</v>
      </c>
      <c r="Y652" t="b">
        <v>0</v>
      </c>
      <c r="Z652">
        <v>78</v>
      </c>
      <c r="AA652">
        <f t="shared" si="95"/>
        <v>0</v>
      </c>
      <c r="AB652">
        <f t="shared" si="93"/>
        <v>272.34442323868274</v>
      </c>
      <c r="AC652">
        <f t="shared" si="97"/>
        <v>0</v>
      </c>
    </row>
    <row r="653" spans="1:29" x14ac:dyDescent="0.3">
      <c r="A653">
        <f t="shared" si="94"/>
        <v>0</v>
      </c>
      <c r="B653" s="2">
        <f t="shared" si="92"/>
        <v>30.920399999558867</v>
      </c>
      <c r="C653" s="2">
        <f t="shared" si="98"/>
        <v>0</v>
      </c>
      <c r="D653" s="2">
        <f t="shared" si="96"/>
        <v>17.238276699999915</v>
      </c>
      <c r="E653" s="2"/>
      <c r="F653">
        <v>2922.8418066999998</v>
      </c>
      <c r="G653">
        <v>224.25</v>
      </c>
      <c r="H653">
        <v>312</v>
      </c>
      <c r="I653">
        <v>219.084</v>
      </c>
      <c r="J653">
        <v>324.31400000000002</v>
      </c>
      <c r="K653">
        <v>225.10056</v>
      </c>
      <c r="L653">
        <v>316.98324000000002</v>
      </c>
      <c r="M653">
        <v>351.09975343768099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165.488</v>
      </c>
      <c r="V653">
        <v>0.371</v>
      </c>
      <c r="W653">
        <v>-0.29399999999999998</v>
      </c>
      <c r="X653">
        <v>0</v>
      </c>
      <c r="Y653" t="b">
        <v>0</v>
      </c>
      <c r="Z653">
        <v>78</v>
      </c>
      <c r="AA653">
        <f t="shared" si="95"/>
        <v>0</v>
      </c>
      <c r="AB653">
        <f t="shared" si="93"/>
        <v>272.34442323868274</v>
      </c>
      <c r="AC653">
        <f t="shared" si="97"/>
        <v>0</v>
      </c>
    </row>
    <row r="654" spans="1:29" x14ac:dyDescent="0.3">
      <c r="A654">
        <f t="shared" si="94"/>
        <v>0</v>
      </c>
      <c r="B654" s="2">
        <f t="shared" si="92"/>
        <v>47.034100000018952</v>
      </c>
      <c r="C654" s="2">
        <f t="shared" si="98"/>
        <v>0</v>
      </c>
      <c r="D654" s="2">
        <f t="shared" si="96"/>
        <v>17.285310799999934</v>
      </c>
      <c r="E654" s="2"/>
      <c r="F654">
        <v>2922.8888407999998</v>
      </c>
      <c r="G654">
        <v>224.25</v>
      </c>
      <c r="H654">
        <v>312</v>
      </c>
      <c r="I654">
        <v>219.084</v>
      </c>
      <c r="J654">
        <v>324.31400000000002</v>
      </c>
      <c r="K654">
        <v>225.10056</v>
      </c>
      <c r="L654">
        <v>316.98324000000002</v>
      </c>
      <c r="M654">
        <v>351.09975343768099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165.48599999999999</v>
      </c>
      <c r="V654">
        <v>0.38800000000000001</v>
      </c>
      <c r="W654">
        <v>-0.28999999999999998</v>
      </c>
      <c r="X654">
        <v>0</v>
      </c>
      <c r="Y654" t="b">
        <v>0</v>
      </c>
      <c r="Z654">
        <v>78</v>
      </c>
      <c r="AA654">
        <f t="shared" si="95"/>
        <v>0</v>
      </c>
      <c r="AB654">
        <f t="shared" si="93"/>
        <v>272.34442323868274</v>
      </c>
      <c r="AC654">
        <f t="shared" si="97"/>
        <v>0</v>
      </c>
    </row>
    <row r="655" spans="1:29" x14ac:dyDescent="0.3">
      <c r="A655">
        <f t="shared" si="94"/>
        <v>0</v>
      </c>
      <c r="B655" s="2">
        <f t="shared" si="92"/>
        <v>15.939700000217272</v>
      </c>
      <c r="C655" s="2">
        <f t="shared" si="98"/>
        <v>0</v>
      </c>
      <c r="D655" s="2">
        <f t="shared" si="96"/>
        <v>17.301250500000151</v>
      </c>
      <c r="E655" s="2"/>
      <c r="F655">
        <v>2922.9047805</v>
      </c>
      <c r="G655">
        <v>224.25</v>
      </c>
      <c r="H655">
        <v>312</v>
      </c>
      <c r="I655">
        <v>219.084</v>
      </c>
      <c r="J655">
        <v>324.31400000000002</v>
      </c>
      <c r="K655">
        <v>225.10056</v>
      </c>
      <c r="L655">
        <v>316.98324000000002</v>
      </c>
      <c r="M655">
        <v>351.09975343768099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165.48599999999999</v>
      </c>
      <c r="V655">
        <v>0.38800000000000001</v>
      </c>
      <c r="W655">
        <v>-0.28999999999999998</v>
      </c>
      <c r="X655">
        <v>0</v>
      </c>
      <c r="Y655" t="b">
        <v>0</v>
      </c>
      <c r="Z655">
        <v>78</v>
      </c>
      <c r="AA655">
        <f t="shared" si="95"/>
        <v>0</v>
      </c>
      <c r="AB655">
        <f t="shared" si="93"/>
        <v>272.34442323868274</v>
      </c>
      <c r="AC655">
        <f t="shared" si="97"/>
        <v>0</v>
      </c>
    </row>
    <row r="656" spans="1:29" x14ac:dyDescent="0.3">
      <c r="A656">
        <f t="shared" si="94"/>
        <v>0</v>
      </c>
      <c r="B656" s="2">
        <f t="shared" si="92"/>
        <v>31.705599999895639</v>
      </c>
      <c r="C656" s="2">
        <f t="shared" si="98"/>
        <v>0</v>
      </c>
      <c r="D656" s="2">
        <f t="shared" si="96"/>
        <v>17.332956100000047</v>
      </c>
      <c r="E656" s="2"/>
      <c r="F656">
        <v>2922.9364860999999</v>
      </c>
      <c r="G656">
        <v>224.25</v>
      </c>
      <c r="H656">
        <v>312</v>
      </c>
      <c r="I656">
        <v>219.084</v>
      </c>
      <c r="J656">
        <v>324.31400000000002</v>
      </c>
      <c r="K656">
        <v>225.10056</v>
      </c>
      <c r="L656">
        <v>316.98324000000002</v>
      </c>
      <c r="M656">
        <v>351.09975343768099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165.48599999999999</v>
      </c>
      <c r="V656">
        <v>0.40500000000000003</v>
      </c>
      <c r="W656">
        <v>-0.28299999999999997</v>
      </c>
      <c r="X656">
        <v>0</v>
      </c>
      <c r="Y656" t="b">
        <v>0</v>
      </c>
      <c r="Z656">
        <v>78</v>
      </c>
      <c r="AA656">
        <f t="shared" si="95"/>
        <v>0</v>
      </c>
      <c r="AB656">
        <f t="shared" si="93"/>
        <v>272.34442323868274</v>
      </c>
      <c r="AC656">
        <f t="shared" si="97"/>
        <v>0</v>
      </c>
    </row>
    <row r="657" spans="1:29" x14ac:dyDescent="0.3">
      <c r="A657">
        <f t="shared" si="94"/>
        <v>0</v>
      </c>
      <c r="B657" s="2">
        <f t="shared" si="92"/>
        <v>31.282899999951042</v>
      </c>
      <c r="C657" s="2">
        <f t="shared" si="98"/>
        <v>0</v>
      </c>
      <c r="D657" s="2">
        <f t="shared" si="96"/>
        <v>17.364238999999998</v>
      </c>
      <c r="E657" s="2"/>
      <c r="F657">
        <v>2922.9677689999999</v>
      </c>
      <c r="G657">
        <v>224.25</v>
      </c>
      <c r="H657">
        <v>312</v>
      </c>
      <c r="I657">
        <v>219.084</v>
      </c>
      <c r="J657">
        <v>324.31400000000002</v>
      </c>
      <c r="K657">
        <v>225.10056</v>
      </c>
      <c r="L657">
        <v>316.98324000000002</v>
      </c>
      <c r="M657">
        <v>351.09975343768099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165.48599999999999</v>
      </c>
      <c r="V657">
        <v>0.40500000000000003</v>
      </c>
      <c r="W657">
        <v>-0.28299999999999997</v>
      </c>
      <c r="X657">
        <v>0</v>
      </c>
      <c r="Y657" t="b">
        <v>0</v>
      </c>
      <c r="Z657">
        <v>78</v>
      </c>
      <c r="AA657">
        <f t="shared" si="95"/>
        <v>0</v>
      </c>
      <c r="AB657">
        <f t="shared" si="93"/>
        <v>272.34442323868274</v>
      </c>
      <c r="AC657">
        <f t="shared" si="97"/>
        <v>0</v>
      </c>
    </row>
    <row r="658" spans="1:29" x14ac:dyDescent="0.3">
      <c r="A658">
        <f t="shared" si="94"/>
        <v>0</v>
      </c>
      <c r="B658" s="2">
        <f t="shared" si="92"/>
        <v>31.230600000071718</v>
      </c>
      <c r="C658" s="2">
        <f t="shared" si="98"/>
        <v>0</v>
      </c>
      <c r="D658" s="2">
        <f t="shared" si="96"/>
        <v>17.395469600000069</v>
      </c>
      <c r="E658" s="2"/>
      <c r="F658">
        <v>2922.9989995999999</v>
      </c>
      <c r="G658">
        <v>224.25</v>
      </c>
      <c r="H658">
        <v>312</v>
      </c>
      <c r="I658">
        <v>219.084</v>
      </c>
      <c r="J658">
        <v>324.31400000000002</v>
      </c>
      <c r="K658">
        <v>225.10056</v>
      </c>
      <c r="L658">
        <v>316.98324000000002</v>
      </c>
      <c r="M658">
        <v>351.09975343768099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165.48500000000001</v>
      </c>
      <c r="V658">
        <v>0.42299999999999999</v>
      </c>
      <c r="W658">
        <v>-0.27900000000000003</v>
      </c>
      <c r="X658">
        <v>0</v>
      </c>
      <c r="Y658" t="b">
        <v>0</v>
      </c>
      <c r="Z658">
        <v>78</v>
      </c>
      <c r="AA658">
        <f t="shared" si="95"/>
        <v>0</v>
      </c>
      <c r="AB658">
        <f t="shared" si="93"/>
        <v>272.34442323868274</v>
      </c>
      <c r="AC658">
        <f t="shared" si="97"/>
        <v>0</v>
      </c>
    </row>
    <row r="659" spans="1:29" x14ac:dyDescent="0.3">
      <c r="A659">
        <f t="shared" si="94"/>
        <v>0</v>
      </c>
      <c r="B659" s="2">
        <f t="shared" si="92"/>
        <v>31.408299999839073</v>
      </c>
      <c r="C659" s="2">
        <f t="shared" si="98"/>
        <v>0</v>
      </c>
      <c r="D659" s="2">
        <f t="shared" si="96"/>
        <v>17.426877899999909</v>
      </c>
      <c r="E659" s="2"/>
      <c r="F659">
        <v>2923.0304078999998</v>
      </c>
      <c r="G659">
        <v>224.25</v>
      </c>
      <c r="H659">
        <v>312</v>
      </c>
      <c r="I659">
        <v>219.084</v>
      </c>
      <c r="J659">
        <v>324.31400000000002</v>
      </c>
      <c r="K659">
        <v>225.10056</v>
      </c>
      <c r="L659">
        <v>316.98324000000002</v>
      </c>
      <c r="M659">
        <v>351.09975343768099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165.48500000000001</v>
      </c>
      <c r="V659">
        <v>0.42299999999999999</v>
      </c>
      <c r="W659">
        <v>-0.27900000000000003</v>
      </c>
      <c r="X659">
        <v>0</v>
      </c>
      <c r="Y659" t="b">
        <v>0</v>
      </c>
      <c r="Z659">
        <v>78</v>
      </c>
      <c r="AA659">
        <f t="shared" si="95"/>
        <v>0</v>
      </c>
      <c r="AB659">
        <f t="shared" si="93"/>
        <v>272.34442323868274</v>
      </c>
      <c r="AC659">
        <f t="shared" si="97"/>
        <v>0</v>
      </c>
    </row>
    <row r="660" spans="1:29" x14ac:dyDescent="0.3">
      <c r="A660">
        <f t="shared" si="94"/>
        <v>0</v>
      </c>
      <c r="B660" s="2">
        <f t="shared" si="92"/>
        <v>30.762400000185153</v>
      </c>
      <c r="C660" s="2">
        <f t="shared" si="98"/>
        <v>0</v>
      </c>
      <c r="D660" s="2">
        <f t="shared" si="96"/>
        <v>17.457640300000094</v>
      </c>
      <c r="E660" s="2"/>
      <c r="F660">
        <v>2923.0611703</v>
      </c>
      <c r="G660">
        <v>224.25</v>
      </c>
      <c r="H660">
        <v>312</v>
      </c>
      <c r="I660">
        <v>219.084</v>
      </c>
      <c r="J660">
        <v>324.31400000000002</v>
      </c>
      <c r="K660">
        <v>225.10056</v>
      </c>
      <c r="L660">
        <v>316.98324000000002</v>
      </c>
      <c r="M660">
        <v>351.09975343768099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165.482</v>
      </c>
      <c r="V660">
        <v>0.441</v>
      </c>
      <c r="W660">
        <v>-0.28100000000000003</v>
      </c>
      <c r="X660">
        <v>0</v>
      </c>
      <c r="Y660" t="b">
        <v>0</v>
      </c>
      <c r="Z660">
        <v>78</v>
      </c>
      <c r="AA660">
        <f t="shared" si="95"/>
        <v>0</v>
      </c>
      <c r="AB660">
        <f t="shared" si="93"/>
        <v>272.34442323868274</v>
      </c>
      <c r="AC660">
        <f t="shared" si="97"/>
        <v>0</v>
      </c>
    </row>
    <row r="661" spans="1:29" x14ac:dyDescent="0.3">
      <c r="A661">
        <f t="shared" si="94"/>
        <v>0</v>
      </c>
      <c r="B661" s="2">
        <f t="shared" si="92"/>
        <v>46.08250000001135</v>
      </c>
      <c r="C661" s="2">
        <f t="shared" si="98"/>
        <v>0</v>
      </c>
      <c r="D661" s="2">
        <f t="shared" si="96"/>
        <v>17.503722800000105</v>
      </c>
      <c r="E661" s="2"/>
      <c r="F661">
        <v>2923.1072528</v>
      </c>
      <c r="G661">
        <v>224.25</v>
      </c>
      <c r="H661">
        <v>312</v>
      </c>
      <c r="I661">
        <v>219.084</v>
      </c>
      <c r="J661">
        <v>324.31400000000002</v>
      </c>
      <c r="K661">
        <v>225.10056</v>
      </c>
      <c r="L661">
        <v>316.98324000000002</v>
      </c>
      <c r="M661">
        <v>351.09975343768099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165.482</v>
      </c>
      <c r="V661">
        <v>0.441</v>
      </c>
      <c r="W661">
        <v>-0.28100000000000003</v>
      </c>
      <c r="X661">
        <v>0</v>
      </c>
      <c r="Y661" t="b">
        <v>0</v>
      </c>
      <c r="Z661">
        <v>78</v>
      </c>
      <c r="AA661">
        <f t="shared" si="95"/>
        <v>0</v>
      </c>
      <c r="AB661">
        <f t="shared" si="93"/>
        <v>272.34442323868274</v>
      </c>
      <c r="AC661">
        <f t="shared" si="97"/>
        <v>0</v>
      </c>
    </row>
    <row r="662" spans="1:29" x14ac:dyDescent="0.3">
      <c r="A662">
        <f t="shared" si="94"/>
        <v>0</v>
      </c>
      <c r="B662" s="2">
        <f t="shared" ref="B662:B681" si="99">(F662-F661)*1000</f>
        <v>31.016599999929895</v>
      </c>
      <c r="C662" s="2">
        <f t="shared" si="98"/>
        <v>0</v>
      </c>
      <c r="D662" s="2">
        <f t="shared" si="96"/>
        <v>17.534739400000035</v>
      </c>
      <c r="E662" s="2"/>
      <c r="F662">
        <v>2923.1382693999999</v>
      </c>
      <c r="G662">
        <v>224.25</v>
      </c>
      <c r="H662">
        <v>312</v>
      </c>
      <c r="I662">
        <v>219.084</v>
      </c>
      <c r="J662">
        <v>324.31400000000002</v>
      </c>
      <c r="K662">
        <v>225.10056</v>
      </c>
      <c r="L662">
        <v>316.98324000000002</v>
      </c>
      <c r="M662">
        <v>351.09975343768099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165.47900000000001</v>
      </c>
      <c r="V662">
        <v>0.45800000000000002</v>
      </c>
      <c r="W662">
        <v>-0.28199999999999997</v>
      </c>
      <c r="X662">
        <v>0</v>
      </c>
      <c r="Y662" t="b">
        <v>0</v>
      </c>
      <c r="Z662">
        <v>78</v>
      </c>
      <c r="AA662">
        <f t="shared" si="95"/>
        <v>0</v>
      </c>
      <c r="AB662">
        <f t="shared" si="93"/>
        <v>272.34442323868274</v>
      </c>
      <c r="AC662">
        <f t="shared" si="97"/>
        <v>0</v>
      </c>
    </row>
    <row r="663" spans="1:29" x14ac:dyDescent="0.3">
      <c r="A663">
        <f t="shared" si="94"/>
        <v>0</v>
      </c>
      <c r="B663" s="2">
        <f t="shared" si="99"/>
        <v>31.31340000027194</v>
      </c>
      <c r="C663" s="2">
        <f t="shared" si="98"/>
        <v>0</v>
      </c>
      <c r="D663" s="2">
        <f t="shared" si="96"/>
        <v>17.566052800000307</v>
      </c>
      <c r="E663" s="2"/>
      <c r="F663">
        <v>2923.1695828000002</v>
      </c>
      <c r="G663">
        <v>224.25</v>
      </c>
      <c r="H663">
        <v>312</v>
      </c>
      <c r="I663">
        <v>219.084</v>
      </c>
      <c r="J663">
        <v>324.31400000000002</v>
      </c>
      <c r="K663">
        <v>225.10056</v>
      </c>
      <c r="L663">
        <v>316.98324000000002</v>
      </c>
      <c r="M663">
        <v>351.09975343768099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165.47900000000001</v>
      </c>
      <c r="V663">
        <v>0.45800000000000002</v>
      </c>
      <c r="W663">
        <v>-0.28199999999999997</v>
      </c>
      <c r="X663">
        <v>0</v>
      </c>
      <c r="Y663" t="b">
        <v>0</v>
      </c>
      <c r="Z663">
        <v>78</v>
      </c>
      <c r="AA663">
        <f t="shared" si="95"/>
        <v>0</v>
      </c>
      <c r="AB663">
        <f t="shared" si="93"/>
        <v>272.34442323868274</v>
      </c>
      <c r="AC663">
        <f t="shared" si="97"/>
        <v>0</v>
      </c>
    </row>
    <row r="664" spans="1:29" x14ac:dyDescent="0.3">
      <c r="A664">
        <f t="shared" si="94"/>
        <v>0</v>
      </c>
      <c r="B664" s="2">
        <f t="shared" si="99"/>
        <v>30.99789999987479</v>
      </c>
      <c r="C664" s="2">
        <f t="shared" si="98"/>
        <v>0</v>
      </c>
      <c r="D664" s="2">
        <f t="shared" si="96"/>
        <v>17.597050700000182</v>
      </c>
      <c r="E664" s="2"/>
      <c r="F664">
        <v>2923.2005807</v>
      </c>
      <c r="G664">
        <v>224.25</v>
      </c>
      <c r="H664">
        <v>312</v>
      </c>
      <c r="I664">
        <v>219.084</v>
      </c>
      <c r="J664">
        <v>324.31400000000002</v>
      </c>
      <c r="K664">
        <v>225.10056</v>
      </c>
      <c r="L664">
        <v>316.98324000000002</v>
      </c>
      <c r="M664">
        <v>351.09975343768099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165.476</v>
      </c>
      <c r="V664">
        <v>0.47499999999999998</v>
      </c>
      <c r="W664">
        <v>-0.27900000000000003</v>
      </c>
      <c r="X664">
        <v>0</v>
      </c>
      <c r="Y664" t="b">
        <v>0</v>
      </c>
      <c r="Z664">
        <v>78</v>
      </c>
      <c r="AA664">
        <f t="shared" si="95"/>
        <v>0</v>
      </c>
      <c r="AB664">
        <f t="shared" si="93"/>
        <v>272.34442323868274</v>
      </c>
      <c r="AC664">
        <f t="shared" si="97"/>
        <v>0</v>
      </c>
    </row>
    <row r="665" spans="1:29" x14ac:dyDescent="0.3">
      <c r="A665">
        <f t="shared" si="94"/>
        <v>0</v>
      </c>
      <c r="B665" s="2">
        <f t="shared" si="99"/>
        <v>31.570300000112184</v>
      </c>
      <c r="C665" s="2">
        <f t="shared" si="98"/>
        <v>0</v>
      </c>
      <c r="D665" s="2">
        <f t="shared" si="96"/>
        <v>17.628621000000294</v>
      </c>
      <c r="E665" s="2"/>
      <c r="F665">
        <v>2923.2321510000002</v>
      </c>
      <c r="G665">
        <v>224.25</v>
      </c>
      <c r="H665">
        <v>312</v>
      </c>
      <c r="I665">
        <v>219.084</v>
      </c>
      <c r="J665">
        <v>324.31400000000002</v>
      </c>
      <c r="K665">
        <v>225.10056</v>
      </c>
      <c r="L665">
        <v>316.98324000000002</v>
      </c>
      <c r="M665">
        <v>351.09975343768099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165.47200000000001</v>
      </c>
      <c r="V665">
        <v>0.48799999999999999</v>
      </c>
      <c r="W665">
        <v>-0.27400000000000002</v>
      </c>
      <c r="X665">
        <v>0</v>
      </c>
      <c r="Y665" t="b">
        <v>0</v>
      </c>
      <c r="Z665">
        <v>78</v>
      </c>
      <c r="AA665">
        <f t="shared" si="95"/>
        <v>0</v>
      </c>
      <c r="AB665">
        <f t="shared" si="93"/>
        <v>272.34442323868274</v>
      </c>
      <c r="AC665">
        <f t="shared" si="97"/>
        <v>0</v>
      </c>
    </row>
    <row r="666" spans="1:29" x14ac:dyDescent="0.3">
      <c r="A666">
        <f t="shared" si="94"/>
        <v>0</v>
      </c>
      <c r="B666" s="2">
        <f t="shared" si="99"/>
        <v>47.032099999796628</v>
      </c>
      <c r="C666" s="2">
        <f t="shared" si="98"/>
        <v>0</v>
      </c>
      <c r="D666" s="2">
        <f t="shared" si="96"/>
        <v>17.67565310000009</v>
      </c>
      <c r="E666" s="2"/>
      <c r="F666">
        <v>2923.2791831</v>
      </c>
      <c r="G666">
        <v>224.25</v>
      </c>
      <c r="H666">
        <v>312</v>
      </c>
      <c r="I666">
        <v>219.084</v>
      </c>
      <c r="J666">
        <v>324.31400000000002</v>
      </c>
      <c r="K666">
        <v>225.10056</v>
      </c>
      <c r="L666">
        <v>316.98324000000002</v>
      </c>
      <c r="M666">
        <v>351.09975343768099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165.47200000000001</v>
      </c>
      <c r="V666">
        <v>0.48799999999999999</v>
      </c>
      <c r="W666">
        <v>-0.27400000000000002</v>
      </c>
      <c r="X666">
        <v>0</v>
      </c>
      <c r="Y666" t="b">
        <v>0</v>
      </c>
      <c r="Z666">
        <v>78</v>
      </c>
      <c r="AA666">
        <f t="shared" si="95"/>
        <v>0</v>
      </c>
      <c r="AB666">
        <f t="shared" si="93"/>
        <v>272.34442323868274</v>
      </c>
      <c r="AC666">
        <f t="shared" si="97"/>
        <v>0</v>
      </c>
    </row>
    <row r="667" spans="1:29" x14ac:dyDescent="0.3">
      <c r="A667">
        <f t="shared" si="94"/>
        <v>0</v>
      </c>
      <c r="B667" s="2">
        <f t="shared" si="99"/>
        <v>14.709900000070775</v>
      </c>
      <c r="C667" s="2">
        <f t="shared" si="98"/>
        <v>0</v>
      </c>
      <c r="D667" s="2">
        <f t="shared" si="96"/>
        <v>17.690363000000161</v>
      </c>
      <c r="E667" s="2"/>
      <c r="F667">
        <v>2923.293893</v>
      </c>
      <c r="G667">
        <v>224.25</v>
      </c>
      <c r="H667">
        <v>312</v>
      </c>
      <c r="I667">
        <v>219.084</v>
      </c>
      <c r="J667">
        <v>324.31400000000002</v>
      </c>
      <c r="K667">
        <v>225.10056</v>
      </c>
      <c r="L667">
        <v>316.98324000000002</v>
      </c>
      <c r="M667">
        <v>351.09975343768099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165.47200000000001</v>
      </c>
      <c r="V667">
        <v>0.48799999999999999</v>
      </c>
      <c r="W667">
        <v>-0.27400000000000002</v>
      </c>
      <c r="X667">
        <v>0</v>
      </c>
      <c r="Y667" t="b">
        <v>0</v>
      </c>
      <c r="Z667">
        <v>78</v>
      </c>
      <c r="AA667">
        <f t="shared" si="95"/>
        <v>0</v>
      </c>
      <c r="AB667">
        <f t="shared" si="93"/>
        <v>272.34442323868274</v>
      </c>
      <c r="AC667">
        <f t="shared" si="97"/>
        <v>0</v>
      </c>
    </row>
    <row r="668" spans="1:29" x14ac:dyDescent="0.3">
      <c r="A668">
        <f t="shared" si="94"/>
        <v>0</v>
      </c>
      <c r="B668" s="2">
        <f t="shared" si="99"/>
        <v>45.737200000075973</v>
      </c>
      <c r="C668" s="2">
        <f t="shared" si="98"/>
        <v>0</v>
      </c>
      <c r="D668" s="2">
        <f t="shared" si="96"/>
        <v>17.736100200000237</v>
      </c>
      <c r="E668" s="2"/>
      <c r="F668">
        <v>2923.3396302000001</v>
      </c>
      <c r="G668">
        <v>224.25</v>
      </c>
      <c r="H668">
        <v>312</v>
      </c>
      <c r="I668">
        <v>219.084</v>
      </c>
      <c r="J668">
        <v>324.31400000000002</v>
      </c>
      <c r="K668">
        <v>225.10056</v>
      </c>
      <c r="L668">
        <v>316.98324000000002</v>
      </c>
      <c r="M668">
        <v>351.09975343768099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165.471</v>
      </c>
      <c r="V668">
        <v>0.49299999999999999</v>
      </c>
      <c r="W668">
        <v>-0.26700000000000002</v>
      </c>
      <c r="X668">
        <v>0</v>
      </c>
      <c r="Y668" t="b">
        <v>0</v>
      </c>
      <c r="Z668">
        <v>78</v>
      </c>
      <c r="AA668">
        <f t="shared" si="95"/>
        <v>0</v>
      </c>
      <c r="AB668">
        <f t="shared" si="93"/>
        <v>272.34442323868274</v>
      </c>
      <c r="AC668">
        <f t="shared" si="97"/>
        <v>0</v>
      </c>
    </row>
    <row r="669" spans="1:29" x14ac:dyDescent="0.3">
      <c r="A669">
        <f t="shared" si="94"/>
        <v>0</v>
      </c>
      <c r="B669" s="2">
        <f t="shared" si="99"/>
        <v>31.395399999837537</v>
      </c>
      <c r="C669" s="2">
        <f t="shared" si="98"/>
        <v>0</v>
      </c>
      <c r="D669" s="2">
        <f t="shared" si="96"/>
        <v>17.767495600000075</v>
      </c>
      <c r="E669" s="2"/>
      <c r="F669">
        <v>2923.3710255999999</v>
      </c>
      <c r="G669">
        <v>224.25</v>
      </c>
      <c r="H669">
        <v>312</v>
      </c>
      <c r="I669">
        <v>219.084</v>
      </c>
      <c r="J669">
        <v>324.31400000000002</v>
      </c>
      <c r="K669">
        <v>225.10056</v>
      </c>
      <c r="L669">
        <v>316.98324000000002</v>
      </c>
      <c r="M669">
        <v>351.09975343768099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165.471</v>
      </c>
      <c r="V669">
        <v>0.49299999999999999</v>
      </c>
      <c r="W669">
        <v>-0.26700000000000002</v>
      </c>
      <c r="X669">
        <v>0</v>
      </c>
      <c r="Y669" t="b">
        <v>0</v>
      </c>
      <c r="Z669">
        <v>78</v>
      </c>
      <c r="AA669">
        <f t="shared" si="95"/>
        <v>0</v>
      </c>
      <c r="AB669">
        <f t="shared" si="93"/>
        <v>272.34442323868274</v>
      </c>
      <c r="AC669">
        <f t="shared" si="97"/>
        <v>0</v>
      </c>
    </row>
    <row r="670" spans="1:29" x14ac:dyDescent="0.3">
      <c r="A670">
        <f t="shared" si="94"/>
        <v>0</v>
      </c>
      <c r="B670" s="2">
        <f t="shared" si="99"/>
        <v>30.240800000228774</v>
      </c>
      <c r="C670" s="2">
        <f t="shared" si="98"/>
        <v>0</v>
      </c>
      <c r="D670" s="2">
        <f t="shared" si="96"/>
        <v>17.797736400000304</v>
      </c>
      <c r="E670" s="2"/>
      <c r="F670">
        <v>2923.4012664000002</v>
      </c>
      <c r="G670">
        <v>224.25</v>
      </c>
      <c r="H670">
        <v>312</v>
      </c>
      <c r="I670">
        <v>219.084</v>
      </c>
      <c r="J670">
        <v>324.31400000000002</v>
      </c>
      <c r="K670">
        <v>225.10056</v>
      </c>
      <c r="L670">
        <v>316.98324000000002</v>
      </c>
      <c r="M670">
        <v>351.09975343768099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165.46899999999999</v>
      </c>
      <c r="V670">
        <v>0.50800000000000001</v>
      </c>
      <c r="W670">
        <v>-0.25800000000000001</v>
      </c>
      <c r="X670">
        <v>0</v>
      </c>
      <c r="Y670" t="b">
        <v>0</v>
      </c>
      <c r="Z670">
        <v>78</v>
      </c>
      <c r="AA670">
        <f t="shared" si="95"/>
        <v>0</v>
      </c>
      <c r="AB670">
        <f t="shared" si="93"/>
        <v>272.34442323868274</v>
      </c>
      <c r="AC670">
        <f t="shared" si="97"/>
        <v>0</v>
      </c>
    </row>
    <row r="671" spans="1:29" x14ac:dyDescent="0.3">
      <c r="A671">
        <f t="shared" si="94"/>
        <v>0</v>
      </c>
      <c r="B671" s="2">
        <f t="shared" si="99"/>
        <v>31.327299999702518</v>
      </c>
      <c r="C671" s="2">
        <f t="shared" si="98"/>
        <v>0</v>
      </c>
      <c r="D671" s="2">
        <f t="shared" si="96"/>
        <v>17.829063700000006</v>
      </c>
      <c r="E671" s="2"/>
      <c r="F671">
        <v>2923.4325936999999</v>
      </c>
      <c r="G671">
        <v>224.25</v>
      </c>
      <c r="H671">
        <v>312</v>
      </c>
      <c r="I671">
        <v>219.084</v>
      </c>
      <c r="J671">
        <v>324.31400000000002</v>
      </c>
      <c r="K671">
        <v>225.10056</v>
      </c>
      <c r="L671">
        <v>316.98324000000002</v>
      </c>
      <c r="M671">
        <v>351.09975343768099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165.46899999999999</v>
      </c>
      <c r="V671">
        <v>0.50800000000000001</v>
      </c>
      <c r="W671">
        <v>-0.25800000000000001</v>
      </c>
      <c r="X671">
        <v>0</v>
      </c>
      <c r="Y671" t="b">
        <v>0</v>
      </c>
      <c r="Z671">
        <v>78</v>
      </c>
      <c r="AA671">
        <f t="shared" si="95"/>
        <v>0</v>
      </c>
      <c r="AB671">
        <f t="shared" si="93"/>
        <v>272.34442323868274</v>
      </c>
      <c r="AC671">
        <f t="shared" si="97"/>
        <v>0</v>
      </c>
    </row>
    <row r="672" spans="1:29" x14ac:dyDescent="0.3">
      <c r="A672">
        <f t="shared" si="94"/>
        <v>0</v>
      </c>
      <c r="B672" s="2">
        <f t="shared" si="99"/>
        <v>31.177700000171171</v>
      </c>
      <c r="C672" s="2">
        <f t="shared" si="98"/>
        <v>0</v>
      </c>
      <c r="D672" s="2">
        <f t="shared" si="96"/>
        <v>17.860241400000177</v>
      </c>
      <c r="E672" s="2"/>
      <c r="F672">
        <v>2923.4637714</v>
      </c>
      <c r="G672">
        <v>224.25</v>
      </c>
      <c r="H672">
        <v>312</v>
      </c>
      <c r="I672">
        <v>219.084</v>
      </c>
      <c r="J672">
        <v>324.31400000000002</v>
      </c>
      <c r="K672">
        <v>225.10056</v>
      </c>
      <c r="L672">
        <v>316.98324000000002</v>
      </c>
      <c r="M672">
        <v>351.09975343768099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165.46899999999999</v>
      </c>
      <c r="V672">
        <v>0.51400000000000001</v>
      </c>
      <c r="W672">
        <v>-0.251</v>
      </c>
      <c r="X672">
        <v>0</v>
      </c>
      <c r="Y672" t="b">
        <v>0</v>
      </c>
      <c r="Z672">
        <v>78</v>
      </c>
      <c r="AA672">
        <f t="shared" si="95"/>
        <v>0</v>
      </c>
      <c r="AB672">
        <f t="shared" si="93"/>
        <v>272.34442323868274</v>
      </c>
      <c r="AC672">
        <f t="shared" si="97"/>
        <v>0</v>
      </c>
    </row>
    <row r="673" spans="1:29" x14ac:dyDescent="0.3">
      <c r="A673">
        <f t="shared" si="94"/>
        <v>0</v>
      </c>
      <c r="B673" s="2">
        <f t="shared" si="99"/>
        <v>46.166799999809882</v>
      </c>
      <c r="C673" s="2">
        <f t="shared" si="98"/>
        <v>0</v>
      </c>
      <c r="D673" s="2">
        <f t="shared" si="96"/>
        <v>17.906408199999987</v>
      </c>
      <c r="E673" s="2"/>
      <c r="F673">
        <v>2923.5099381999999</v>
      </c>
      <c r="G673">
        <v>224.25</v>
      </c>
      <c r="H673">
        <v>312</v>
      </c>
      <c r="I673">
        <v>219.084</v>
      </c>
      <c r="J673">
        <v>324.31400000000002</v>
      </c>
      <c r="K673">
        <v>225.10056</v>
      </c>
      <c r="L673">
        <v>316.98324000000002</v>
      </c>
      <c r="M673">
        <v>351.09975343768099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165.46899999999999</v>
      </c>
      <c r="V673">
        <v>0.51400000000000001</v>
      </c>
      <c r="W673">
        <v>-0.251</v>
      </c>
      <c r="X673">
        <v>0</v>
      </c>
      <c r="Y673" t="b">
        <v>0</v>
      </c>
      <c r="Z673">
        <v>78</v>
      </c>
      <c r="AA673">
        <f t="shared" si="95"/>
        <v>0</v>
      </c>
      <c r="AB673">
        <f t="shared" si="93"/>
        <v>272.34442323868274</v>
      </c>
      <c r="AC673">
        <f t="shared" si="97"/>
        <v>0</v>
      </c>
    </row>
    <row r="674" spans="1:29" x14ac:dyDescent="0.3">
      <c r="A674">
        <f t="shared" si="94"/>
        <v>0</v>
      </c>
      <c r="B674" s="2">
        <f t="shared" si="99"/>
        <v>15.814700000191806</v>
      </c>
      <c r="C674" s="2">
        <f t="shared" si="98"/>
        <v>0</v>
      </c>
      <c r="D674" s="2">
        <f t="shared" si="96"/>
        <v>17.922222900000179</v>
      </c>
      <c r="E674" s="2"/>
      <c r="F674">
        <v>2923.5257529</v>
      </c>
      <c r="G674">
        <v>224.25</v>
      </c>
      <c r="H674">
        <v>312</v>
      </c>
      <c r="I674">
        <v>219.084</v>
      </c>
      <c r="J674">
        <v>324.31400000000002</v>
      </c>
      <c r="K674">
        <v>225.10056</v>
      </c>
      <c r="L674">
        <v>316.98324000000002</v>
      </c>
      <c r="M674">
        <v>351.09975343768099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165.46600000000001</v>
      </c>
      <c r="V674">
        <v>0.51300000000000001</v>
      </c>
      <c r="W674">
        <v>-0.24399999999999999</v>
      </c>
      <c r="X674">
        <v>0</v>
      </c>
      <c r="Y674" t="b">
        <v>0</v>
      </c>
      <c r="Z674">
        <v>78</v>
      </c>
      <c r="AA674">
        <f t="shared" si="95"/>
        <v>0</v>
      </c>
      <c r="AB674">
        <f t="shared" si="93"/>
        <v>272.34442323868274</v>
      </c>
      <c r="AC674">
        <f t="shared" si="97"/>
        <v>0</v>
      </c>
    </row>
    <row r="675" spans="1:29" x14ac:dyDescent="0.3">
      <c r="A675">
        <f t="shared" si="94"/>
        <v>0</v>
      </c>
      <c r="B675" s="2">
        <f t="shared" si="99"/>
        <v>30.497299999751704</v>
      </c>
      <c r="C675" s="2">
        <f t="shared" si="98"/>
        <v>0</v>
      </c>
      <c r="D675" s="2">
        <f t="shared" si="96"/>
        <v>17.952720199999931</v>
      </c>
      <c r="E675" s="2"/>
      <c r="F675">
        <v>2923.5562501999998</v>
      </c>
      <c r="G675">
        <v>224.25</v>
      </c>
      <c r="H675">
        <v>312</v>
      </c>
      <c r="I675">
        <v>219.084</v>
      </c>
      <c r="J675">
        <v>324.31400000000002</v>
      </c>
      <c r="K675">
        <v>225.10056</v>
      </c>
      <c r="L675">
        <v>316.98324000000002</v>
      </c>
      <c r="M675">
        <v>351.09975343768099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165.46600000000001</v>
      </c>
      <c r="V675">
        <v>0.51300000000000001</v>
      </c>
      <c r="W675">
        <v>-0.24399999999999999</v>
      </c>
      <c r="X675">
        <v>0</v>
      </c>
      <c r="Y675" t="b">
        <v>0</v>
      </c>
      <c r="Z675">
        <v>78</v>
      </c>
      <c r="AA675">
        <f t="shared" si="95"/>
        <v>0</v>
      </c>
      <c r="AB675">
        <f t="shared" si="93"/>
        <v>272.34442323868274</v>
      </c>
      <c r="AC675">
        <f t="shared" si="97"/>
        <v>0</v>
      </c>
    </row>
    <row r="676" spans="1:29" x14ac:dyDescent="0.3">
      <c r="A676">
        <f t="shared" si="94"/>
        <v>0</v>
      </c>
      <c r="B676" s="2">
        <f t="shared" si="99"/>
        <v>31.560300000364805</v>
      </c>
      <c r="C676" s="2">
        <f t="shared" si="98"/>
        <v>0</v>
      </c>
      <c r="D676" s="2">
        <f t="shared" si="96"/>
        <v>17.984280500000295</v>
      </c>
      <c r="E676" s="2"/>
      <c r="F676">
        <v>2923.5878105000002</v>
      </c>
      <c r="G676">
        <v>224.25</v>
      </c>
      <c r="H676">
        <v>312</v>
      </c>
      <c r="I676">
        <v>219.084</v>
      </c>
      <c r="J676">
        <v>324.31400000000002</v>
      </c>
      <c r="K676">
        <v>225.10056</v>
      </c>
      <c r="L676">
        <v>316.98324000000002</v>
      </c>
      <c r="M676">
        <v>351.09975343768099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165.46600000000001</v>
      </c>
      <c r="V676">
        <v>0.52200000000000002</v>
      </c>
      <c r="W676">
        <v>-0.23899999999999999</v>
      </c>
      <c r="X676">
        <v>0</v>
      </c>
      <c r="Y676" t="b">
        <v>0</v>
      </c>
      <c r="Z676">
        <v>78</v>
      </c>
      <c r="AA676">
        <f t="shared" si="95"/>
        <v>0</v>
      </c>
      <c r="AB676">
        <f t="shared" si="93"/>
        <v>272.34442323868274</v>
      </c>
      <c r="AC676">
        <f t="shared" si="97"/>
        <v>0</v>
      </c>
    </row>
    <row r="677" spans="1:29" x14ac:dyDescent="0.3">
      <c r="A677">
        <f t="shared" si="94"/>
        <v>0</v>
      </c>
      <c r="B677" s="2">
        <f t="shared" si="99"/>
        <v>29.453599999669677</v>
      </c>
      <c r="C677" s="2">
        <f t="shared" si="98"/>
        <v>0</v>
      </c>
      <c r="D677" s="2">
        <f t="shared" si="96"/>
        <v>18.013734099999965</v>
      </c>
      <c r="E677" s="2"/>
      <c r="F677">
        <v>2923.6172640999998</v>
      </c>
      <c r="G677">
        <v>224.25</v>
      </c>
      <c r="H677">
        <v>312</v>
      </c>
      <c r="I677">
        <v>219.084</v>
      </c>
      <c r="J677">
        <v>324.31400000000002</v>
      </c>
      <c r="K677">
        <v>225.10056</v>
      </c>
      <c r="L677">
        <v>316.98324000000002</v>
      </c>
      <c r="M677">
        <v>351.09975343768099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165.46600000000001</v>
      </c>
      <c r="V677">
        <v>0.52200000000000002</v>
      </c>
      <c r="W677">
        <v>-0.23899999999999999</v>
      </c>
      <c r="X677">
        <v>0</v>
      </c>
      <c r="Y677" t="b">
        <v>0</v>
      </c>
      <c r="Z677">
        <v>78</v>
      </c>
      <c r="AA677">
        <f t="shared" si="95"/>
        <v>0</v>
      </c>
      <c r="AB677">
        <f t="shared" si="93"/>
        <v>272.34442323868274</v>
      </c>
      <c r="AC677">
        <f t="shared" si="97"/>
        <v>0</v>
      </c>
    </row>
    <row r="678" spans="1:29" x14ac:dyDescent="0.3">
      <c r="A678">
        <f t="shared" si="94"/>
        <v>0</v>
      </c>
      <c r="B678" s="2">
        <f t="shared" si="99"/>
        <v>32.015900000260444</v>
      </c>
      <c r="C678" s="2">
        <f t="shared" si="98"/>
        <v>0</v>
      </c>
      <c r="D678" s="2">
        <f t="shared" si="96"/>
        <v>18.045750000000226</v>
      </c>
      <c r="E678" s="2"/>
      <c r="F678">
        <v>2923.6492800000001</v>
      </c>
      <c r="G678">
        <v>224.25</v>
      </c>
      <c r="H678">
        <v>312</v>
      </c>
      <c r="I678">
        <v>219.084</v>
      </c>
      <c r="J678">
        <v>324.31400000000002</v>
      </c>
      <c r="K678">
        <v>225.10056</v>
      </c>
      <c r="L678">
        <v>316.98324000000002</v>
      </c>
      <c r="M678">
        <v>351.09975343768099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165.464</v>
      </c>
      <c r="V678">
        <v>0.53200000000000003</v>
      </c>
      <c r="W678">
        <v>-0.23200000000000001</v>
      </c>
      <c r="X678">
        <v>0</v>
      </c>
      <c r="Y678" t="b">
        <v>0</v>
      </c>
      <c r="Z678">
        <v>78</v>
      </c>
      <c r="AA678">
        <f t="shared" si="95"/>
        <v>0</v>
      </c>
      <c r="AB678">
        <f t="shared" si="93"/>
        <v>272.34442323868274</v>
      </c>
      <c r="AC678">
        <f t="shared" si="97"/>
        <v>0</v>
      </c>
    </row>
    <row r="679" spans="1:29" x14ac:dyDescent="0.3">
      <c r="A679">
        <f t="shared" si="94"/>
        <v>0</v>
      </c>
      <c r="B679" s="2">
        <f t="shared" si="99"/>
        <v>31.266200000118261</v>
      </c>
      <c r="C679" s="2">
        <f t="shared" si="98"/>
        <v>0</v>
      </c>
      <c r="D679" s="2">
        <f t="shared" si="96"/>
        <v>18.077016200000344</v>
      </c>
      <c r="E679" s="2"/>
      <c r="F679">
        <v>2923.6805462000002</v>
      </c>
      <c r="G679">
        <v>224.25</v>
      </c>
      <c r="H679">
        <v>312</v>
      </c>
      <c r="I679">
        <v>219.084</v>
      </c>
      <c r="J679">
        <v>324.31400000000002</v>
      </c>
      <c r="K679">
        <v>225.10056</v>
      </c>
      <c r="L679">
        <v>316.98324000000002</v>
      </c>
      <c r="M679">
        <v>351.09975343768099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165.464</v>
      </c>
      <c r="V679">
        <v>0.53200000000000003</v>
      </c>
      <c r="W679">
        <v>-0.23200000000000001</v>
      </c>
      <c r="X679">
        <v>0</v>
      </c>
      <c r="Y679" t="b">
        <v>0</v>
      </c>
      <c r="Z679">
        <v>78</v>
      </c>
      <c r="AA679">
        <f t="shared" si="95"/>
        <v>0</v>
      </c>
      <c r="AB679">
        <f t="shared" si="93"/>
        <v>272.34442323868274</v>
      </c>
      <c r="AC679">
        <f t="shared" si="97"/>
        <v>0</v>
      </c>
    </row>
    <row r="680" spans="1:29" x14ac:dyDescent="0.3">
      <c r="A680">
        <f t="shared" si="94"/>
        <v>0</v>
      </c>
      <c r="B680" s="2">
        <f t="shared" si="99"/>
        <v>46.061799999733921</v>
      </c>
      <c r="C680" s="2">
        <f t="shared" si="98"/>
        <v>0</v>
      </c>
      <c r="D680" s="2">
        <f t="shared" si="96"/>
        <v>18.123078000000078</v>
      </c>
      <c r="E680" s="2"/>
      <c r="F680">
        <v>2923.7266079999999</v>
      </c>
      <c r="G680">
        <v>224.25</v>
      </c>
      <c r="H680">
        <v>312</v>
      </c>
      <c r="I680">
        <v>219.084</v>
      </c>
      <c r="J680">
        <v>324.31400000000002</v>
      </c>
      <c r="K680">
        <v>225.10056</v>
      </c>
      <c r="L680">
        <v>316.98324000000002</v>
      </c>
      <c r="M680">
        <v>351.09975343768099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165.46</v>
      </c>
      <c r="V680">
        <v>0.53900000000000003</v>
      </c>
      <c r="W680">
        <v>-0.22500000000000001</v>
      </c>
      <c r="X680">
        <v>0</v>
      </c>
      <c r="Y680" t="b">
        <v>0</v>
      </c>
      <c r="Z680">
        <v>78</v>
      </c>
      <c r="AA680">
        <f t="shared" si="95"/>
        <v>0</v>
      </c>
      <c r="AB680">
        <f t="shared" si="93"/>
        <v>272.34442323868274</v>
      </c>
      <c r="AC680">
        <f t="shared" si="97"/>
        <v>0</v>
      </c>
    </row>
    <row r="681" spans="1:29" x14ac:dyDescent="0.3">
      <c r="A681">
        <f t="shared" si="94"/>
        <v>0</v>
      </c>
      <c r="B681" s="2">
        <f t="shared" si="99"/>
        <v>30.678500000249187</v>
      </c>
      <c r="C681" s="2">
        <f t="shared" si="98"/>
        <v>0</v>
      </c>
      <c r="D681" s="2">
        <f t="shared" si="96"/>
        <v>18.153756500000327</v>
      </c>
      <c r="E681" s="2"/>
      <c r="F681">
        <v>2923.7572865000002</v>
      </c>
      <c r="G681">
        <v>224.25</v>
      </c>
      <c r="H681">
        <v>312</v>
      </c>
      <c r="I681">
        <v>219.084</v>
      </c>
      <c r="J681">
        <v>324.31400000000002</v>
      </c>
      <c r="K681">
        <v>225.10056</v>
      </c>
      <c r="L681">
        <v>316.98324000000002</v>
      </c>
      <c r="M681">
        <v>351.09975343768099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165.46</v>
      </c>
      <c r="V681">
        <v>0.53900000000000003</v>
      </c>
      <c r="W681">
        <v>-0.22500000000000001</v>
      </c>
      <c r="X681">
        <v>0</v>
      </c>
      <c r="Y681" t="b">
        <v>0</v>
      </c>
      <c r="Z681">
        <v>78</v>
      </c>
      <c r="AA681">
        <f t="shared" si="95"/>
        <v>0</v>
      </c>
      <c r="AB681">
        <f t="shared" si="93"/>
        <v>272.34442323868274</v>
      </c>
      <c r="AC681">
        <f t="shared" si="97"/>
        <v>0</v>
      </c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F9A0-335E-4A36-BD97-DBB80DF11360}">
  <dimension ref="A1:AO681"/>
  <sheetViews>
    <sheetView zoomScale="85" zoomScaleNormal="85" workbookViewId="0">
      <selection activeCell="D28" sqref="D28"/>
    </sheetView>
  </sheetViews>
  <sheetFormatPr defaultRowHeight="14.4" x14ac:dyDescent="0.3"/>
  <cols>
    <col min="1" max="1" width="10.21875" customWidth="1"/>
    <col min="6" max="6" width="11.44140625" customWidth="1"/>
    <col min="10" max="13" width="12.44140625" bestFit="1" customWidth="1"/>
    <col min="14" max="14" width="10.21875" bestFit="1" customWidth="1"/>
    <col min="15" max="15" width="12" bestFit="1" customWidth="1"/>
    <col min="16" max="16" width="6.5546875" bestFit="1" customWidth="1"/>
    <col min="17" max="17" width="7.5546875" bestFit="1" customWidth="1"/>
    <col min="25" max="25" width="11.33203125" bestFit="1" customWidth="1"/>
    <col min="32" max="32" width="4.33203125" style="1" customWidth="1"/>
    <col min="33" max="34" width="9.109375" bestFit="1" customWidth="1"/>
    <col min="35" max="35" width="11.44140625" bestFit="1" customWidth="1"/>
    <col min="36" max="38" width="10.44140625" bestFit="1" customWidth="1"/>
    <col min="39" max="39" width="14.33203125" bestFit="1" customWidth="1"/>
    <col min="40" max="40" width="12.88671875" bestFit="1" customWidth="1"/>
    <col min="41" max="41" width="13.6640625" customWidth="1"/>
    <col min="43" max="43" width="14.6640625" bestFit="1" customWidth="1"/>
    <col min="44" max="44" width="14.6640625" customWidth="1"/>
    <col min="45" max="45" width="9.44140625" bestFit="1" customWidth="1"/>
    <col min="48" max="48" width="13.21875" customWidth="1"/>
  </cols>
  <sheetData>
    <row r="1" spans="1:41" x14ac:dyDescent="0.3">
      <c r="M1" t="s">
        <v>0</v>
      </c>
      <c r="AH1" t="s">
        <v>57</v>
      </c>
      <c r="AL1" t="s">
        <v>1</v>
      </c>
      <c r="AM1" s="3">
        <v>60.755674865193235</v>
      </c>
    </row>
    <row r="2" spans="1:41" x14ac:dyDescent="0.3">
      <c r="AL2" t="s">
        <v>2</v>
      </c>
      <c r="AM2" s="2">
        <v>1.8570873799707024</v>
      </c>
    </row>
    <row r="3" spans="1:41" x14ac:dyDescent="0.3">
      <c r="J3" t="s">
        <v>60</v>
      </c>
      <c r="K3">
        <f>MAX($K$7:$K$1000)-MIN($K$7:$K$1000)</f>
        <v>80.356199999999987</v>
      </c>
      <c r="AK3" t="s">
        <v>11</v>
      </c>
      <c r="AL3" s="2" t="s">
        <v>56</v>
      </c>
      <c r="AM3" s="2">
        <v>1.2873124049718803</v>
      </c>
      <c r="AN3" s="2"/>
    </row>
    <row r="4" spans="1:41" x14ac:dyDescent="0.3">
      <c r="J4" t="s">
        <v>62</v>
      </c>
      <c r="K4">
        <f>MIN(K178:K257)</f>
        <v>192.51396</v>
      </c>
      <c r="Z4" t="s">
        <v>61</v>
      </c>
      <c r="AA4">
        <v>10</v>
      </c>
      <c r="AK4">
        <f>MIN(AK7:AK1002)</f>
        <v>26.639782857142801</v>
      </c>
      <c r="AL4" t="s">
        <v>3</v>
      </c>
      <c r="AM4" s="2">
        <f>SUM(AN7:AN89)</f>
        <v>114.60187799922082</v>
      </c>
      <c r="AN4" s="2"/>
    </row>
    <row r="5" spans="1:4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G5" s="1"/>
      <c r="AH5" s="1"/>
      <c r="AI5" s="1"/>
      <c r="AJ5" s="1"/>
      <c r="AK5" s="1"/>
      <c r="AL5" s="1"/>
      <c r="AM5" s="4"/>
      <c r="AN5" s="4"/>
    </row>
    <row r="6" spans="1:41" x14ac:dyDescent="0.3">
      <c r="A6" t="s">
        <v>53</v>
      </c>
      <c r="B6" t="s">
        <v>7</v>
      </c>
      <c r="C6" t="s">
        <v>13</v>
      </c>
      <c r="D6" t="s">
        <v>8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  <c r="R6" t="s">
        <v>28</v>
      </c>
      <c r="S6" t="s">
        <v>29</v>
      </c>
      <c r="T6" t="s">
        <v>30</v>
      </c>
      <c r="U6" t="s">
        <v>31</v>
      </c>
      <c r="V6" t="s">
        <v>32</v>
      </c>
      <c r="W6" t="s">
        <v>33</v>
      </c>
      <c r="X6" t="s">
        <v>34</v>
      </c>
      <c r="Y6" s="6" t="s">
        <v>35</v>
      </c>
      <c r="Z6" t="s">
        <v>36</v>
      </c>
      <c r="AA6" t="s">
        <v>59</v>
      </c>
      <c r="AB6" t="s">
        <v>54</v>
      </c>
      <c r="AC6" s="6" t="s">
        <v>47</v>
      </c>
      <c r="AD6" s="6" t="s">
        <v>58</v>
      </c>
      <c r="AE6" s="6">
        <v>10</v>
      </c>
      <c r="AG6" t="s">
        <v>7</v>
      </c>
      <c r="AH6" t="s">
        <v>8</v>
      </c>
      <c r="AI6" t="s">
        <v>4</v>
      </c>
      <c r="AJ6" t="s">
        <v>5</v>
      </c>
      <c r="AK6" t="s">
        <v>6</v>
      </c>
      <c r="AL6" t="s">
        <v>55</v>
      </c>
      <c r="AM6" t="s">
        <v>9</v>
      </c>
      <c r="AN6" t="s">
        <v>10</v>
      </c>
    </row>
    <row r="7" spans="1:41" x14ac:dyDescent="0.3">
      <c r="A7">
        <f>N7*100</f>
        <v>0</v>
      </c>
      <c r="B7" s="2" t="s">
        <v>12</v>
      </c>
      <c r="C7" s="2" t="s">
        <v>12</v>
      </c>
      <c r="D7" s="2">
        <f>F7-$F$7</f>
        <v>0</v>
      </c>
      <c r="E7" s="2"/>
      <c r="F7">
        <v>3221.6752975999998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>
        <v>0</v>
      </c>
      <c r="O7">
        <v>0</v>
      </c>
      <c r="P7">
        <v>0</v>
      </c>
      <c r="Q7">
        <v>0</v>
      </c>
      <c r="R7">
        <v>-4.2838348388671801E-2</v>
      </c>
      <c r="S7">
        <v>4.2385856628417901E-2</v>
      </c>
      <c r="T7">
        <v>0</v>
      </c>
      <c r="U7">
        <v>161.78</v>
      </c>
      <c r="V7">
        <f t="shared" ref="V7:V22" si="0">V8</f>
        <v>0.373</v>
      </c>
      <c r="W7">
        <v>-0.53</v>
      </c>
      <c r="X7">
        <v>0.70199999999999996</v>
      </c>
      <c r="Y7" t="b">
        <v>1</v>
      </c>
      <c r="Z7" t="s">
        <v>48</v>
      </c>
      <c r="AA7" t="e">
        <f>$K$4+($AA$4/$K$3*(K7-$K$4))</f>
        <v>#VALUE!</v>
      </c>
      <c r="AB7">
        <f t="shared" ref="AB7:AB70" si="1">R7*100</f>
        <v>-4.2838348388671799</v>
      </c>
      <c r="AC7">
        <f>L179+16.512734332711</f>
        <v>40.073734332710998</v>
      </c>
      <c r="AE7" t="e">
        <f ca="1">IF(ROW(AD7)-ROW($AD$7)+1&gt;=$AE$6, AVERAGE(OFFSET(AD7, 0, 0, $AE$6, 1)), NA())</f>
        <v>#N/A</v>
      </c>
      <c r="AG7" s="2" t="s">
        <v>12</v>
      </c>
      <c r="AH7" s="2">
        <f t="shared" ref="AH7:AH38" si="2">AI7-$AI$7</f>
        <v>0</v>
      </c>
      <c r="AI7">
        <v>2909.9982759</v>
      </c>
      <c r="AJ7">
        <v>183.81639428571401</v>
      </c>
      <c r="AK7">
        <v>32.619588571428501</v>
      </c>
      <c r="AL7" s="2">
        <f>AK7-$AK$4</f>
        <v>5.9798057142856997</v>
      </c>
      <c r="AM7" s="2">
        <f t="shared" ref="AM7:AM70" si="3">IF(AH7&lt;$AM$3,0,$AM$1*((AH7-$AM$3)-$AM$2+($AM$2*(EXP(-1*(AH7-$AM$3)/$AM$2)))))</f>
        <v>0</v>
      </c>
      <c r="AN7" s="2">
        <f>ABS(AM7-AL7)</f>
        <v>5.9798057142856997</v>
      </c>
      <c r="AO7" s="2"/>
    </row>
    <row r="8" spans="1:41" x14ac:dyDescent="0.3">
      <c r="A8">
        <f t="shared" ref="A8:A71" si="4">N8*100</f>
        <v>0</v>
      </c>
      <c r="B8" s="2">
        <f t="shared" ref="B8:B71" si="5">(F8-F7)*1000</f>
        <v>0</v>
      </c>
      <c r="C8" s="2" t="e">
        <f>L8-L7</f>
        <v>#VALUE!</v>
      </c>
      <c r="D8" s="2">
        <f t="shared" ref="D8:D71" si="6">F8-$F$7</f>
        <v>0</v>
      </c>
      <c r="E8" s="2"/>
      <c r="F8">
        <v>3221.6752975999998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>
        <v>0</v>
      </c>
      <c r="O8">
        <v>0</v>
      </c>
      <c r="P8">
        <v>0</v>
      </c>
      <c r="Q8">
        <v>0</v>
      </c>
      <c r="R8">
        <v>-4.2838348388671801E-2</v>
      </c>
      <c r="S8">
        <v>4.2385856628417901E-2</v>
      </c>
      <c r="T8">
        <v>0</v>
      </c>
      <c r="U8">
        <v>161.78</v>
      </c>
      <c r="V8">
        <f t="shared" si="0"/>
        <v>0.373</v>
      </c>
      <c r="W8">
        <v>-0.53</v>
      </c>
      <c r="X8">
        <v>0.70199999999999996</v>
      </c>
      <c r="Y8" t="b">
        <v>1</v>
      </c>
      <c r="Z8" t="s">
        <v>48</v>
      </c>
      <c r="AA8" t="e">
        <f t="shared" ref="AA8:AA71" si="7">$K$4+($AA$4/$K$3*(K8-$K$4))</f>
        <v>#VALUE!</v>
      </c>
      <c r="AB8">
        <f t="shared" si="1"/>
        <v>-4.2838348388671799</v>
      </c>
      <c r="AC8">
        <f t="shared" ref="AC8:AC71" si="8">AC7+(AB7*(D8-D7))</f>
        <v>40.073734332710998</v>
      </c>
      <c r="AD8" t="e">
        <f t="shared" ref="AD8:AD71" si="9">IF((L8-L7)/(D8-D7)&lt;100,IF((L8-L7)/(D8-D7)&gt;(-1*20),(L8-L7)/(D8-D7),AD7))</f>
        <v>#VALUE!</v>
      </c>
      <c r="AE8" t="e">
        <f t="shared" ref="AE8:AE71" ca="1" si="10">IF(ROW(AD8)-ROW($AD$7)+1&gt;=$AE$6, AVERAGE(OFFSET(AD8, 0, 0, $AE$6, 1)), NA())</f>
        <v>#N/A</v>
      </c>
      <c r="AG8" s="2">
        <f t="shared" ref="AG8:AG39" si="11">AI8-AI7</f>
        <v>4.6469800000068062E-2</v>
      </c>
      <c r="AH8" s="2">
        <f t="shared" si="2"/>
        <v>4.6469800000068062E-2</v>
      </c>
      <c r="AI8">
        <v>2910.0447457</v>
      </c>
      <c r="AJ8">
        <v>183.60989142857099</v>
      </c>
      <c r="AK8">
        <v>32.269582857142801</v>
      </c>
      <c r="AL8" s="2">
        <f t="shared" ref="AL8:AL71" si="12">AK8-$AK$4</f>
        <v>5.6297999999999995</v>
      </c>
      <c r="AM8" s="2">
        <f t="shared" si="3"/>
        <v>0</v>
      </c>
      <c r="AN8" s="2">
        <f t="shared" ref="AN8:AN71" si="13">ABS(AM8-AL8)</f>
        <v>5.6297999999999995</v>
      </c>
      <c r="AO8" s="2"/>
    </row>
    <row r="9" spans="1:41" x14ac:dyDescent="0.3">
      <c r="A9">
        <f t="shared" si="4"/>
        <v>0</v>
      </c>
      <c r="B9" s="2">
        <f t="shared" si="5"/>
        <v>5.2989000000707165</v>
      </c>
      <c r="C9" s="2" t="e">
        <f t="shared" ref="C9:C72" si="14">L9-L8</f>
        <v>#VALUE!</v>
      </c>
      <c r="D9" s="2">
        <f t="shared" si="6"/>
        <v>5.2989000000707165E-3</v>
      </c>
      <c r="E9" s="2"/>
      <c r="F9">
        <v>3221.6805964999999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>
        <v>0</v>
      </c>
      <c r="O9">
        <v>0</v>
      </c>
      <c r="P9">
        <v>0</v>
      </c>
      <c r="Q9">
        <v>0</v>
      </c>
      <c r="R9">
        <v>-4.2838348388671801E-2</v>
      </c>
      <c r="S9">
        <v>4.2385856628417901E-2</v>
      </c>
      <c r="T9">
        <v>0</v>
      </c>
      <c r="U9">
        <v>161.78</v>
      </c>
      <c r="V9">
        <f t="shared" si="0"/>
        <v>0.373</v>
      </c>
      <c r="W9">
        <v>-0.53</v>
      </c>
      <c r="X9">
        <v>0.70199999999999996</v>
      </c>
      <c r="Y9" t="b">
        <v>1</v>
      </c>
      <c r="Z9" t="s">
        <v>48</v>
      </c>
      <c r="AA9" t="e">
        <f t="shared" si="7"/>
        <v>#VALUE!</v>
      </c>
      <c r="AB9">
        <f t="shared" si="1"/>
        <v>-4.2838348388671799</v>
      </c>
      <c r="AC9">
        <f t="shared" si="8"/>
        <v>40.05103472028302</v>
      </c>
      <c r="AD9" t="e">
        <f t="shared" si="9"/>
        <v>#VALUE!</v>
      </c>
      <c r="AE9" t="e">
        <f t="shared" ca="1" si="10"/>
        <v>#N/A</v>
      </c>
      <c r="AG9" s="2">
        <f t="shared" si="11"/>
        <v>3.1382499999836E-2</v>
      </c>
      <c r="AH9" s="2">
        <f t="shared" si="2"/>
        <v>7.7852299999904062E-2</v>
      </c>
      <c r="AI9">
        <v>2910.0761281999999</v>
      </c>
      <c r="AJ9">
        <v>183.37733142857101</v>
      </c>
      <c r="AK9">
        <v>31.769542857142799</v>
      </c>
      <c r="AL9" s="2">
        <f t="shared" si="12"/>
        <v>5.1297599999999974</v>
      </c>
      <c r="AM9" s="2">
        <f t="shared" si="3"/>
        <v>0</v>
      </c>
      <c r="AN9" s="2">
        <f t="shared" si="13"/>
        <v>5.1297599999999974</v>
      </c>
      <c r="AO9" s="2"/>
    </row>
    <row r="10" spans="1:41" x14ac:dyDescent="0.3">
      <c r="A10">
        <f t="shared" si="4"/>
        <v>0</v>
      </c>
      <c r="B10" s="2">
        <f t="shared" si="5"/>
        <v>3.9059999999153661</v>
      </c>
      <c r="C10" s="2" t="e">
        <f t="shared" si="14"/>
        <v>#VALUE!</v>
      </c>
      <c r="D10" s="2">
        <f t="shared" si="6"/>
        <v>9.2048999999860825E-3</v>
      </c>
      <c r="E10" s="2"/>
      <c r="F10">
        <v>3221.6845024999998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>
        <v>0</v>
      </c>
      <c r="O10">
        <v>0</v>
      </c>
      <c r="P10">
        <v>0</v>
      </c>
      <c r="Q10">
        <v>0</v>
      </c>
      <c r="R10">
        <v>-4.2838348388671801E-2</v>
      </c>
      <c r="S10">
        <v>4.2385856628417901E-2</v>
      </c>
      <c r="T10">
        <v>0</v>
      </c>
      <c r="U10">
        <v>161.78</v>
      </c>
      <c r="V10">
        <f t="shared" si="0"/>
        <v>0.373</v>
      </c>
      <c r="W10">
        <v>-0.53</v>
      </c>
      <c r="X10">
        <v>0.70199999999999996</v>
      </c>
      <c r="Y10" t="b">
        <v>1</v>
      </c>
      <c r="Z10" t="s">
        <v>48</v>
      </c>
      <c r="AA10" t="e">
        <f t="shared" si="7"/>
        <v>#VALUE!</v>
      </c>
      <c r="AB10">
        <f t="shared" si="1"/>
        <v>-4.2838348388671799</v>
      </c>
      <c r="AC10">
        <f t="shared" si="8"/>
        <v>40.034302061402769</v>
      </c>
      <c r="AD10" t="e">
        <f t="shared" si="9"/>
        <v>#VALUE!</v>
      </c>
      <c r="AE10" t="e">
        <f t="shared" ca="1" si="10"/>
        <v>#N/A</v>
      </c>
      <c r="AG10" s="2">
        <f t="shared" si="11"/>
        <v>1.6379600000163919E-2</v>
      </c>
      <c r="AH10" s="2">
        <f t="shared" si="2"/>
        <v>9.4231900000067981E-2</v>
      </c>
      <c r="AI10">
        <v>2910.0925078</v>
      </c>
      <c r="AJ10">
        <v>183.13493142857101</v>
      </c>
      <c r="AK10">
        <v>31.248542857142802</v>
      </c>
      <c r="AL10" s="2">
        <f t="shared" si="12"/>
        <v>4.6087600000000002</v>
      </c>
      <c r="AM10" s="2">
        <f t="shared" si="3"/>
        <v>0</v>
      </c>
      <c r="AN10" s="2">
        <f t="shared" si="13"/>
        <v>4.6087600000000002</v>
      </c>
      <c r="AO10" s="2"/>
    </row>
    <row r="11" spans="1:41" x14ac:dyDescent="0.3">
      <c r="A11">
        <f t="shared" si="4"/>
        <v>0</v>
      </c>
      <c r="B11" s="2">
        <f t="shared" si="5"/>
        <v>17.963200000394863</v>
      </c>
      <c r="C11" s="2" t="e">
        <f t="shared" si="14"/>
        <v>#VALUE!</v>
      </c>
      <c r="D11" s="2">
        <f t="shared" si="6"/>
        <v>2.7168100000380946E-2</v>
      </c>
      <c r="E11" s="2"/>
      <c r="F11">
        <v>3221.7024657000002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>
        <v>0</v>
      </c>
      <c r="O11">
        <v>0</v>
      </c>
      <c r="P11">
        <v>0</v>
      </c>
      <c r="Q11">
        <v>0</v>
      </c>
      <c r="R11">
        <v>-7.4007926940917901E-2</v>
      </c>
      <c r="S11">
        <v>3.25384483337402E-2</v>
      </c>
      <c r="T11">
        <v>0</v>
      </c>
      <c r="U11">
        <v>161.714</v>
      </c>
      <c r="V11">
        <f t="shared" si="0"/>
        <v>0.373</v>
      </c>
      <c r="W11">
        <v>-0.64700000000000002</v>
      </c>
      <c r="X11">
        <v>0.70599999999999996</v>
      </c>
      <c r="Y11" t="b">
        <v>1</v>
      </c>
      <c r="Z11" t="s">
        <v>48</v>
      </c>
      <c r="AA11" t="e">
        <f t="shared" si="7"/>
        <v>#VALUE!</v>
      </c>
      <c r="AB11">
        <f t="shared" si="1"/>
        <v>-7.4007926940917903</v>
      </c>
      <c r="AC11">
        <f t="shared" si="8"/>
        <v>39.957350679423541</v>
      </c>
      <c r="AD11" t="e">
        <f t="shared" si="9"/>
        <v>#VALUE!</v>
      </c>
      <c r="AE11" t="e">
        <f t="shared" ca="1" si="10"/>
        <v>#N/A</v>
      </c>
      <c r="AG11" s="2">
        <f t="shared" si="11"/>
        <v>4.7269799999867246E-2</v>
      </c>
      <c r="AH11" s="2">
        <f t="shared" si="2"/>
        <v>0.14150169999993523</v>
      </c>
      <c r="AI11">
        <v>2910.1397775999999</v>
      </c>
      <c r="AJ11">
        <v>182.88269142857101</v>
      </c>
      <c r="AK11">
        <v>30.706582857142799</v>
      </c>
      <c r="AL11" s="2">
        <f t="shared" si="12"/>
        <v>4.0667999999999971</v>
      </c>
      <c r="AM11" s="2">
        <f t="shared" si="3"/>
        <v>0</v>
      </c>
      <c r="AN11" s="2">
        <f t="shared" si="13"/>
        <v>4.0667999999999971</v>
      </c>
      <c r="AO11" s="2"/>
    </row>
    <row r="12" spans="1:41" x14ac:dyDescent="0.3">
      <c r="A12">
        <f t="shared" si="4"/>
        <v>0</v>
      </c>
      <c r="B12" s="2">
        <f t="shared" si="5"/>
        <v>16.144899999744666</v>
      </c>
      <c r="C12" s="2" t="e">
        <f t="shared" si="14"/>
        <v>#VALUE!</v>
      </c>
      <c r="D12" s="2">
        <f t="shared" si="6"/>
        <v>4.3313000000125612E-2</v>
      </c>
      <c r="E12" s="2"/>
      <c r="F12">
        <v>3221.7186105999999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>
        <v>0</v>
      </c>
      <c r="O12">
        <v>0</v>
      </c>
      <c r="P12">
        <v>0</v>
      </c>
      <c r="Q12">
        <v>0</v>
      </c>
      <c r="R12">
        <v>-7.4007926940917901E-2</v>
      </c>
      <c r="S12">
        <v>3.25384483337402E-2</v>
      </c>
      <c r="T12">
        <v>0</v>
      </c>
      <c r="U12">
        <v>161.714</v>
      </c>
      <c r="V12">
        <f t="shared" si="0"/>
        <v>0.373</v>
      </c>
      <c r="W12">
        <v>-0.64700000000000002</v>
      </c>
      <c r="X12">
        <v>0.70599999999999996</v>
      </c>
      <c r="Y12" t="b">
        <v>1</v>
      </c>
      <c r="Z12" t="s">
        <v>48</v>
      </c>
      <c r="AA12" t="e">
        <f t="shared" si="7"/>
        <v>#VALUE!</v>
      </c>
      <c r="AB12">
        <f t="shared" si="1"/>
        <v>-7.4007926940917903</v>
      </c>
      <c r="AC12">
        <f t="shared" si="8"/>
        <v>39.83786562145859</v>
      </c>
      <c r="AD12" t="e">
        <f t="shared" si="9"/>
        <v>#VALUE!</v>
      </c>
      <c r="AE12" t="e">
        <f t="shared" ca="1" si="10"/>
        <v>#N/A</v>
      </c>
      <c r="AG12" s="2">
        <f t="shared" si="11"/>
        <v>3.1436199999916425E-2</v>
      </c>
      <c r="AH12" s="2">
        <f t="shared" si="2"/>
        <v>0.17293789999985165</v>
      </c>
      <c r="AI12">
        <v>2910.1712137999998</v>
      </c>
      <c r="AJ12">
        <v>182.633931428571</v>
      </c>
      <c r="AK12">
        <v>30.300262857142801</v>
      </c>
      <c r="AL12" s="2">
        <f t="shared" si="12"/>
        <v>3.6604799999999997</v>
      </c>
      <c r="AM12" s="2">
        <f t="shared" si="3"/>
        <v>0</v>
      </c>
      <c r="AN12" s="2">
        <f t="shared" si="13"/>
        <v>3.6604799999999997</v>
      </c>
      <c r="AO12" s="2"/>
    </row>
    <row r="13" spans="1:41" x14ac:dyDescent="0.3">
      <c r="A13">
        <f t="shared" si="4"/>
        <v>0</v>
      </c>
      <c r="B13" s="2">
        <f t="shared" si="5"/>
        <v>15.243899999859423</v>
      </c>
      <c r="C13" s="2" t="e">
        <f t="shared" si="14"/>
        <v>#VALUE!</v>
      </c>
      <c r="D13" s="2">
        <f t="shared" si="6"/>
        <v>5.8556899999985035E-2</v>
      </c>
      <c r="E13" s="2"/>
      <c r="F13">
        <v>3221.7338544999998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>
        <v>0</v>
      </c>
      <c r="O13">
        <v>0</v>
      </c>
      <c r="P13">
        <v>0</v>
      </c>
      <c r="Q13">
        <v>0</v>
      </c>
      <c r="R13">
        <v>-7.4007926940917901E-2</v>
      </c>
      <c r="S13">
        <v>3.25384483337402E-2</v>
      </c>
      <c r="T13">
        <v>0</v>
      </c>
      <c r="U13">
        <v>161.714</v>
      </c>
      <c r="V13">
        <f t="shared" si="0"/>
        <v>0.373</v>
      </c>
      <c r="W13">
        <v>-0.64700000000000002</v>
      </c>
      <c r="X13">
        <v>0.70599999999999996</v>
      </c>
      <c r="Y13" t="b">
        <v>1</v>
      </c>
      <c r="Z13" t="s">
        <v>48</v>
      </c>
      <c r="AA13" t="e">
        <f t="shared" si="7"/>
        <v>#VALUE!</v>
      </c>
      <c r="AB13">
        <f t="shared" si="1"/>
        <v>-7.4007926940917903</v>
      </c>
      <c r="AC13">
        <f t="shared" si="8"/>
        <v>39.725048677710163</v>
      </c>
      <c r="AD13" t="e">
        <f t="shared" si="9"/>
        <v>#VALUE!</v>
      </c>
      <c r="AE13" t="e">
        <f t="shared" ca="1" si="10"/>
        <v>#N/A</v>
      </c>
      <c r="AG13" s="2">
        <f t="shared" si="11"/>
        <v>1.5679000000091037E-2</v>
      </c>
      <c r="AH13" s="2">
        <f t="shared" si="2"/>
        <v>0.18861689999994269</v>
      </c>
      <c r="AI13">
        <v>2910.1868927999999</v>
      </c>
      <c r="AJ13">
        <v>182.365491428571</v>
      </c>
      <c r="AK13">
        <v>29.872982857142802</v>
      </c>
      <c r="AL13" s="2">
        <f t="shared" si="12"/>
        <v>3.2332000000000001</v>
      </c>
      <c r="AM13" s="2">
        <f t="shared" si="3"/>
        <v>0</v>
      </c>
      <c r="AN13" s="2">
        <f t="shared" si="13"/>
        <v>3.2332000000000001</v>
      </c>
      <c r="AO13" s="2"/>
    </row>
    <row r="14" spans="1:41" x14ac:dyDescent="0.3">
      <c r="A14">
        <f t="shared" si="4"/>
        <v>0</v>
      </c>
      <c r="B14" s="2">
        <f t="shared" si="5"/>
        <v>15.954300000430521</v>
      </c>
      <c r="C14" s="2" t="e">
        <f t="shared" si="14"/>
        <v>#VALUE!</v>
      </c>
      <c r="D14" s="2">
        <f t="shared" si="6"/>
        <v>7.4511200000415556E-2</v>
      </c>
      <c r="E14" s="2"/>
      <c r="F14">
        <v>3221.7498088000002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>
        <v>0</v>
      </c>
      <c r="O14">
        <v>0</v>
      </c>
      <c r="P14">
        <v>0</v>
      </c>
      <c r="Q14">
        <v>0</v>
      </c>
      <c r="R14">
        <v>-7.4007926940917901E-2</v>
      </c>
      <c r="S14">
        <v>3.25384483337402E-2</v>
      </c>
      <c r="T14">
        <v>0</v>
      </c>
      <c r="U14">
        <v>161.714</v>
      </c>
      <c r="V14">
        <f t="shared" si="0"/>
        <v>0.373</v>
      </c>
      <c r="W14">
        <v>-0.64700000000000002</v>
      </c>
      <c r="X14">
        <v>0.70599999999999996</v>
      </c>
      <c r="Y14" t="b">
        <v>1</v>
      </c>
      <c r="Z14" t="s">
        <v>48</v>
      </c>
      <c r="AA14" t="e">
        <f t="shared" si="7"/>
        <v>#VALUE!</v>
      </c>
      <c r="AB14">
        <f t="shared" si="1"/>
        <v>-7.4007926940917903</v>
      </c>
      <c r="AC14">
        <f t="shared" si="8"/>
        <v>39.60697421082763</v>
      </c>
      <c r="AD14" t="e">
        <f t="shared" si="9"/>
        <v>#VALUE!</v>
      </c>
      <c r="AE14" t="e">
        <f t="shared" ca="1" si="10"/>
        <v>#N/A</v>
      </c>
      <c r="AG14" s="2">
        <f t="shared" si="11"/>
        <v>3.116890000001149E-2</v>
      </c>
      <c r="AH14" s="2">
        <f t="shared" si="2"/>
        <v>0.21978579999995418</v>
      </c>
      <c r="AI14">
        <v>2910.2180616999999</v>
      </c>
      <c r="AJ14">
        <v>182.08721142857101</v>
      </c>
      <c r="AK14">
        <v>29.4247428571428</v>
      </c>
      <c r="AL14" s="2">
        <f t="shared" si="12"/>
        <v>2.7849599999999981</v>
      </c>
      <c r="AM14" s="2">
        <f t="shared" si="3"/>
        <v>0</v>
      </c>
      <c r="AN14" s="2">
        <f t="shared" si="13"/>
        <v>2.7849599999999981</v>
      </c>
      <c r="AO14" s="2"/>
    </row>
    <row r="15" spans="1:41" x14ac:dyDescent="0.3">
      <c r="A15">
        <f t="shared" si="4"/>
        <v>0</v>
      </c>
      <c r="B15" s="2">
        <f t="shared" si="5"/>
        <v>14.824499999576801</v>
      </c>
      <c r="C15" s="2" t="e">
        <f t="shared" si="14"/>
        <v>#VALUE!</v>
      </c>
      <c r="D15" s="2">
        <f t="shared" si="6"/>
        <v>8.9335699999992357E-2</v>
      </c>
      <c r="E15" s="2"/>
      <c r="F15">
        <v>3221.7646332999998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>
        <v>0</v>
      </c>
      <c r="O15">
        <v>0</v>
      </c>
      <c r="P15">
        <v>0</v>
      </c>
      <c r="Q15">
        <v>0</v>
      </c>
      <c r="R15">
        <v>-5.84587249755859E-2</v>
      </c>
      <c r="S15">
        <v>3.7235172271728498E-2</v>
      </c>
      <c r="T15">
        <v>0</v>
      </c>
      <c r="U15">
        <v>161.62299999999999</v>
      </c>
      <c r="V15">
        <f t="shared" si="0"/>
        <v>0.373</v>
      </c>
      <c r="W15">
        <v>-0.28399999999999997</v>
      </c>
      <c r="X15">
        <v>0.71</v>
      </c>
      <c r="Y15" t="b">
        <v>1</v>
      </c>
      <c r="Z15" t="s">
        <v>49</v>
      </c>
      <c r="AA15" t="e">
        <f t="shared" si="7"/>
        <v>#VALUE!</v>
      </c>
      <c r="AB15">
        <f t="shared" si="1"/>
        <v>-5.8458724975585898</v>
      </c>
      <c r="AC15">
        <f t="shared" si="8"/>
        <v>39.497261159537196</v>
      </c>
      <c r="AD15" t="e">
        <f t="shared" si="9"/>
        <v>#VALUE!</v>
      </c>
      <c r="AE15" t="e">
        <f t="shared" ca="1" si="10"/>
        <v>#N/A</v>
      </c>
      <c r="AG15" s="2">
        <f t="shared" si="11"/>
        <v>3.1528500000149506E-2</v>
      </c>
      <c r="AH15" s="2">
        <f t="shared" si="2"/>
        <v>0.25131430000010369</v>
      </c>
      <c r="AI15">
        <v>2910.2495902000001</v>
      </c>
      <c r="AJ15">
        <v>181.80401142857099</v>
      </c>
      <c r="AK15">
        <v>28.950302857142798</v>
      </c>
      <c r="AL15" s="2">
        <f t="shared" si="12"/>
        <v>2.3105199999999968</v>
      </c>
      <c r="AM15" s="2">
        <f t="shared" si="3"/>
        <v>0</v>
      </c>
      <c r="AN15" s="2">
        <f t="shared" si="13"/>
        <v>2.3105199999999968</v>
      </c>
      <c r="AO15" s="2"/>
    </row>
    <row r="16" spans="1:41" x14ac:dyDescent="0.3">
      <c r="A16">
        <f t="shared" si="4"/>
        <v>0</v>
      </c>
      <c r="B16" s="2">
        <f t="shared" si="5"/>
        <v>15.961600000082399</v>
      </c>
      <c r="C16" s="2" t="e">
        <f t="shared" si="14"/>
        <v>#VALUE!</v>
      </c>
      <c r="D16" s="2">
        <f t="shared" si="6"/>
        <v>0.10529730000007476</v>
      </c>
      <c r="E16" s="2"/>
      <c r="F16">
        <v>3221.7805948999999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>
        <v>0</v>
      </c>
      <c r="O16">
        <v>0</v>
      </c>
      <c r="P16">
        <v>0</v>
      </c>
      <c r="Q16">
        <v>0</v>
      </c>
      <c r="R16">
        <v>-5.84587249755859E-2</v>
      </c>
      <c r="S16">
        <v>3.7235172271728498E-2</v>
      </c>
      <c r="T16">
        <v>0</v>
      </c>
      <c r="U16">
        <v>161.62299999999999</v>
      </c>
      <c r="V16">
        <f t="shared" si="0"/>
        <v>0.373</v>
      </c>
      <c r="W16">
        <v>-0.28399999999999997</v>
      </c>
      <c r="X16">
        <v>0.71</v>
      </c>
      <c r="Y16" t="b">
        <v>1</v>
      </c>
      <c r="Z16" t="s">
        <v>49</v>
      </c>
      <c r="AA16" t="e">
        <f t="shared" si="7"/>
        <v>#VALUE!</v>
      </c>
      <c r="AB16">
        <f t="shared" si="1"/>
        <v>-5.8458724975585898</v>
      </c>
      <c r="AC16">
        <f t="shared" si="8"/>
        <v>39.403951681079683</v>
      </c>
      <c r="AD16" t="e">
        <f t="shared" si="9"/>
        <v>#VALUE!</v>
      </c>
      <c r="AE16" t="e">
        <f t="shared" ca="1" si="10"/>
        <v>#VALUE!</v>
      </c>
      <c r="AG16" s="2">
        <f t="shared" si="11"/>
        <v>4.5764599999984057E-2</v>
      </c>
      <c r="AH16" s="2">
        <f t="shared" si="2"/>
        <v>0.29707890000008774</v>
      </c>
      <c r="AI16">
        <v>2910.2953548</v>
      </c>
      <c r="AJ16">
        <v>181.52573142857099</v>
      </c>
      <c r="AK16">
        <v>28.460142857142799</v>
      </c>
      <c r="AL16" s="2">
        <f t="shared" si="12"/>
        <v>1.8203599999999973</v>
      </c>
      <c r="AM16" s="2">
        <f t="shared" si="3"/>
        <v>0</v>
      </c>
      <c r="AN16" s="2">
        <f t="shared" si="13"/>
        <v>1.8203599999999973</v>
      </c>
      <c r="AO16" s="2"/>
    </row>
    <row r="17" spans="1:41" x14ac:dyDescent="0.3">
      <c r="A17">
        <f t="shared" si="4"/>
        <v>0</v>
      </c>
      <c r="B17" s="2">
        <f t="shared" si="5"/>
        <v>16.052599999966333</v>
      </c>
      <c r="C17" s="2" t="e">
        <f t="shared" si="14"/>
        <v>#VALUE!</v>
      </c>
      <c r="D17" s="2">
        <f t="shared" si="6"/>
        <v>0.12134990000004109</v>
      </c>
      <c r="E17" s="2"/>
      <c r="F17">
        <v>3221.7966474999998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>
        <v>0</v>
      </c>
      <c r="O17">
        <v>0</v>
      </c>
      <c r="P17">
        <v>0</v>
      </c>
      <c r="Q17">
        <v>0</v>
      </c>
      <c r="R17">
        <v>-5.84587249755859E-2</v>
      </c>
      <c r="S17">
        <v>3.7235172271728498E-2</v>
      </c>
      <c r="T17">
        <v>0</v>
      </c>
      <c r="U17">
        <v>161.62299999999999</v>
      </c>
      <c r="V17">
        <f t="shared" si="0"/>
        <v>0.373</v>
      </c>
      <c r="W17">
        <v>-0.28399999999999997</v>
      </c>
      <c r="X17">
        <v>0.71</v>
      </c>
      <c r="Y17" t="b">
        <v>1</v>
      </c>
      <c r="Z17" t="s">
        <v>49</v>
      </c>
      <c r="AA17" t="e">
        <f t="shared" si="7"/>
        <v>#VALUE!</v>
      </c>
      <c r="AB17">
        <f t="shared" si="1"/>
        <v>-5.8458724975585898</v>
      </c>
      <c r="AC17">
        <f t="shared" si="8"/>
        <v>39.310110228225568</v>
      </c>
      <c r="AD17" t="e">
        <f t="shared" si="9"/>
        <v>#VALUE!</v>
      </c>
      <c r="AE17" t="e">
        <f t="shared" ca="1" si="10"/>
        <v>#VALUE!</v>
      </c>
      <c r="AG17" s="2">
        <f t="shared" si="11"/>
        <v>3.0648699999801465E-2</v>
      </c>
      <c r="AH17" s="2">
        <f t="shared" si="2"/>
        <v>0.32772759999988921</v>
      </c>
      <c r="AI17">
        <v>2910.3260034999998</v>
      </c>
      <c r="AJ17">
        <v>181.25729142857099</v>
      </c>
      <c r="AK17">
        <v>27.949022857142801</v>
      </c>
      <c r="AL17" s="2">
        <f t="shared" si="12"/>
        <v>1.3092399999999991</v>
      </c>
      <c r="AM17" s="2">
        <f t="shared" si="3"/>
        <v>0</v>
      </c>
      <c r="AN17" s="2">
        <f t="shared" si="13"/>
        <v>1.3092399999999991</v>
      </c>
      <c r="AO17" s="2"/>
    </row>
    <row r="18" spans="1:41" x14ac:dyDescent="0.3">
      <c r="A18">
        <f t="shared" si="4"/>
        <v>0</v>
      </c>
      <c r="B18" s="2">
        <f t="shared" si="5"/>
        <v>15.847000000121625</v>
      </c>
      <c r="C18" s="2" t="e">
        <f t="shared" si="14"/>
        <v>#VALUE!</v>
      </c>
      <c r="D18" s="2">
        <f t="shared" si="6"/>
        <v>0.13719690000016271</v>
      </c>
      <c r="E18" s="2"/>
      <c r="F18">
        <v>3221.8124945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>
        <v>0</v>
      </c>
      <c r="O18">
        <v>0</v>
      </c>
      <c r="P18">
        <v>0</v>
      </c>
      <c r="Q18">
        <v>0</v>
      </c>
      <c r="R18">
        <v>-5.84587249755859E-2</v>
      </c>
      <c r="S18">
        <v>3.7235172271728498E-2</v>
      </c>
      <c r="T18">
        <v>0</v>
      </c>
      <c r="U18">
        <v>161.62299999999999</v>
      </c>
      <c r="V18">
        <f t="shared" si="0"/>
        <v>0.373</v>
      </c>
      <c r="W18">
        <v>-0.28399999999999997</v>
      </c>
      <c r="X18">
        <v>0.71</v>
      </c>
      <c r="Y18" t="b">
        <v>1</v>
      </c>
      <c r="Z18" t="s">
        <v>49</v>
      </c>
      <c r="AA18" t="e">
        <f t="shared" si="7"/>
        <v>#VALUE!</v>
      </c>
      <c r="AB18">
        <f t="shared" si="1"/>
        <v>-5.8458724975585898</v>
      </c>
      <c r="AC18">
        <f t="shared" si="8"/>
        <v>39.217470686756045</v>
      </c>
      <c r="AD18" t="e">
        <f t="shared" si="9"/>
        <v>#VALUE!</v>
      </c>
      <c r="AE18" t="e">
        <f t="shared" ca="1" si="10"/>
        <v>#VALUE!</v>
      </c>
      <c r="AG18" s="2">
        <f t="shared" si="11"/>
        <v>3.1540100000256643E-2</v>
      </c>
      <c r="AH18" s="2">
        <f t="shared" si="2"/>
        <v>0.35926770000014585</v>
      </c>
      <c r="AI18">
        <v>2910.3575436000001</v>
      </c>
      <c r="AJ18">
        <v>180.988851428571</v>
      </c>
      <c r="AK18">
        <v>27.427422857142801</v>
      </c>
      <c r="AL18" s="2">
        <f t="shared" si="12"/>
        <v>0.78763999999999967</v>
      </c>
      <c r="AM18" s="2">
        <f t="shared" si="3"/>
        <v>0</v>
      </c>
      <c r="AN18" s="2">
        <f t="shared" si="13"/>
        <v>0.78763999999999967</v>
      </c>
      <c r="AO18" s="2"/>
    </row>
    <row r="19" spans="1:41" x14ac:dyDescent="0.3">
      <c r="A19">
        <f t="shared" si="4"/>
        <v>0</v>
      </c>
      <c r="B19" s="2">
        <f t="shared" si="5"/>
        <v>15.872599999966042</v>
      </c>
      <c r="C19" s="2" t="e">
        <f t="shared" si="14"/>
        <v>#VALUE!</v>
      </c>
      <c r="D19" s="2">
        <f t="shared" si="6"/>
        <v>0.15306950000012876</v>
      </c>
      <c r="E19" s="2"/>
      <c r="F19">
        <v>3221.8283670999999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>
        <v>0</v>
      </c>
      <c r="O19">
        <v>0</v>
      </c>
      <c r="P19">
        <v>0</v>
      </c>
      <c r="Q19">
        <v>0</v>
      </c>
      <c r="R19">
        <v>-8.6154609680175701E-2</v>
      </c>
      <c r="S19">
        <v>3.8733119964599598E-2</v>
      </c>
      <c r="T19">
        <v>0</v>
      </c>
      <c r="U19">
        <v>161.46799999999999</v>
      </c>
      <c r="V19">
        <f t="shared" si="0"/>
        <v>0.373</v>
      </c>
      <c r="W19">
        <v>0.442</v>
      </c>
      <c r="X19">
        <v>0.71099999999999997</v>
      </c>
      <c r="Y19" t="b">
        <v>1</v>
      </c>
      <c r="Z19" t="s">
        <v>49</v>
      </c>
      <c r="AA19" t="e">
        <f t="shared" si="7"/>
        <v>#VALUE!</v>
      </c>
      <c r="AB19">
        <f t="shared" si="1"/>
        <v>-8.6154609680175707</v>
      </c>
      <c r="AC19">
        <f t="shared" si="8"/>
        <v>39.124681490951495</v>
      </c>
      <c r="AD19" t="e">
        <f t="shared" si="9"/>
        <v>#VALUE!</v>
      </c>
      <c r="AE19" t="e">
        <f t="shared" ca="1" si="10"/>
        <v>#VALUE!</v>
      </c>
      <c r="AG19" s="2">
        <f t="shared" si="11"/>
        <v>3.1264799999917159E-2</v>
      </c>
      <c r="AH19" s="2">
        <f t="shared" si="2"/>
        <v>0.39053250000006301</v>
      </c>
      <c r="AI19">
        <v>2910.3888084</v>
      </c>
      <c r="AJ19">
        <v>180.720411428571</v>
      </c>
      <c r="AK19">
        <v>26.884862857142799</v>
      </c>
      <c r="AL19" s="2">
        <f t="shared" si="12"/>
        <v>0.24507999999999797</v>
      </c>
      <c r="AM19" s="2">
        <f t="shared" si="3"/>
        <v>0</v>
      </c>
      <c r="AN19" s="2">
        <f t="shared" si="13"/>
        <v>0.24507999999999797</v>
      </c>
      <c r="AO19" s="2"/>
    </row>
    <row r="20" spans="1:41" x14ac:dyDescent="0.3">
      <c r="A20">
        <f t="shared" si="4"/>
        <v>0</v>
      </c>
      <c r="B20" s="2">
        <f t="shared" si="5"/>
        <v>16.170400000191876</v>
      </c>
      <c r="C20" s="2" t="e">
        <f t="shared" si="14"/>
        <v>#VALUE!</v>
      </c>
      <c r="D20" s="2">
        <f t="shared" si="6"/>
        <v>0.16923990000032063</v>
      </c>
      <c r="E20" s="2"/>
      <c r="F20">
        <v>3221.8445375000001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>
        <v>0</v>
      </c>
      <c r="O20">
        <v>0</v>
      </c>
      <c r="P20">
        <v>0</v>
      </c>
      <c r="Q20">
        <v>0</v>
      </c>
      <c r="R20">
        <v>-8.6154609680175701E-2</v>
      </c>
      <c r="S20">
        <v>3.8733119964599598E-2</v>
      </c>
      <c r="T20">
        <v>0</v>
      </c>
      <c r="U20">
        <v>161.46799999999999</v>
      </c>
      <c r="V20">
        <f t="shared" si="0"/>
        <v>0.373</v>
      </c>
      <c r="W20">
        <v>0.442</v>
      </c>
      <c r="X20">
        <v>0.71099999999999997</v>
      </c>
      <c r="Y20" t="b">
        <v>1</v>
      </c>
      <c r="Z20" t="s">
        <v>49</v>
      </c>
      <c r="AA20" t="e">
        <f t="shared" si="7"/>
        <v>#VALUE!</v>
      </c>
      <c r="AB20">
        <f t="shared" si="1"/>
        <v>-8.6154609680175707</v>
      </c>
      <c r="AC20">
        <f t="shared" si="8"/>
        <v>38.985366040912609</v>
      </c>
      <c r="AD20" t="e">
        <f t="shared" si="9"/>
        <v>#VALUE!</v>
      </c>
      <c r="AE20" t="e">
        <f t="shared" ca="1" si="10"/>
        <v>#VALUE!</v>
      </c>
      <c r="AG20" s="2">
        <f t="shared" si="11"/>
        <v>3.1596599999829778E-2</v>
      </c>
      <c r="AH20" s="2">
        <f t="shared" si="2"/>
        <v>0.42212909999989279</v>
      </c>
      <c r="AI20">
        <v>2910.4204049999998</v>
      </c>
      <c r="AJ20">
        <v>180.459051428571</v>
      </c>
      <c r="AK20">
        <v>26.639782857142801</v>
      </c>
      <c r="AL20" s="2">
        <f t="shared" si="12"/>
        <v>0</v>
      </c>
      <c r="AM20" s="2">
        <f t="shared" si="3"/>
        <v>0</v>
      </c>
      <c r="AN20" s="2">
        <f t="shared" si="13"/>
        <v>0</v>
      </c>
      <c r="AO20" s="2"/>
    </row>
    <row r="21" spans="1:41" x14ac:dyDescent="0.3">
      <c r="A21">
        <f t="shared" si="4"/>
        <v>0</v>
      </c>
      <c r="B21" s="2">
        <f t="shared" si="5"/>
        <v>15.581799999836221</v>
      </c>
      <c r="C21" s="2" t="e">
        <f t="shared" si="14"/>
        <v>#VALUE!</v>
      </c>
      <c r="D21" s="2">
        <f t="shared" si="6"/>
        <v>0.18482170000015685</v>
      </c>
      <c r="E21" s="2"/>
      <c r="F21">
        <v>3221.8601193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>
        <v>0</v>
      </c>
      <c r="O21">
        <v>0</v>
      </c>
      <c r="P21">
        <v>0</v>
      </c>
      <c r="Q21">
        <v>0</v>
      </c>
      <c r="R21">
        <v>-8.6154609680175701E-2</v>
      </c>
      <c r="S21">
        <v>3.8733119964599598E-2</v>
      </c>
      <c r="T21">
        <v>0</v>
      </c>
      <c r="U21">
        <v>161.46799999999999</v>
      </c>
      <c r="V21">
        <f t="shared" si="0"/>
        <v>0.373</v>
      </c>
      <c r="W21">
        <v>0.442</v>
      </c>
      <c r="X21">
        <v>0.71099999999999997</v>
      </c>
      <c r="Y21" t="b">
        <v>1</v>
      </c>
      <c r="Z21" t="s">
        <v>49</v>
      </c>
      <c r="AA21" t="e">
        <f t="shared" si="7"/>
        <v>#VALUE!</v>
      </c>
      <c r="AB21">
        <f t="shared" si="1"/>
        <v>-8.6154609680175707</v>
      </c>
      <c r="AC21">
        <f t="shared" si="8"/>
        <v>38.851121651202561</v>
      </c>
      <c r="AD21" t="e">
        <f t="shared" si="9"/>
        <v>#VALUE!</v>
      </c>
      <c r="AE21" t="e">
        <f t="shared" ca="1" si="10"/>
        <v>#VALUE!</v>
      </c>
      <c r="AG21" s="2">
        <f t="shared" si="11"/>
        <v>3.1192299999929674E-2</v>
      </c>
      <c r="AH21" s="2">
        <f t="shared" si="2"/>
        <v>0.45332139999982246</v>
      </c>
      <c r="AI21">
        <v>2910.4515972999998</v>
      </c>
      <c r="AJ21">
        <v>180.22505142857099</v>
      </c>
      <c r="AK21">
        <v>26.843542857142801</v>
      </c>
      <c r="AL21" s="2">
        <f t="shared" si="12"/>
        <v>0.20375999999999905</v>
      </c>
      <c r="AM21" s="2">
        <f t="shared" si="3"/>
        <v>0</v>
      </c>
      <c r="AN21" s="2">
        <f t="shared" si="13"/>
        <v>0.20375999999999905</v>
      </c>
      <c r="AO21" s="2"/>
    </row>
    <row r="22" spans="1:41" x14ac:dyDescent="0.3">
      <c r="A22">
        <f t="shared" si="4"/>
        <v>0</v>
      </c>
      <c r="B22" s="2">
        <f t="shared" si="5"/>
        <v>15.970599999945989</v>
      </c>
      <c r="C22" s="2" t="e">
        <f t="shared" si="14"/>
        <v>#VALUE!</v>
      </c>
      <c r="D22" s="2">
        <f t="shared" si="6"/>
        <v>0.20079230000010284</v>
      </c>
      <c r="E22" s="2"/>
      <c r="F22">
        <v>3221.8760898999999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>
        <v>0</v>
      </c>
      <c r="O22">
        <v>0</v>
      </c>
      <c r="P22">
        <v>0</v>
      </c>
      <c r="Q22">
        <v>0</v>
      </c>
      <c r="R22">
        <v>-8.6154609680175701E-2</v>
      </c>
      <c r="S22">
        <v>3.8733119964599598E-2</v>
      </c>
      <c r="T22">
        <v>0</v>
      </c>
      <c r="U22">
        <v>161.46799999999999</v>
      </c>
      <c r="V22">
        <f t="shared" si="0"/>
        <v>0.373</v>
      </c>
      <c r="W22">
        <v>0.442</v>
      </c>
      <c r="X22">
        <v>0.71099999999999997</v>
      </c>
      <c r="Y22" t="b">
        <v>1</v>
      </c>
      <c r="Z22" t="s">
        <v>49</v>
      </c>
      <c r="AA22" t="e">
        <f t="shared" si="7"/>
        <v>#VALUE!</v>
      </c>
      <c r="AB22">
        <f t="shared" si="1"/>
        <v>-8.6154609680175707</v>
      </c>
      <c r="AC22">
        <f t="shared" si="8"/>
        <v>38.713527570267203</v>
      </c>
      <c r="AD22" t="e">
        <f t="shared" si="9"/>
        <v>#VALUE!</v>
      </c>
      <c r="AE22" t="e">
        <f t="shared" ca="1" si="10"/>
        <v>#VALUE!</v>
      </c>
      <c r="AG22" s="2">
        <f t="shared" si="11"/>
        <v>4.6713900000213471E-2</v>
      </c>
      <c r="AH22" s="2">
        <f t="shared" si="2"/>
        <v>0.50003530000003593</v>
      </c>
      <c r="AI22">
        <v>2910.4983112</v>
      </c>
      <c r="AJ22">
        <v>180.015651428571</v>
      </c>
      <c r="AK22">
        <v>27.0158628571428</v>
      </c>
      <c r="AL22" s="2">
        <f t="shared" si="12"/>
        <v>0.37607999999999819</v>
      </c>
      <c r="AM22" s="2">
        <f t="shared" si="3"/>
        <v>0</v>
      </c>
      <c r="AN22" s="2">
        <f t="shared" si="13"/>
        <v>0.37607999999999819</v>
      </c>
      <c r="AO22" s="2"/>
    </row>
    <row r="23" spans="1:41" x14ac:dyDescent="0.3">
      <c r="A23">
        <f t="shared" si="4"/>
        <v>0</v>
      </c>
      <c r="B23" s="2">
        <f t="shared" si="5"/>
        <v>15.067600000293169</v>
      </c>
      <c r="C23" s="2" t="e">
        <f t="shared" si="14"/>
        <v>#VALUE!</v>
      </c>
      <c r="D23" s="2">
        <f t="shared" si="6"/>
        <v>0.21585990000039601</v>
      </c>
      <c r="E23" s="2"/>
      <c r="F23">
        <v>3221.8911575000002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>
        <v>0</v>
      </c>
      <c r="O23">
        <v>0</v>
      </c>
      <c r="P23">
        <v>0</v>
      </c>
      <c r="Q23">
        <v>0</v>
      </c>
      <c r="R23">
        <v>-9.5610008239746094E-2</v>
      </c>
      <c r="S23">
        <v>5.3336387634277303E-2</v>
      </c>
      <c r="T23">
        <v>0</v>
      </c>
      <c r="U23">
        <v>161.322</v>
      </c>
      <c r="V23">
        <f>V24</f>
        <v>0.373</v>
      </c>
      <c r="W23">
        <v>0.94699999999999995</v>
      </c>
      <c r="X23">
        <v>0.70799999999999996</v>
      </c>
      <c r="Y23" t="b">
        <v>1</v>
      </c>
      <c r="Z23" t="s">
        <v>49</v>
      </c>
      <c r="AA23" t="e">
        <f t="shared" si="7"/>
        <v>#VALUE!</v>
      </c>
      <c r="AB23">
        <f t="shared" si="1"/>
        <v>-9.5610008239746094</v>
      </c>
      <c r="AC23">
        <f t="shared" si="8"/>
        <v>38.583713250582974</v>
      </c>
      <c r="AD23" t="e">
        <f t="shared" si="9"/>
        <v>#VALUE!</v>
      </c>
      <c r="AE23" t="e">
        <f t="shared" ca="1" si="10"/>
        <v>#VALUE!</v>
      </c>
      <c r="AG23" s="2">
        <f t="shared" si="11"/>
        <v>2.9869299999973009E-2</v>
      </c>
      <c r="AH23" s="2">
        <f t="shared" si="2"/>
        <v>0.52990460000000894</v>
      </c>
      <c r="AI23">
        <v>2910.5281805</v>
      </c>
      <c r="AJ23">
        <v>179.83577142857101</v>
      </c>
      <c r="AK23">
        <v>27.156742857142799</v>
      </c>
      <c r="AL23" s="2">
        <f t="shared" si="12"/>
        <v>0.51695999999999742</v>
      </c>
      <c r="AM23" s="2">
        <f t="shared" si="3"/>
        <v>0</v>
      </c>
      <c r="AN23" s="2">
        <f t="shared" si="13"/>
        <v>0.51695999999999742</v>
      </c>
      <c r="AO23" s="2"/>
    </row>
    <row r="24" spans="1:41" x14ac:dyDescent="0.3">
      <c r="A24">
        <f t="shared" si="4"/>
        <v>0</v>
      </c>
      <c r="B24" s="2">
        <f t="shared" si="5"/>
        <v>15.295400000013615</v>
      </c>
      <c r="C24" s="2" t="e">
        <f t="shared" si="14"/>
        <v>#VALUE!</v>
      </c>
      <c r="D24" s="2">
        <f t="shared" si="6"/>
        <v>0.23115530000040962</v>
      </c>
      <c r="E24" s="2"/>
      <c r="F24">
        <v>3221.9064529000002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>
        <v>0</v>
      </c>
      <c r="O24">
        <v>0</v>
      </c>
      <c r="P24">
        <v>0</v>
      </c>
      <c r="Q24">
        <v>0</v>
      </c>
      <c r="R24">
        <v>-9.5610008239746094E-2</v>
      </c>
      <c r="S24">
        <v>5.3336387634277303E-2</v>
      </c>
      <c r="T24">
        <v>0</v>
      </c>
      <c r="U24">
        <v>161.322</v>
      </c>
      <c r="V24">
        <v>0.373</v>
      </c>
      <c r="W24">
        <v>0.94699999999999995</v>
      </c>
      <c r="X24">
        <v>0.70799999999999996</v>
      </c>
      <c r="Y24" t="b">
        <v>1</v>
      </c>
      <c r="Z24" t="s">
        <v>49</v>
      </c>
      <c r="AA24" t="e">
        <f t="shared" si="7"/>
        <v>#VALUE!</v>
      </c>
      <c r="AB24">
        <f t="shared" si="1"/>
        <v>-9.5610008239746094</v>
      </c>
      <c r="AC24">
        <f t="shared" si="8"/>
        <v>38.437473918579826</v>
      </c>
      <c r="AD24" t="e">
        <f t="shared" si="9"/>
        <v>#VALUE!</v>
      </c>
      <c r="AE24" t="e">
        <f t="shared" ca="1" si="10"/>
        <v>#VALUE!</v>
      </c>
      <c r="AG24" s="2">
        <f t="shared" si="11"/>
        <v>3.1206099999963044E-2</v>
      </c>
      <c r="AH24" s="2">
        <f t="shared" si="2"/>
        <v>0.56111069999997198</v>
      </c>
      <c r="AI24">
        <v>2910.5593865999999</v>
      </c>
      <c r="AJ24">
        <v>179.675571428571</v>
      </c>
      <c r="AK24">
        <v>27.271422857142799</v>
      </c>
      <c r="AL24" s="2">
        <f t="shared" si="12"/>
        <v>0.63163999999999731</v>
      </c>
      <c r="AM24" s="2">
        <f t="shared" si="3"/>
        <v>0</v>
      </c>
      <c r="AN24" s="2">
        <f t="shared" si="13"/>
        <v>0.63163999999999731</v>
      </c>
      <c r="AO24" s="2"/>
    </row>
    <row r="25" spans="1:41" x14ac:dyDescent="0.3">
      <c r="A25">
        <f t="shared" si="4"/>
        <v>0</v>
      </c>
      <c r="B25" s="2">
        <f t="shared" si="5"/>
        <v>16.159099999640603</v>
      </c>
      <c r="C25" s="2" t="e">
        <f t="shared" si="14"/>
        <v>#VALUE!</v>
      </c>
      <c r="D25" s="2">
        <f t="shared" si="6"/>
        <v>0.24731440000005023</v>
      </c>
      <c r="E25" s="2"/>
      <c r="F25">
        <v>3221.9226119999998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>
        <v>0</v>
      </c>
      <c r="O25">
        <v>0</v>
      </c>
      <c r="P25">
        <v>0</v>
      </c>
      <c r="Q25">
        <v>0</v>
      </c>
      <c r="R25">
        <v>-9.5610008239746094E-2</v>
      </c>
      <c r="S25">
        <v>5.3336387634277303E-2</v>
      </c>
      <c r="T25">
        <v>0</v>
      </c>
      <c r="U25">
        <v>161.322</v>
      </c>
      <c r="V25">
        <v>0.373</v>
      </c>
      <c r="W25">
        <v>0.94699999999999995</v>
      </c>
      <c r="X25">
        <v>0.70799999999999996</v>
      </c>
      <c r="Y25" t="b">
        <v>1</v>
      </c>
      <c r="Z25" t="s">
        <v>49</v>
      </c>
      <c r="AA25" t="e">
        <f t="shared" si="7"/>
        <v>#VALUE!</v>
      </c>
      <c r="AB25">
        <f t="shared" si="1"/>
        <v>-9.5610008239746094</v>
      </c>
      <c r="AC25">
        <f t="shared" si="8"/>
        <v>38.282976750168572</v>
      </c>
      <c r="AD25" t="e">
        <f t="shared" si="9"/>
        <v>#VALUE!</v>
      </c>
      <c r="AE25" t="e">
        <f t="shared" ca="1" si="10"/>
        <v>#VALUE!</v>
      </c>
      <c r="AG25" s="2">
        <f t="shared" si="11"/>
        <v>3.0995800000255258E-2</v>
      </c>
      <c r="AH25" s="2">
        <f t="shared" si="2"/>
        <v>0.59210650000022724</v>
      </c>
      <c r="AI25">
        <v>2910.5903824000002</v>
      </c>
      <c r="AJ25">
        <v>179.520291428571</v>
      </c>
      <c r="AK25">
        <v>27.3651428571428</v>
      </c>
      <c r="AL25" s="2">
        <f t="shared" si="12"/>
        <v>0.72535999999999845</v>
      </c>
      <c r="AM25" s="2">
        <f t="shared" si="3"/>
        <v>0</v>
      </c>
      <c r="AN25" s="2">
        <f t="shared" si="13"/>
        <v>0.72535999999999845</v>
      </c>
      <c r="AO25" s="2"/>
    </row>
    <row r="26" spans="1:41" x14ac:dyDescent="0.3">
      <c r="A26">
        <f t="shared" si="4"/>
        <v>0</v>
      </c>
      <c r="B26" s="2">
        <f t="shared" si="5"/>
        <v>15.26140000032683</v>
      </c>
      <c r="C26" s="2" t="e">
        <f t="shared" si="14"/>
        <v>#VALUE!</v>
      </c>
      <c r="D26" s="2">
        <f t="shared" si="6"/>
        <v>0.26257580000037706</v>
      </c>
      <c r="E26" s="2"/>
      <c r="F26">
        <v>3221.9378734000002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>
        <v>0</v>
      </c>
      <c r="O26">
        <v>0</v>
      </c>
      <c r="P26">
        <v>0</v>
      </c>
      <c r="Q26">
        <v>0</v>
      </c>
      <c r="R26">
        <v>-9.5610008239746094E-2</v>
      </c>
      <c r="S26">
        <v>5.3336387634277303E-2</v>
      </c>
      <c r="T26">
        <v>0</v>
      </c>
      <c r="U26">
        <v>161.322</v>
      </c>
      <c r="V26">
        <v>0.373</v>
      </c>
      <c r="W26">
        <v>0.94699999999999995</v>
      </c>
      <c r="X26">
        <v>0.70799999999999996</v>
      </c>
      <c r="Y26" t="b">
        <v>1</v>
      </c>
      <c r="Z26" t="s">
        <v>49</v>
      </c>
      <c r="AA26" t="e">
        <f t="shared" si="7"/>
        <v>#VALUE!</v>
      </c>
      <c r="AB26">
        <f t="shared" si="1"/>
        <v>-9.5610008239746094</v>
      </c>
      <c r="AC26">
        <f t="shared" si="8"/>
        <v>38.137062492190438</v>
      </c>
      <c r="AD26" t="e">
        <f t="shared" si="9"/>
        <v>#VALUE!</v>
      </c>
      <c r="AE26" t="e">
        <f t="shared" ca="1" si="10"/>
        <v>#VALUE!</v>
      </c>
      <c r="AG26" s="2">
        <f t="shared" si="11"/>
        <v>3.1780399999661313E-2</v>
      </c>
      <c r="AH26" s="2">
        <f t="shared" si="2"/>
        <v>0.62388689999988856</v>
      </c>
      <c r="AI26">
        <v>2910.6221627999998</v>
      </c>
      <c r="AJ26">
        <v>179.37977142857099</v>
      </c>
      <c r="AK26">
        <v>27.437902857142799</v>
      </c>
      <c r="AL26" s="2">
        <f t="shared" si="12"/>
        <v>0.79811999999999728</v>
      </c>
      <c r="AM26" s="2">
        <f t="shared" si="3"/>
        <v>0</v>
      </c>
      <c r="AN26" s="2">
        <f t="shared" si="13"/>
        <v>0.79811999999999728</v>
      </c>
      <c r="AO26" s="2"/>
    </row>
    <row r="27" spans="1:41" x14ac:dyDescent="0.3">
      <c r="A27">
        <f t="shared" si="4"/>
        <v>0</v>
      </c>
      <c r="B27" s="2">
        <f t="shared" si="5"/>
        <v>15.437900000051741</v>
      </c>
      <c r="C27" s="2" t="e">
        <f t="shared" si="14"/>
        <v>#VALUE!</v>
      </c>
      <c r="D27" s="2">
        <f t="shared" si="6"/>
        <v>0.2780137000004288</v>
      </c>
      <c r="E27" s="2"/>
      <c r="F27">
        <v>3221.9533113000002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>
        <v>0</v>
      </c>
      <c r="O27">
        <v>0</v>
      </c>
      <c r="P27">
        <v>0</v>
      </c>
      <c r="Q27">
        <v>0</v>
      </c>
      <c r="R27">
        <v>-9.5809143066406199E-2</v>
      </c>
      <c r="S27">
        <v>4.6923980712890598E-2</v>
      </c>
      <c r="T27">
        <v>0</v>
      </c>
      <c r="U27">
        <v>161.244</v>
      </c>
      <c r="V27">
        <v>0.373</v>
      </c>
      <c r="W27">
        <v>1.07</v>
      </c>
      <c r="X27">
        <v>0.70899999999999996</v>
      </c>
      <c r="Y27" t="b">
        <v>1</v>
      </c>
      <c r="Z27" t="s">
        <v>49</v>
      </c>
      <c r="AA27" t="e">
        <f t="shared" si="7"/>
        <v>#VALUE!</v>
      </c>
      <c r="AB27">
        <f t="shared" si="1"/>
        <v>-9.5809143066406204</v>
      </c>
      <c r="AC27">
        <f t="shared" si="8"/>
        <v>37.989460717569507</v>
      </c>
      <c r="AD27" t="e">
        <f t="shared" si="9"/>
        <v>#VALUE!</v>
      </c>
      <c r="AE27" t="e">
        <f t="shared" ca="1" si="10"/>
        <v>#VALUE!</v>
      </c>
      <c r="AG27" s="2">
        <f t="shared" si="11"/>
        <v>3.1495600000198465E-2</v>
      </c>
      <c r="AH27" s="2">
        <f t="shared" si="2"/>
        <v>0.65538250000008702</v>
      </c>
      <c r="AI27">
        <v>2910.6536584</v>
      </c>
      <c r="AJ27">
        <v>179.254011428571</v>
      </c>
      <c r="AK27">
        <v>27.5001828571428</v>
      </c>
      <c r="AL27" s="2">
        <f t="shared" si="12"/>
        <v>0.8603999999999985</v>
      </c>
      <c r="AM27" s="2">
        <f t="shared" si="3"/>
        <v>0</v>
      </c>
      <c r="AN27" s="2">
        <f t="shared" si="13"/>
        <v>0.8603999999999985</v>
      </c>
      <c r="AO27" s="2"/>
    </row>
    <row r="28" spans="1:41" x14ac:dyDescent="0.3">
      <c r="A28">
        <f t="shared" si="4"/>
        <v>0</v>
      </c>
      <c r="B28" s="2">
        <f t="shared" si="5"/>
        <v>16.165799999726005</v>
      </c>
      <c r="C28" s="2" t="e">
        <f t="shared" si="14"/>
        <v>#VALUE!</v>
      </c>
      <c r="D28" s="2">
        <f t="shared" si="6"/>
        <v>0.2941795000001548</v>
      </c>
      <c r="E28" s="2"/>
      <c r="F28">
        <v>3221.9694770999999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>
        <v>0</v>
      </c>
      <c r="O28">
        <v>0</v>
      </c>
      <c r="P28">
        <v>0</v>
      </c>
      <c r="Q28">
        <v>0</v>
      </c>
      <c r="R28">
        <v>-9.5809143066406199E-2</v>
      </c>
      <c r="S28">
        <v>4.6923980712890598E-2</v>
      </c>
      <c r="T28">
        <v>0</v>
      </c>
      <c r="U28">
        <v>161.244</v>
      </c>
      <c r="V28">
        <v>0.318</v>
      </c>
      <c r="W28">
        <v>1.07</v>
      </c>
      <c r="X28">
        <v>0.70899999999999996</v>
      </c>
      <c r="Y28" t="b">
        <v>1</v>
      </c>
      <c r="Z28" t="s">
        <v>49</v>
      </c>
      <c r="AA28" t="e">
        <f t="shared" si="7"/>
        <v>#VALUE!</v>
      </c>
      <c r="AB28">
        <f t="shared" si="1"/>
        <v>-9.5809143066406204</v>
      </c>
      <c r="AC28">
        <f t="shared" si="8"/>
        <v>37.834577573073844</v>
      </c>
      <c r="AD28" t="e">
        <f t="shared" si="9"/>
        <v>#VALUE!</v>
      </c>
      <c r="AE28" t="e">
        <f t="shared" ca="1" si="10"/>
        <v>#VALUE!</v>
      </c>
      <c r="AG28" s="2">
        <f t="shared" si="11"/>
        <v>4.5998199999758071E-2</v>
      </c>
      <c r="AH28" s="2">
        <f t="shared" si="2"/>
        <v>0.70138069999984509</v>
      </c>
      <c r="AI28">
        <v>2910.6996565999998</v>
      </c>
      <c r="AJ28">
        <v>179.15777142857101</v>
      </c>
      <c r="AK28">
        <v>27.562462857142801</v>
      </c>
      <c r="AL28" s="2">
        <f t="shared" si="12"/>
        <v>0.92267999999999972</v>
      </c>
      <c r="AM28" s="2">
        <f t="shared" si="3"/>
        <v>0</v>
      </c>
      <c r="AN28" s="2">
        <f t="shared" si="13"/>
        <v>0.92267999999999972</v>
      </c>
      <c r="AO28" s="2"/>
    </row>
    <row r="29" spans="1:41" x14ac:dyDescent="0.3">
      <c r="A29">
        <f t="shared" si="4"/>
        <v>0</v>
      </c>
      <c r="B29" s="2">
        <f t="shared" si="5"/>
        <v>15.635600000223349</v>
      </c>
      <c r="C29" s="2" t="e">
        <f t="shared" si="14"/>
        <v>#VALUE!</v>
      </c>
      <c r="D29" s="2">
        <f t="shared" si="6"/>
        <v>0.30981510000037815</v>
      </c>
      <c r="E29" s="2"/>
      <c r="F29">
        <v>3221.9851127000002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>
        <v>0</v>
      </c>
      <c r="O29">
        <v>0</v>
      </c>
      <c r="P29">
        <v>0</v>
      </c>
      <c r="Q29">
        <v>0</v>
      </c>
      <c r="R29">
        <v>-9.5809143066406199E-2</v>
      </c>
      <c r="S29">
        <v>4.6923980712890598E-2</v>
      </c>
      <c r="T29">
        <v>0</v>
      </c>
      <c r="U29">
        <v>161.244</v>
      </c>
      <c r="V29">
        <v>0.318</v>
      </c>
      <c r="W29">
        <v>1.07</v>
      </c>
      <c r="X29">
        <v>0.70899999999999996</v>
      </c>
      <c r="Y29" t="b">
        <v>1</v>
      </c>
      <c r="Z29" t="s">
        <v>49</v>
      </c>
      <c r="AA29" t="e">
        <f t="shared" si="7"/>
        <v>#VALUE!</v>
      </c>
      <c r="AB29">
        <f t="shared" si="1"/>
        <v>-9.5809143066406204</v>
      </c>
      <c r="AC29">
        <f t="shared" si="8"/>
        <v>37.684774229338792</v>
      </c>
      <c r="AD29" t="e">
        <f t="shared" si="9"/>
        <v>#VALUE!</v>
      </c>
      <c r="AE29" t="e">
        <f t="shared" ca="1" si="10"/>
        <v>#VALUE!</v>
      </c>
      <c r="AG29" s="2">
        <f t="shared" si="11"/>
        <v>3.1545300000288989E-2</v>
      </c>
      <c r="AH29" s="2">
        <f t="shared" si="2"/>
        <v>0.73292600000013408</v>
      </c>
      <c r="AI29">
        <v>2910.7312019000001</v>
      </c>
      <c r="AJ29">
        <v>179.12333142857099</v>
      </c>
      <c r="AK29">
        <v>27.739622857142798</v>
      </c>
      <c r="AL29" s="2">
        <f t="shared" si="12"/>
        <v>1.0998399999999968</v>
      </c>
      <c r="AM29" s="2">
        <f t="shared" si="3"/>
        <v>0</v>
      </c>
      <c r="AN29" s="2">
        <f t="shared" si="13"/>
        <v>1.0998399999999968</v>
      </c>
      <c r="AO29" s="2"/>
    </row>
    <row r="30" spans="1:41" x14ac:dyDescent="0.3">
      <c r="A30">
        <f t="shared" si="4"/>
        <v>0</v>
      </c>
      <c r="B30" s="2">
        <f t="shared" si="5"/>
        <v>16.145999999935157</v>
      </c>
      <c r="C30" s="2" t="e">
        <f t="shared" si="14"/>
        <v>#VALUE!</v>
      </c>
      <c r="D30" s="2">
        <f t="shared" si="6"/>
        <v>0.32596110000031331</v>
      </c>
      <c r="E30" s="2"/>
      <c r="F30">
        <v>3222.0012587000001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>
        <v>0</v>
      </c>
      <c r="O30">
        <v>0</v>
      </c>
      <c r="P30">
        <v>0</v>
      </c>
      <c r="Q30">
        <v>0</v>
      </c>
      <c r="R30">
        <v>-9.5809143066406199E-2</v>
      </c>
      <c r="S30">
        <v>4.6923980712890598E-2</v>
      </c>
      <c r="T30">
        <v>0</v>
      </c>
      <c r="U30">
        <v>161.244</v>
      </c>
      <c r="V30">
        <v>0.318</v>
      </c>
      <c r="W30">
        <v>1.07</v>
      </c>
      <c r="X30">
        <v>0.70899999999999996</v>
      </c>
      <c r="Y30" t="b">
        <v>1</v>
      </c>
      <c r="Z30" t="s">
        <v>49</v>
      </c>
      <c r="AA30" t="e">
        <f t="shared" si="7"/>
        <v>#VALUE!</v>
      </c>
      <c r="AB30">
        <f t="shared" si="1"/>
        <v>-9.5809143066406204</v>
      </c>
      <c r="AC30">
        <f t="shared" si="8"/>
        <v>37.530080786944396</v>
      </c>
      <c r="AD30" t="e">
        <f t="shared" si="9"/>
        <v>#VALUE!</v>
      </c>
      <c r="AE30" t="e">
        <f t="shared" ca="1" si="10"/>
        <v>#VALUE!</v>
      </c>
      <c r="AG30" s="2">
        <f t="shared" si="11"/>
        <v>1.5319199999794364E-2</v>
      </c>
      <c r="AH30" s="2">
        <f t="shared" si="2"/>
        <v>0.74824519999992845</v>
      </c>
      <c r="AI30">
        <v>2910.7465210999999</v>
      </c>
      <c r="AJ30">
        <v>179.12825142857099</v>
      </c>
      <c r="AK30">
        <v>27.916782857142799</v>
      </c>
      <c r="AL30" s="2">
        <f t="shared" si="12"/>
        <v>1.2769999999999975</v>
      </c>
      <c r="AM30" s="2">
        <f t="shared" si="3"/>
        <v>0</v>
      </c>
      <c r="AN30" s="2">
        <f t="shared" si="13"/>
        <v>1.2769999999999975</v>
      </c>
      <c r="AO30" s="2"/>
    </row>
    <row r="31" spans="1:41" x14ac:dyDescent="0.3">
      <c r="A31">
        <f t="shared" si="4"/>
        <v>0</v>
      </c>
      <c r="B31" s="2">
        <f t="shared" si="5"/>
        <v>15.784499999881518</v>
      </c>
      <c r="C31" s="2" t="e">
        <f t="shared" si="14"/>
        <v>#VALUE!</v>
      </c>
      <c r="D31" s="2">
        <f t="shared" si="6"/>
        <v>0.34174560000019483</v>
      </c>
      <c r="E31" s="2"/>
      <c r="F31">
        <v>3222.0170432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>
        <v>0</v>
      </c>
      <c r="O31">
        <v>0</v>
      </c>
      <c r="P31">
        <v>0</v>
      </c>
      <c r="Q31">
        <v>0</v>
      </c>
      <c r="R31">
        <v>-0.124998825073242</v>
      </c>
      <c r="S31">
        <v>7.06528549194336E-2</v>
      </c>
      <c r="T31">
        <v>0</v>
      </c>
      <c r="U31">
        <v>161.113</v>
      </c>
      <c r="V31">
        <v>0.318</v>
      </c>
      <c r="W31">
        <v>1.0880000000000001</v>
      </c>
      <c r="X31">
        <v>0.71099999999999997</v>
      </c>
      <c r="Y31" t="b">
        <v>1</v>
      </c>
      <c r="Z31" t="s">
        <v>49</v>
      </c>
      <c r="AA31" t="e">
        <f t="shared" si="7"/>
        <v>#VALUE!</v>
      </c>
      <c r="AB31">
        <f t="shared" si="1"/>
        <v>-12.4998825073242</v>
      </c>
      <c r="AC31">
        <f t="shared" si="8"/>
        <v>37.378850845072364</v>
      </c>
      <c r="AD31" t="e">
        <f t="shared" si="9"/>
        <v>#VALUE!</v>
      </c>
      <c r="AE31" t="e">
        <f t="shared" ca="1" si="10"/>
        <v>#VALUE!</v>
      </c>
      <c r="AG31" s="2">
        <f t="shared" si="11"/>
        <v>4.5740900000055262E-2</v>
      </c>
      <c r="AH31" s="2">
        <f t="shared" si="2"/>
        <v>0.79398609999998371</v>
      </c>
      <c r="AI31">
        <v>2910.7922619999999</v>
      </c>
      <c r="AJ31">
        <v>179.192074285714</v>
      </c>
      <c r="AK31">
        <v>27.991068571428499</v>
      </c>
      <c r="AL31" s="2">
        <f t="shared" si="12"/>
        <v>1.351285714285698</v>
      </c>
      <c r="AM31" s="2">
        <f t="shared" si="3"/>
        <v>0</v>
      </c>
      <c r="AN31" s="2">
        <f t="shared" si="13"/>
        <v>1.351285714285698</v>
      </c>
      <c r="AO31" s="2"/>
    </row>
    <row r="32" spans="1:41" x14ac:dyDescent="0.3">
      <c r="A32">
        <f t="shared" si="4"/>
        <v>0</v>
      </c>
      <c r="B32" s="2">
        <f t="shared" si="5"/>
        <v>15.778099999806727</v>
      </c>
      <c r="C32" s="2" t="e">
        <f t="shared" si="14"/>
        <v>#VALUE!</v>
      </c>
      <c r="D32" s="2">
        <f t="shared" si="6"/>
        <v>0.35752370000000155</v>
      </c>
      <c r="E32" s="2"/>
      <c r="F32">
        <v>3222.0328212999998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>
        <v>0</v>
      </c>
      <c r="O32">
        <v>0</v>
      </c>
      <c r="P32">
        <v>0</v>
      </c>
      <c r="Q32">
        <v>0</v>
      </c>
      <c r="R32">
        <v>-0.124998825073242</v>
      </c>
      <c r="S32">
        <v>7.06528549194336E-2</v>
      </c>
      <c r="T32">
        <v>0</v>
      </c>
      <c r="U32">
        <v>161.113</v>
      </c>
      <c r="V32">
        <v>0.14699999999999999</v>
      </c>
      <c r="W32">
        <v>1.0880000000000001</v>
      </c>
      <c r="X32">
        <v>0.71099999999999997</v>
      </c>
      <c r="Y32" t="b">
        <v>1</v>
      </c>
      <c r="Z32" t="s">
        <v>49</v>
      </c>
      <c r="AA32" t="e">
        <f t="shared" si="7"/>
        <v>#VALUE!</v>
      </c>
      <c r="AB32">
        <f t="shared" si="1"/>
        <v>-12.4998825073242</v>
      </c>
      <c r="AC32">
        <f t="shared" si="8"/>
        <v>37.181626448885964</v>
      </c>
      <c r="AD32" t="e">
        <f t="shared" si="9"/>
        <v>#VALUE!</v>
      </c>
      <c r="AE32" t="e">
        <f t="shared" ca="1" si="10"/>
        <v>#VALUE!</v>
      </c>
      <c r="AG32" s="2">
        <f t="shared" si="11"/>
        <v>1.5611700000135897E-2</v>
      </c>
      <c r="AH32" s="2">
        <f t="shared" si="2"/>
        <v>0.80959780000011961</v>
      </c>
      <c r="AI32">
        <v>2910.8078737000001</v>
      </c>
      <c r="AJ32">
        <v>179.300177142857</v>
      </c>
      <c r="AK32">
        <v>28.081074285714202</v>
      </c>
      <c r="AL32" s="2">
        <f t="shared" si="12"/>
        <v>1.4412914285714002</v>
      </c>
      <c r="AM32" s="2">
        <f t="shared" si="3"/>
        <v>0</v>
      </c>
      <c r="AN32" s="2">
        <f t="shared" si="13"/>
        <v>1.4412914285714002</v>
      </c>
      <c r="AO32" s="2"/>
    </row>
    <row r="33" spans="1:41" x14ac:dyDescent="0.3">
      <c r="A33">
        <f t="shared" si="4"/>
        <v>0</v>
      </c>
      <c r="B33" s="2">
        <f t="shared" si="5"/>
        <v>15.499500000260014</v>
      </c>
      <c r="C33" s="2" t="e">
        <f t="shared" si="14"/>
        <v>#VALUE!</v>
      </c>
      <c r="D33" s="2">
        <f t="shared" si="6"/>
        <v>0.37302320000026157</v>
      </c>
      <c r="E33" s="2"/>
      <c r="F33">
        <v>3222.0483208000001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>
        <v>0</v>
      </c>
      <c r="O33">
        <v>0</v>
      </c>
      <c r="P33">
        <v>0</v>
      </c>
      <c r="Q33">
        <v>0</v>
      </c>
      <c r="R33">
        <v>-0.124998825073242</v>
      </c>
      <c r="S33">
        <v>7.06528549194336E-2</v>
      </c>
      <c r="T33">
        <v>0</v>
      </c>
      <c r="U33">
        <v>161.113</v>
      </c>
      <c r="V33">
        <v>0.14699999999999999</v>
      </c>
      <c r="W33">
        <v>1.0880000000000001</v>
      </c>
      <c r="X33">
        <v>0.71099999999999997</v>
      </c>
      <c r="Y33" t="b">
        <v>1</v>
      </c>
      <c r="Z33" t="s">
        <v>49</v>
      </c>
      <c r="AA33" t="e">
        <f t="shared" si="7"/>
        <v>#VALUE!</v>
      </c>
      <c r="AB33">
        <f t="shared" si="1"/>
        <v>-12.4998825073242</v>
      </c>
      <c r="AC33">
        <f t="shared" si="8"/>
        <v>36.987884519960446</v>
      </c>
      <c r="AD33" t="e">
        <f t="shared" si="9"/>
        <v>#VALUE!</v>
      </c>
      <c r="AE33" t="e">
        <f t="shared" ca="1" si="10"/>
        <v>#VALUE!</v>
      </c>
      <c r="AG33" s="2">
        <f t="shared" si="11"/>
        <v>3.0848200000036741E-2</v>
      </c>
      <c r="AH33" s="2">
        <f t="shared" si="2"/>
        <v>0.84044600000015635</v>
      </c>
      <c r="AI33">
        <v>2910.8387219000001</v>
      </c>
      <c r="AJ33">
        <v>179.44750285714201</v>
      </c>
      <c r="AK33">
        <v>28.060114285714199</v>
      </c>
      <c r="AL33" s="2">
        <f t="shared" si="12"/>
        <v>1.4203314285713979</v>
      </c>
      <c r="AM33" s="2">
        <f t="shared" si="3"/>
        <v>0</v>
      </c>
      <c r="AN33" s="2">
        <f t="shared" si="13"/>
        <v>1.4203314285713979</v>
      </c>
      <c r="AO33" s="2"/>
    </row>
    <row r="34" spans="1:41" x14ac:dyDescent="0.3">
      <c r="A34">
        <f t="shared" si="4"/>
        <v>0</v>
      </c>
      <c r="B34" s="2">
        <f t="shared" si="5"/>
        <v>15.684999999848515</v>
      </c>
      <c r="C34" s="2" t="e">
        <f t="shared" si="14"/>
        <v>#VALUE!</v>
      </c>
      <c r="D34" s="2">
        <f t="shared" si="6"/>
        <v>0.38870820000011008</v>
      </c>
      <c r="E34" s="2"/>
      <c r="F34">
        <v>3222.0640057999999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>
        <v>0</v>
      </c>
      <c r="O34">
        <v>0</v>
      </c>
      <c r="P34">
        <v>0</v>
      </c>
      <c r="Q34">
        <v>0</v>
      </c>
      <c r="R34">
        <v>-0.124998825073242</v>
      </c>
      <c r="S34">
        <v>7.06528549194336E-2</v>
      </c>
      <c r="T34">
        <v>0</v>
      </c>
      <c r="U34">
        <v>161.113</v>
      </c>
      <c r="V34">
        <v>0.14699999999999999</v>
      </c>
      <c r="W34">
        <v>1.0880000000000001</v>
      </c>
      <c r="X34">
        <v>0.71099999999999997</v>
      </c>
      <c r="Y34" t="b">
        <v>1</v>
      </c>
      <c r="Z34" t="s">
        <v>49</v>
      </c>
      <c r="AA34" t="e">
        <f t="shared" si="7"/>
        <v>#VALUE!</v>
      </c>
      <c r="AB34">
        <f t="shared" si="1"/>
        <v>-12.4998825073242</v>
      </c>
      <c r="AC34">
        <f t="shared" si="8"/>
        <v>36.79182386283496</v>
      </c>
      <c r="AD34" t="e">
        <f t="shared" si="9"/>
        <v>#VALUE!</v>
      </c>
      <c r="AE34" t="e">
        <f t="shared" ca="1" si="10"/>
        <v>#VALUE!</v>
      </c>
      <c r="AG34" s="2">
        <f t="shared" si="11"/>
        <v>3.1234699999913573E-2</v>
      </c>
      <c r="AH34" s="2">
        <f t="shared" si="2"/>
        <v>0.87168070000006992</v>
      </c>
      <c r="AI34">
        <v>2910.8699566</v>
      </c>
      <c r="AJ34">
        <v>179.640702857142</v>
      </c>
      <c r="AK34">
        <v>28.070594285714201</v>
      </c>
      <c r="AL34" s="2">
        <f t="shared" si="12"/>
        <v>1.4308114285713991</v>
      </c>
      <c r="AM34" s="2">
        <f t="shared" si="3"/>
        <v>0</v>
      </c>
      <c r="AN34" s="2">
        <f t="shared" si="13"/>
        <v>1.4308114285713991</v>
      </c>
      <c r="AO34" s="2"/>
    </row>
    <row r="35" spans="1:41" x14ac:dyDescent="0.3">
      <c r="A35">
        <f t="shared" si="4"/>
        <v>0</v>
      </c>
      <c r="B35" s="2">
        <f t="shared" si="5"/>
        <v>15.235000000302534</v>
      </c>
      <c r="C35" s="2" t="e">
        <f t="shared" si="14"/>
        <v>#VALUE!</v>
      </c>
      <c r="D35" s="2">
        <f t="shared" si="6"/>
        <v>0.40394320000041262</v>
      </c>
      <c r="E35" s="2"/>
      <c r="F35">
        <v>3222.0792408000002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>
        <v>0</v>
      </c>
      <c r="O35">
        <v>0</v>
      </c>
      <c r="P35">
        <v>0</v>
      </c>
      <c r="Q35">
        <v>0</v>
      </c>
      <c r="R35">
        <v>-0.126741149902343</v>
      </c>
      <c r="S35">
        <v>7.9314468383789E-2</v>
      </c>
      <c r="T35">
        <v>0</v>
      </c>
      <c r="U35">
        <v>160.96199999999999</v>
      </c>
      <c r="V35">
        <v>0.14699999999999999</v>
      </c>
      <c r="W35">
        <v>0.752</v>
      </c>
      <c r="X35">
        <v>0.71</v>
      </c>
      <c r="Y35" t="b">
        <v>1</v>
      </c>
      <c r="Z35" t="s">
        <v>49</v>
      </c>
      <c r="AA35" t="e">
        <f t="shared" si="7"/>
        <v>#VALUE!</v>
      </c>
      <c r="AB35">
        <f t="shared" si="1"/>
        <v>-12.674114990234301</v>
      </c>
      <c r="AC35">
        <f t="shared" si="8"/>
        <v>36.601388152832094</v>
      </c>
      <c r="AD35" t="e">
        <f t="shared" si="9"/>
        <v>#VALUE!</v>
      </c>
      <c r="AE35" t="e">
        <f t="shared" ca="1" si="10"/>
        <v>#VALUE!</v>
      </c>
      <c r="AG35" s="2">
        <f t="shared" si="11"/>
        <v>4.7367499999836582E-2</v>
      </c>
      <c r="AH35" s="2">
        <f t="shared" si="2"/>
        <v>0.9190481999999065</v>
      </c>
      <c r="AI35">
        <v>2910.9173240999999</v>
      </c>
      <c r="AJ35">
        <v>179.87818285714201</v>
      </c>
      <c r="AK35">
        <v>28.112514285714202</v>
      </c>
      <c r="AL35" s="2">
        <f t="shared" si="12"/>
        <v>1.4727314285714002</v>
      </c>
      <c r="AM35" s="2">
        <f t="shared" si="3"/>
        <v>0</v>
      </c>
      <c r="AN35" s="2">
        <f t="shared" si="13"/>
        <v>1.4727314285714002</v>
      </c>
      <c r="AO35" s="2"/>
    </row>
    <row r="36" spans="1:41" x14ac:dyDescent="0.3">
      <c r="A36">
        <f t="shared" si="4"/>
        <v>0</v>
      </c>
      <c r="B36" s="2">
        <f t="shared" si="5"/>
        <v>15.848399999867979</v>
      </c>
      <c r="C36" s="2" t="e">
        <f t="shared" si="14"/>
        <v>#VALUE!</v>
      </c>
      <c r="D36" s="2">
        <f t="shared" si="6"/>
        <v>0.4197916000002806</v>
      </c>
      <c r="E36" s="2"/>
      <c r="F36">
        <v>3222.0950892000001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>
        <v>0</v>
      </c>
      <c r="O36">
        <v>0</v>
      </c>
      <c r="P36">
        <v>0</v>
      </c>
      <c r="Q36">
        <v>0</v>
      </c>
      <c r="R36">
        <v>-0.126741149902343</v>
      </c>
      <c r="S36">
        <v>7.9314468383789E-2</v>
      </c>
      <c r="T36">
        <v>0</v>
      </c>
      <c r="U36">
        <v>160.96199999999999</v>
      </c>
      <c r="V36">
        <v>0.46899999999999997</v>
      </c>
      <c r="W36">
        <v>0.752</v>
      </c>
      <c r="X36">
        <v>0.71</v>
      </c>
      <c r="Y36" t="b">
        <v>1</v>
      </c>
      <c r="Z36" t="s">
        <v>49</v>
      </c>
      <c r="AA36" t="e">
        <f t="shared" si="7"/>
        <v>#VALUE!</v>
      </c>
      <c r="AB36">
        <f t="shared" si="1"/>
        <v>-12.674114990234301</v>
      </c>
      <c r="AC36">
        <f t="shared" si="8"/>
        <v>36.40052370882254</v>
      </c>
      <c r="AD36" t="e">
        <f t="shared" si="9"/>
        <v>#VALUE!</v>
      </c>
      <c r="AE36" t="e">
        <f t="shared" ca="1" si="10"/>
        <v>#VALUE!</v>
      </c>
      <c r="AG36" s="2">
        <f t="shared" si="11"/>
        <v>3.1182000000171683E-2</v>
      </c>
      <c r="AH36" s="2">
        <f t="shared" si="2"/>
        <v>0.95023020000007818</v>
      </c>
      <c r="AI36">
        <v>2910.9485061</v>
      </c>
      <c r="AJ36">
        <v>180.164862857142</v>
      </c>
      <c r="AK36">
        <v>28.180634285714198</v>
      </c>
      <c r="AL36" s="2">
        <f t="shared" si="12"/>
        <v>1.540851428571397</v>
      </c>
      <c r="AM36" s="2">
        <f t="shared" si="3"/>
        <v>0</v>
      </c>
      <c r="AN36" s="2">
        <f t="shared" si="13"/>
        <v>1.540851428571397</v>
      </c>
      <c r="AO36" s="2"/>
    </row>
    <row r="37" spans="1:41" x14ac:dyDescent="0.3">
      <c r="A37">
        <f t="shared" si="4"/>
        <v>0</v>
      </c>
      <c r="B37" s="2">
        <f t="shared" si="5"/>
        <v>15.965499999765598</v>
      </c>
      <c r="C37" s="2" t="e">
        <f t="shared" si="14"/>
        <v>#VALUE!</v>
      </c>
      <c r="D37" s="2">
        <f t="shared" si="6"/>
        <v>0.43575710000004619</v>
      </c>
      <c r="E37" s="2"/>
      <c r="F37">
        <v>3222.1110546999998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>
        <v>0</v>
      </c>
      <c r="O37">
        <v>0</v>
      </c>
      <c r="P37">
        <v>0</v>
      </c>
      <c r="Q37">
        <v>0</v>
      </c>
      <c r="R37">
        <v>-0.126741149902343</v>
      </c>
      <c r="S37">
        <v>7.9314468383789E-2</v>
      </c>
      <c r="T37">
        <v>0</v>
      </c>
      <c r="U37">
        <v>160.96199999999999</v>
      </c>
      <c r="V37">
        <v>0.46899999999999997</v>
      </c>
      <c r="W37">
        <v>0.752</v>
      </c>
      <c r="X37">
        <v>0.71</v>
      </c>
      <c r="Y37" t="b">
        <v>1</v>
      </c>
      <c r="Z37" t="s">
        <v>49</v>
      </c>
      <c r="AA37" t="e">
        <f t="shared" si="7"/>
        <v>#VALUE!</v>
      </c>
      <c r="AB37">
        <f t="shared" si="1"/>
        <v>-12.674114990234301</v>
      </c>
      <c r="AC37">
        <f t="shared" si="8"/>
        <v>36.198175125948922</v>
      </c>
      <c r="AD37" t="e">
        <f t="shared" si="9"/>
        <v>#VALUE!</v>
      </c>
      <c r="AE37" t="e">
        <f t="shared" ca="1" si="10"/>
        <v>#VALUE!</v>
      </c>
      <c r="AG37" s="2">
        <f t="shared" si="11"/>
        <v>3.0733499999769265E-2</v>
      </c>
      <c r="AH37" s="2">
        <f t="shared" si="2"/>
        <v>0.98096369999984745</v>
      </c>
      <c r="AI37">
        <v>2910.9792395999998</v>
      </c>
      <c r="AJ37">
        <v>180.48742285714201</v>
      </c>
      <c r="AK37">
        <v>28.1131142857142</v>
      </c>
      <c r="AL37" s="2">
        <f t="shared" si="12"/>
        <v>1.4733314285713988</v>
      </c>
      <c r="AM37" s="2">
        <f t="shared" si="3"/>
        <v>0</v>
      </c>
      <c r="AN37" s="2">
        <f t="shared" si="13"/>
        <v>1.4733314285713988</v>
      </c>
      <c r="AO37" s="2"/>
    </row>
    <row r="38" spans="1:41" x14ac:dyDescent="0.3">
      <c r="A38">
        <f t="shared" si="4"/>
        <v>0</v>
      </c>
      <c r="B38" s="2">
        <f t="shared" si="5"/>
        <v>15.73690000032002</v>
      </c>
      <c r="C38" s="2" t="e">
        <f t="shared" si="14"/>
        <v>#VALUE!</v>
      </c>
      <c r="D38" s="2">
        <f t="shared" si="6"/>
        <v>0.45149400000036621</v>
      </c>
      <c r="E38" s="2"/>
      <c r="F38">
        <v>3222.1267916000002</v>
      </c>
      <c r="G38" t="s">
        <v>37</v>
      </c>
      <c r="H38" t="s">
        <v>37</v>
      </c>
      <c r="I38" t="s">
        <v>37</v>
      </c>
      <c r="J38" t="s">
        <v>37</v>
      </c>
      <c r="K38" t="s">
        <v>37</v>
      </c>
      <c r="L38" t="s">
        <v>37</v>
      </c>
      <c r="M38" t="s">
        <v>37</v>
      </c>
      <c r="N38">
        <v>0</v>
      </c>
      <c r="O38">
        <v>0</v>
      </c>
      <c r="P38">
        <v>0</v>
      </c>
      <c r="Q38">
        <v>0</v>
      </c>
      <c r="R38">
        <v>-0.126741149902343</v>
      </c>
      <c r="S38">
        <v>7.9314468383789E-2</v>
      </c>
      <c r="T38">
        <v>0</v>
      </c>
      <c r="U38">
        <v>160.96199999999999</v>
      </c>
      <c r="V38">
        <v>0.46899999999999997</v>
      </c>
      <c r="W38">
        <v>0.752</v>
      </c>
      <c r="X38">
        <v>0.71</v>
      </c>
      <c r="Y38" t="b">
        <v>1</v>
      </c>
      <c r="Z38" t="s">
        <v>49</v>
      </c>
      <c r="AA38" t="e">
        <f t="shared" si="7"/>
        <v>#VALUE!</v>
      </c>
      <c r="AB38">
        <f t="shared" si="1"/>
        <v>-12.674114990234301</v>
      </c>
      <c r="AC38">
        <f t="shared" si="8"/>
        <v>35.998723845755045</v>
      </c>
      <c r="AD38" t="e">
        <f t="shared" si="9"/>
        <v>#VALUE!</v>
      </c>
      <c r="AE38" t="e">
        <f t="shared" ca="1" si="10"/>
        <v>#VALUE!</v>
      </c>
      <c r="AG38" s="2">
        <f t="shared" si="11"/>
        <v>4.6512100000200007E-2</v>
      </c>
      <c r="AH38" s="2">
        <f t="shared" si="2"/>
        <v>1.0274758000000475</v>
      </c>
      <c r="AI38">
        <v>2911.0257517</v>
      </c>
      <c r="AJ38">
        <v>180.869022857142</v>
      </c>
      <c r="AK38">
        <v>28.066554285714201</v>
      </c>
      <c r="AL38" s="2">
        <f t="shared" si="12"/>
        <v>1.4267714285713993</v>
      </c>
      <c r="AM38" s="2">
        <f t="shared" si="3"/>
        <v>0</v>
      </c>
      <c r="AN38" s="2">
        <f t="shared" si="13"/>
        <v>1.4267714285713993</v>
      </c>
      <c r="AO38" s="2"/>
    </row>
    <row r="39" spans="1:41" x14ac:dyDescent="0.3">
      <c r="A39">
        <f t="shared" si="4"/>
        <v>0</v>
      </c>
      <c r="B39" s="2">
        <f t="shared" si="5"/>
        <v>15.502599999763333</v>
      </c>
      <c r="C39" s="2" t="e">
        <f t="shared" si="14"/>
        <v>#VALUE!</v>
      </c>
      <c r="D39" s="2">
        <f t="shared" si="6"/>
        <v>0.46699660000012955</v>
      </c>
      <c r="E39" s="2"/>
      <c r="F39">
        <v>3222.1422941999999</v>
      </c>
      <c r="G39" t="s">
        <v>37</v>
      </c>
      <c r="H39" t="s">
        <v>37</v>
      </c>
      <c r="I39" t="s">
        <v>37</v>
      </c>
      <c r="J39" t="s">
        <v>37</v>
      </c>
      <c r="K39" t="s">
        <v>37</v>
      </c>
      <c r="L39" t="s">
        <v>37</v>
      </c>
      <c r="M39" t="s">
        <v>37</v>
      </c>
      <c r="N39">
        <v>0</v>
      </c>
      <c r="O39">
        <v>0</v>
      </c>
      <c r="P39">
        <v>0</v>
      </c>
      <c r="Q39">
        <v>0</v>
      </c>
      <c r="R39">
        <v>-0.126741149902343</v>
      </c>
      <c r="S39">
        <v>7.9314468383789E-2</v>
      </c>
      <c r="T39">
        <v>0</v>
      </c>
      <c r="U39">
        <v>160.96199999999999</v>
      </c>
      <c r="V39">
        <v>0.46899999999999997</v>
      </c>
      <c r="W39">
        <v>0.752</v>
      </c>
      <c r="X39">
        <v>0.71</v>
      </c>
      <c r="Y39" t="b">
        <v>1</v>
      </c>
      <c r="Z39" t="s">
        <v>49</v>
      </c>
      <c r="AA39" t="e">
        <f t="shared" si="7"/>
        <v>#VALUE!</v>
      </c>
      <c r="AB39">
        <f t="shared" si="1"/>
        <v>-12.674114990234301</v>
      </c>
      <c r="AC39">
        <f t="shared" si="8"/>
        <v>35.802242110710438</v>
      </c>
      <c r="AD39" t="e">
        <f t="shared" si="9"/>
        <v>#VALUE!</v>
      </c>
      <c r="AE39" t="e">
        <f t="shared" ca="1" si="10"/>
        <v>#VALUE!</v>
      </c>
      <c r="AG39" s="2">
        <f t="shared" si="11"/>
        <v>1.590200000009645E-2</v>
      </c>
      <c r="AH39" s="2">
        <f t="shared" ref="AH39:AH70" si="15">AI39-$AI$7</f>
        <v>1.0433778000001439</v>
      </c>
      <c r="AI39">
        <v>2911.0416537000001</v>
      </c>
      <c r="AJ39">
        <v>181.299685714285</v>
      </c>
      <c r="AK39">
        <v>27.932839999999999</v>
      </c>
      <c r="AL39" s="2">
        <f t="shared" si="12"/>
        <v>1.2930571428571973</v>
      </c>
      <c r="AM39" s="2">
        <f t="shared" si="3"/>
        <v>0</v>
      </c>
      <c r="AN39" s="2">
        <f t="shared" si="13"/>
        <v>1.2930571428571973</v>
      </c>
      <c r="AO39" s="2"/>
    </row>
    <row r="40" spans="1:41" x14ac:dyDescent="0.3">
      <c r="A40">
        <f t="shared" si="4"/>
        <v>0</v>
      </c>
      <c r="B40" s="2">
        <f t="shared" si="5"/>
        <v>16.023900000163849</v>
      </c>
      <c r="C40" s="2" t="e">
        <f t="shared" si="14"/>
        <v>#VALUE!</v>
      </c>
      <c r="D40" s="2">
        <f t="shared" si="6"/>
        <v>0.4830205000002934</v>
      </c>
      <c r="E40" s="2"/>
      <c r="F40">
        <v>3222.1583181000001</v>
      </c>
      <c r="G40" t="s">
        <v>37</v>
      </c>
      <c r="H40" t="s">
        <v>37</v>
      </c>
      <c r="I40" t="s">
        <v>37</v>
      </c>
      <c r="J40" t="s">
        <v>37</v>
      </c>
      <c r="K40" t="s">
        <v>37</v>
      </c>
      <c r="L40" t="s">
        <v>37</v>
      </c>
      <c r="M40" t="s">
        <v>37</v>
      </c>
      <c r="N40">
        <v>0</v>
      </c>
      <c r="O40">
        <v>0</v>
      </c>
      <c r="P40">
        <v>0</v>
      </c>
      <c r="Q40">
        <v>0</v>
      </c>
      <c r="R40">
        <v>-0.12982263183593701</v>
      </c>
      <c r="S40">
        <v>9.2769683837890596E-2</v>
      </c>
      <c r="T40">
        <v>0</v>
      </c>
      <c r="U40">
        <v>160.94999999999999</v>
      </c>
      <c r="V40">
        <v>0.64</v>
      </c>
      <c r="W40">
        <v>0.151</v>
      </c>
      <c r="X40">
        <v>0.70799999999999996</v>
      </c>
      <c r="Y40" t="b">
        <v>1</v>
      </c>
      <c r="Z40" t="s">
        <v>49</v>
      </c>
      <c r="AA40" t="e">
        <f t="shared" si="7"/>
        <v>#VALUE!</v>
      </c>
      <c r="AB40">
        <f t="shared" si="1"/>
        <v>-12.982263183593702</v>
      </c>
      <c r="AC40">
        <f t="shared" si="8"/>
        <v>35.599153359516343</v>
      </c>
      <c r="AD40" t="e">
        <f t="shared" si="9"/>
        <v>#VALUE!</v>
      </c>
      <c r="AE40" t="e">
        <f t="shared" ca="1" si="10"/>
        <v>#VALUE!</v>
      </c>
      <c r="AG40" s="2">
        <f t="shared" ref="AG40:AG71" si="16">AI40-AI39</f>
        <v>3.0741099999886501E-2</v>
      </c>
      <c r="AH40" s="2">
        <f t="shared" si="15"/>
        <v>1.0741189000000304</v>
      </c>
      <c r="AI40">
        <v>2911.0723948</v>
      </c>
      <c r="AJ40">
        <v>181.774628571428</v>
      </c>
      <c r="AK40">
        <v>27.809605714285698</v>
      </c>
      <c r="AL40" s="2">
        <f t="shared" si="12"/>
        <v>1.169822857142897</v>
      </c>
      <c r="AM40" s="2">
        <f t="shared" si="3"/>
        <v>0</v>
      </c>
      <c r="AN40" s="2">
        <f t="shared" si="13"/>
        <v>1.169822857142897</v>
      </c>
      <c r="AO40" s="2"/>
    </row>
    <row r="41" spans="1:41" x14ac:dyDescent="0.3">
      <c r="A41">
        <f t="shared" si="4"/>
        <v>0</v>
      </c>
      <c r="B41" s="2">
        <f t="shared" si="5"/>
        <v>15.434200000072451</v>
      </c>
      <c r="C41" s="2" t="e">
        <f t="shared" si="14"/>
        <v>#VALUE!</v>
      </c>
      <c r="D41" s="2">
        <f t="shared" si="6"/>
        <v>0.49845470000036585</v>
      </c>
      <c r="E41" s="2"/>
      <c r="F41">
        <v>3222.1737523000002</v>
      </c>
      <c r="G41" t="s">
        <v>37</v>
      </c>
      <c r="H41" t="s">
        <v>37</v>
      </c>
      <c r="I41" t="s">
        <v>37</v>
      </c>
      <c r="J41" t="s">
        <v>37</v>
      </c>
      <c r="K41" t="s">
        <v>37</v>
      </c>
      <c r="L41" t="s">
        <v>37</v>
      </c>
      <c r="M41" t="s">
        <v>37</v>
      </c>
      <c r="N41">
        <v>0</v>
      </c>
      <c r="O41">
        <v>0</v>
      </c>
      <c r="P41">
        <v>0</v>
      </c>
      <c r="Q41">
        <v>0</v>
      </c>
      <c r="R41">
        <v>-0.12982263183593701</v>
      </c>
      <c r="S41">
        <v>9.2769683837890596E-2</v>
      </c>
      <c r="T41">
        <v>0</v>
      </c>
      <c r="U41">
        <v>160.94999999999999</v>
      </c>
      <c r="V41">
        <v>0.64</v>
      </c>
      <c r="W41">
        <v>0.151</v>
      </c>
      <c r="X41">
        <v>0.70799999999999996</v>
      </c>
      <c r="Y41" t="b">
        <v>1</v>
      </c>
      <c r="Z41" t="s">
        <v>49</v>
      </c>
      <c r="AA41" t="e">
        <f t="shared" si="7"/>
        <v>#VALUE!</v>
      </c>
      <c r="AB41">
        <f t="shared" si="1"/>
        <v>-12.982263183593702</v>
      </c>
      <c r="AC41">
        <f t="shared" si="8"/>
        <v>35.398782513087184</v>
      </c>
      <c r="AD41" t="e">
        <f t="shared" si="9"/>
        <v>#VALUE!</v>
      </c>
      <c r="AE41" t="e">
        <f t="shared" ca="1" si="10"/>
        <v>#VALUE!</v>
      </c>
      <c r="AG41" s="2">
        <f t="shared" si="16"/>
        <v>3.093669999998383E-2</v>
      </c>
      <c r="AH41" s="2">
        <f t="shared" si="15"/>
        <v>1.1050556000000142</v>
      </c>
      <c r="AI41">
        <v>2911.1033315</v>
      </c>
      <c r="AJ41">
        <v>182.280548571428</v>
      </c>
      <c r="AK41">
        <v>27.815445714285701</v>
      </c>
      <c r="AL41" s="2">
        <f t="shared" si="12"/>
        <v>1.1756628571428998</v>
      </c>
      <c r="AM41" s="2">
        <f t="shared" si="3"/>
        <v>0</v>
      </c>
      <c r="AN41" s="2">
        <f t="shared" si="13"/>
        <v>1.1756628571428998</v>
      </c>
      <c r="AO41" s="2"/>
    </row>
    <row r="42" spans="1:41" x14ac:dyDescent="0.3">
      <c r="A42">
        <f t="shared" si="4"/>
        <v>0</v>
      </c>
      <c r="B42" s="2">
        <f t="shared" si="5"/>
        <v>15.659899999718618</v>
      </c>
      <c r="C42" s="2" t="e">
        <f t="shared" si="14"/>
        <v>#VALUE!</v>
      </c>
      <c r="D42" s="2">
        <f t="shared" si="6"/>
        <v>0.51411460000008447</v>
      </c>
      <c r="E42" s="2"/>
      <c r="F42">
        <v>3222.1894121999999</v>
      </c>
      <c r="G42" t="s">
        <v>37</v>
      </c>
      <c r="H42" t="s">
        <v>37</v>
      </c>
      <c r="I42" t="s">
        <v>37</v>
      </c>
      <c r="J42" t="s">
        <v>37</v>
      </c>
      <c r="K42" t="s">
        <v>37</v>
      </c>
      <c r="L42" t="s">
        <v>37</v>
      </c>
      <c r="M42" t="s">
        <v>37</v>
      </c>
      <c r="N42">
        <v>0</v>
      </c>
      <c r="O42">
        <v>0</v>
      </c>
      <c r="P42">
        <v>0</v>
      </c>
      <c r="Q42">
        <v>0</v>
      </c>
      <c r="R42">
        <v>-0.12982263183593701</v>
      </c>
      <c r="S42">
        <v>9.2769683837890596E-2</v>
      </c>
      <c r="T42">
        <v>0</v>
      </c>
      <c r="U42">
        <v>160.94999999999999</v>
      </c>
      <c r="V42">
        <v>0.64</v>
      </c>
      <c r="W42">
        <v>0.151</v>
      </c>
      <c r="X42">
        <v>0.70799999999999996</v>
      </c>
      <c r="Y42" t="b">
        <v>1</v>
      </c>
      <c r="Z42" t="s">
        <v>49</v>
      </c>
      <c r="AA42" t="e">
        <f t="shared" si="7"/>
        <v>#VALUE!</v>
      </c>
      <c r="AB42">
        <f t="shared" si="1"/>
        <v>-12.982263183593702</v>
      </c>
      <c r="AC42">
        <f t="shared" si="8"/>
        <v>35.195481569862075</v>
      </c>
      <c r="AD42" t="e">
        <f t="shared" si="9"/>
        <v>#VALUE!</v>
      </c>
      <c r="AE42" t="e">
        <f t="shared" ca="1" si="10"/>
        <v>#VALUE!</v>
      </c>
      <c r="AG42" s="2">
        <f t="shared" si="16"/>
        <v>4.5379000000139058E-2</v>
      </c>
      <c r="AH42" s="2">
        <f t="shared" si="15"/>
        <v>1.1504346000001533</v>
      </c>
      <c r="AI42">
        <v>2911.1487105000001</v>
      </c>
      <c r="AJ42">
        <v>182.796308571428</v>
      </c>
      <c r="AK42">
        <v>27.8160457142857</v>
      </c>
      <c r="AL42" s="2">
        <f t="shared" si="12"/>
        <v>1.1762628571428984</v>
      </c>
      <c r="AM42" s="2">
        <f t="shared" si="3"/>
        <v>0</v>
      </c>
      <c r="AN42" s="2">
        <f t="shared" si="13"/>
        <v>1.1762628571428984</v>
      </c>
      <c r="AO42" s="2"/>
    </row>
    <row r="43" spans="1:41" x14ac:dyDescent="0.3">
      <c r="A43">
        <f t="shared" si="4"/>
        <v>0</v>
      </c>
      <c r="B43" s="2">
        <f t="shared" si="5"/>
        <v>15.466300000298361</v>
      </c>
      <c r="C43" s="2" t="e">
        <f t="shared" si="14"/>
        <v>#VALUE!</v>
      </c>
      <c r="D43" s="2">
        <f t="shared" si="6"/>
        <v>0.52958090000038283</v>
      </c>
      <c r="E43" s="2"/>
      <c r="F43">
        <v>3222.2048785000002</v>
      </c>
      <c r="G43" t="s">
        <v>37</v>
      </c>
      <c r="H43" t="s">
        <v>37</v>
      </c>
      <c r="I43" t="s">
        <v>37</v>
      </c>
      <c r="J43" t="s">
        <v>37</v>
      </c>
      <c r="K43" t="s">
        <v>37</v>
      </c>
      <c r="L43" t="s">
        <v>37</v>
      </c>
      <c r="M43" t="s">
        <v>37</v>
      </c>
      <c r="N43">
        <v>0</v>
      </c>
      <c r="O43">
        <v>0</v>
      </c>
      <c r="P43">
        <v>0</v>
      </c>
      <c r="Q43">
        <v>0</v>
      </c>
      <c r="R43">
        <v>-0.12982263183593701</v>
      </c>
      <c r="S43">
        <v>9.2769683837890596E-2</v>
      </c>
      <c r="T43">
        <v>0</v>
      </c>
      <c r="U43">
        <v>160.94999999999999</v>
      </c>
      <c r="V43">
        <v>0.64</v>
      </c>
      <c r="W43">
        <v>0.151</v>
      </c>
      <c r="X43">
        <v>0.70799999999999996</v>
      </c>
      <c r="Y43" t="b">
        <v>1</v>
      </c>
      <c r="Z43" t="s">
        <v>49</v>
      </c>
      <c r="AA43" t="e">
        <f t="shared" si="7"/>
        <v>#VALUE!</v>
      </c>
      <c r="AB43">
        <f t="shared" si="1"/>
        <v>-12.982263183593702</v>
      </c>
      <c r="AC43">
        <f t="shared" si="8"/>
        <v>34.994693992781784</v>
      </c>
      <c r="AD43" t="e">
        <f t="shared" si="9"/>
        <v>#VALUE!</v>
      </c>
      <c r="AE43" t="e">
        <f t="shared" ca="1" si="10"/>
        <v>#VALUE!</v>
      </c>
      <c r="AG43" s="2">
        <f t="shared" si="16"/>
        <v>3.131039999971108E-2</v>
      </c>
      <c r="AH43" s="2">
        <f t="shared" si="15"/>
        <v>1.1817449999998644</v>
      </c>
      <c r="AI43">
        <v>2911.1800208999998</v>
      </c>
      <c r="AJ43">
        <v>183.316988571428</v>
      </c>
      <c r="AK43">
        <v>27.7956857142857</v>
      </c>
      <c r="AL43" s="2">
        <f t="shared" si="12"/>
        <v>1.1559028571428982</v>
      </c>
      <c r="AM43" s="2">
        <f t="shared" si="3"/>
        <v>0</v>
      </c>
      <c r="AN43" s="2">
        <f t="shared" si="13"/>
        <v>1.1559028571428982</v>
      </c>
      <c r="AO43" s="2"/>
    </row>
    <row r="44" spans="1:41" x14ac:dyDescent="0.3">
      <c r="A44">
        <f t="shared" si="4"/>
        <v>0</v>
      </c>
      <c r="B44" s="2">
        <f t="shared" si="5"/>
        <v>15.13859999977285</v>
      </c>
      <c r="C44" s="2" t="e">
        <f t="shared" si="14"/>
        <v>#VALUE!</v>
      </c>
      <c r="D44" s="2">
        <f t="shared" si="6"/>
        <v>0.54471950000015568</v>
      </c>
      <c r="E44" s="2"/>
      <c r="F44">
        <v>3222.2200171</v>
      </c>
      <c r="G44" t="s">
        <v>37</v>
      </c>
      <c r="H44" t="s">
        <v>37</v>
      </c>
      <c r="I44" t="s">
        <v>37</v>
      </c>
      <c r="J44" t="s">
        <v>37</v>
      </c>
      <c r="K44" t="s">
        <v>37</v>
      </c>
      <c r="L44" t="s">
        <v>37</v>
      </c>
      <c r="M44" t="s">
        <v>37</v>
      </c>
      <c r="N44">
        <v>0</v>
      </c>
      <c r="O44">
        <v>0</v>
      </c>
      <c r="P44">
        <v>0</v>
      </c>
      <c r="Q44">
        <v>0</v>
      </c>
      <c r="R44">
        <v>-0.15519564819335899</v>
      </c>
      <c r="S44">
        <v>8.7004409790038997E-2</v>
      </c>
      <c r="T44">
        <v>0</v>
      </c>
      <c r="U44">
        <v>160.875</v>
      </c>
      <c r="V44">
        <v>0.69799999999999995</v>
      </c>
      <c r="W44">
        <v>-0.51400000000000001</v>
      </c>
      <c r="X44">
        <v>0.70899999999999996</v>
      </c>
      <c r="Y44" t="b">
        <v>1</v>
      </c>
      <c r="Z44" t="s">
        <v>49</v>
      </c>
      <c r="AA44" t="e">
        <f t="shared" si="7"/>
        <v>#VALUE!</v>
      </c>
      <c r="AB44">
        <f t="shared" si="1"/>
        <v>-15.519564819335899</v>
      </c>
      <c r="AC44">
        <f t="shared" si="8"/>
        <v>34.798160703353581</v>
      </c>
      <c r="AD44" t="e">
        <f t="shared" si="9"/>
        <v>#VALUE!</v>
      </c>
      <c r="AE44" t="e">
        <f t="shared" ca="1" si="10"/>
        <v>#VALUE!</v>
      </c>
      <c r="AG44" s="2">
        <f t="shared" si="16"/>
        <v>3.1576500000028318E-2</v>
      </c>
      <c r="AH44" s="2">
        <f t="shared" si="15"/>
        <v>1.2133214999998927</v>
      </c>
      <c r="AI44">
        <v>2911.2115973999998</v>
      </c>
      <c r="AJ44">
        <v>183.84750857142799</v>
      </c>
      <c r="AK44">
        <v>27.759605714285701</v>
      </c>
      <c r="AL44" s="2">
        <f t="shared" si="12"/>
        <v>1.1198228571428999</v>
      </c>
      <c r="AM44" s="2">
        <f t="shared" si="3"/>
        <v>0</v>
      </c>
      <c r="AN44" s="2">
        <f t="shared" si="13"/>
        <v>1.1198228571428999</v>
      </c>
      <c r="AO44" s="2"/>
    </row>
    <row r="45" spans="1:41" x14ac:dyDescent="0.3">
      <c r="A45">
        <f t="shared" si="4"/>
        <v>0</v>
      </c>
      <c r="B45" s="2">
        <f t="shared" si="5"/>
        <v>15.228400000069087</v>
      </c>
      <c r="C45" s="2" t="e">
        <f t="shared" si="14"/>
        <v>#VALUE!</v>
      </c>
      <c r="D45" s="2">
        <f t="shared" si="6"/>
        <v>0.55994790000022476</v>
      </c>
      <c r="E45" s="2"/>
      <c r="F45">
        <v>3222.2352455</v>
      </c>
      <c r="G45" t="s">
        <v>37</v>
      </c>
      <c r="H45" t="s">
        <v>37</v>
      </c>
      <c r="I45" t="s">
        <v>37</v>
      </c>
      <c r="J45" t="s">
        <v>37</v>
      </c>
      <c r="K45" t="s">
        <v>37</v>
      </c>
      <c r="L45" t="s">
        <v>37</v>
      </c>
      <c r="M45" t="s">
        <v>37</v>
      </c>
      <c r="N45">
        <v>0</v>
      </c>
      <c r="O45">
        <v>0</v>
      </c>
      <c r="P45">
        <v>0</v>
      </c>
      <c r="Q45">
        <v>0</v>
      </c>
      <c r="R45">
        <v>-0.15519564819335899</v>
      </c>
      <c r="S45">
        <v>8.7004409790038997E-2</v>
      </c>
      <c r="T45">
        <v>0</v>
      </c>
      <c r="U45">
        <v>160.875</v>
      </c>
      <c r="V45">
        <v>0.69799999999999995</v>
      </c>
      <c r="W45">
        <v>-0.51400000000000001</v>
      </c>
      <c r="X45">
        <v>0.70899999999999996</v>
      </c>
      <c r="Y45" t="b">
        <v>1</v>
      </c>
      <c r="Z45" t="s">
        <v>49</v>
      </c>
      <c r="AA45" t="e">
        <f t="shared" si="7"/>
        <v>#VALUE!</v>
      </c>
      <c r="AB45">
        <f t="shared" si="1"/>
        <v>-15.519564819335899</v>
      </c>
      <c r="AC45">
        <f t="shared" si="8"/>
        <v>34.561822562457735</v>
      </c>
      <c r="AD45" t="e">
        <f t="shared" si="9"/>
        <v>#VALUE!</v>
      </c>
      <c r="AE45" t="e">
        <f t="shared" ca="1" si="10"/>
        <v>#VALUE!</v>
      </c>
      <c r="AG45" s="2">
        <f t="shared" si="16"/>
        <v>3.0636299999969197E-2</v>
      </c>
      <c r="AH45" s="2">
        <f t="shared" si="15"/>
        <v>1.2439577999998619</v>
      </c>
      <c r="AI45">
        <v>2911.2422336999998</v>
      </c>
      <c r="AJ45">
        <v>184.38294857142799</v>
      </c>
      <c r="AK45">
        <v>27.6973257142857</v>
      </c>
      <c r="AL45" s="2">
        <f t="shared" si="12"/>
        <v>1.0575428571428986</v>
      </c>
      <c r="AM45" s="2">
        <f t="shared" si="3"/>
        <v>0</v>
      </c>
      <c r="AN45" s="2">
        <f t="shared" si="13"/>
        <v>1.0575428571428986</v>
      </c>
      <c r="AO45" s="2"/>
    </row>
    <row r="46" spans="1:41" x14ac:dyDescent="0.3">
      <c r="A46">
        <f t="shared" si="4"/>
        <v>0</v>
      </c>
      <c r="B46" s="2">
        <f t="shared" si="5"/>
        <v>16.25770000009652</v>
      </c>
      <c r="C46" s="2" t="e">
        <f t="shared" si="14"/>
        <v>#VALUE!</v>
      </c>
      <c r="D46" s="2">
        <f t="shared" si="6"/>
        <v>0.57620560000032128</v>
      </c>
      <c r="E46" s="2"/>
      <c r="F46">
        <v>3222.2515032000001</v>
      </c>
      <c r="G46" t="s">
        <v>37</v>
      </c>
      <c r="H46" t="s">
        <v>37</v>
      </c>
      <c r="I46" t="s">
        <v>37</v>
      </c>
      <c r="J46" t="s">
        <v>37</v>
      </c>
      <c r="K46" t="s">
        <v>37</v>
      </c>
      <c r="L46" t="s">
        <v>37</v>
      </c>
      <c r="M46" t="s">
        <v>37</v>
      </c>
      <c r="N46">
        <v>0</v>
      </c>
      <c r="O46">
        <v>0</v>
      </c>
      <c r="P46">
        <v>0</v>
      </c>
      <c r="Q46">
        <v>0</v>
      </c>
      <c r="R46">
        <v>-0.15519564819335899</v>
      </c>
      <c r="S46">
        <v>8.7004409790038997E-2</v>
      </c>
      <c r="T46">
        <v>0</v>
      </c>
      <c r="U46">
        <v>160.875</v>
      </c>
      <c r="V46">
        <v>0.69799999999999995</v>
      </c>
      <c r="W46">
        <v>-0.51400000000000001</v>
      </c>
      <c r="X46">
        <v>0.70899999999999996</v>
      </c>
      <c r="Y46" t="b">
        <v>1</v>
      </c>
      <c r="Z46" t="s">
        <v>49</v>
      </c>
      <c r="AA46" t="e">
        <f t="shared" si="7"/>
        <v>#VALUE!</v>
      </c>
      <c r="AB46">
        <f t="shared" si="1"/>
        <v>-15.519564819335899</v>
      </c>
      <c r="AC46">
        <f t="shared" si="8"/>
        <v>34.309510133492921</v>
      </c>
      <c r="AD46" t="e">
        <f t="shared" si="9"/>
        <v>#VALUE!</v>
      </c>
      <c r="AE46" t="e">
        <f t="shared" ca="1" si="10"/>
        <v>#VALUE!</v>
      </c>
      <c r="AG46" s="2">
        <f t="shared" si="16"/>
        <v>3.1247900000380469E-2</v>
      </c>
      <c r="AH46" s="2">
        <f t="shared" si="15"/>
        <v>1.2752057000002424</v>
      </c>
      <c r="AI46">
        <v>2911.2734816000002</v>
      </c>
      <c r="AJ46">
        <v>184.93314857142801</v>
      </c>
      <c r="AK46">
        <v>27.619325714285701</v>
      </c>
      <c r="AL46" s="2">
        <f t="shared" si="12"/>
        <v>0.97954285714289924</v>
      </c>
      <c r="AM46" s="2">
        <f t="shared" si="3"/>
        <v>0</v>
      </c>
      <c r="AN46" s="2">
        <f t="shared" si="13"/>
        <v>0.97954285714289924</v>
      </c>
      <c r="AO46" s="2"/>
    </row>
    <row r="47" spans="1:41" x14ac:dyDescent="0.3">
      <c r="A47">
        <f t="shared" si="4"/>
        <v>0</v>
      </c>
      <c r="B47" s="2">
        <f t="shared" si="5"/>
        <v>14.632099999744241</v>
      </c>
      <c r="C47" s="2" t="e">
        <f t="shared" si="14"/>
        <v>#VALUE!</v>
      </c>
      <c r="D47" s="2">
        <f t="shared" si="6"/>
        <v>0.59083770000006552</v>
      </c>
      <c r="E47" s="2"/>
      <c r="F47">
        <v>3222.2661352999999</v>
      </c>
      <c r="G47" t="s">
        <v>37</v>
      </c>
      <c r="H47" t="s">
        <v>37</v>
      </c>
      <c r="I47" t="s">
        <v>37</v>
      </c>
      <c r="J47" t="s">
        <v>37</v>
      </c>
      <c r="K47" t="s">
        <v>37</v>
      </c>
      <c r="L47" t="s">
        <v>37</v>
      </c>
      <c r="M47" t="s">
        <v>37</v>
      </c>
      <c r="N47">
        <v>0</v>
      </c>
      <c r="O47">
        <v>0</v>
      </c>
      <c r="P47">
        <v>0</v>
      </c>
      <c r="Q47">
        <v>0</v>
      </c>
      <c r="R47">
        <v>-0.15519564819335899</v>
      </c>
      <c r="S47">
        <v>8.7004409790038997E-2</v>
      </c>
      <c r="T47">
        <v>0</v>
      </c>
      <c r="U47">
        <v>160.875</v>
      </c>
      <c r="V47">
        <v>0.69799999999999995</v>
      </c>
      <c r="W47">
        <v>-0.51400000000000001</v>
      </c>
      <c r="X47">
        <v>0.70899999999999996</v>
      </c>
      <c r="Y47" t="b">
        <v>1</v>
      </c>
      <c r="Z47" t="s">
        <v>49</v>
      </c>
      <c r="AA47" t="e">
        <f t="shared" si="7"/>
        <v>#VALUE!</v>
      </c>
      <c r="AB47">
        <f t="shared" si="1"/>
        <v>-15.519564819335899</v>
      </c>
      <c r="AC47">
        <f t="shared" si="8"/>
        <v>34.082426309103887</v>
      </c>
      <c r="AD47" t="e">
        <f t="shared" si="9"/>
        <v>#VALUE!</v>
      </c>
      <c r="AE47" t="e">
        <f t="shared" ca="1" si="10"/>
        <v>#VALUE!</v>
      </c>
      <c r="AG47" s="2">
        <f t="shared" si="16"/>
        <v>3.202309999960562E-2</v>
      </c>
      <c r="AH47" s="2">
        <f t="shared" si="15"/>
        <v>1.307228799999848</v>
      </c>
      <c r="AI47">
        <v>2911.3055046999998</v>
      </c>
      <c r="AJ47">
        <v>185.49318857142799</v>
      </c>
      <c r="AK47">
        <v>27.5308457142857</v>
      </c>
      <c r="AL47" s="2">
        <f t="shared" si="12"/>
        <v>0.89106285714289868</v>
      </c>
      <c r="AM47" s="2">
        <f t="shared" si="3"/>
        <v>6.4653915286677251E-3</v>
      </c>
      <c r="AN47" s="2">
        <f t="shared" si="13"/>
        <v>0.88459746561423092</v>
      </c>
      <c r="AO47" s="2"/>
    </row>
    <row r="48" spans="1:41" x14ac:dyDescent="0.3">
      <c r="A48">
        <f t="shared" si="4"/>
        <v>0</v>
      </c>
      <c r="B48" s="2">
        <f t="shared" si="5"/>
        <v>15.425999999933993</v>
      </c>
      <c r="C48" s="2" t="e">
        <f t="shared" si="14"/>
        <v>#VALUE!</v>
      </c>
      <c r="D48" s="2">
        <f t="shared" si="6"/>
        <v>0.60626369999999952</v>
      </c>
      <c r="E48" s="2"/>
      <c r="F48">
        <v>3222.2815612999998</v>
      </c>
      <c r="G48" t="s">
        <v>37</v>
      </c>
      <c r="H48" t="s">
        <v>37</v>
      </c>
      <c r="I48" t="s">
        <v>37</v>
      </c>
      <c r="J48" t="s">
        <v>37</v>
      </c>
      <c r="K48" t="s">
        <v>37</v>
      </c>
      <c r="L48" t="s">
        <v>37</v>
      </c>
      <c r="M48" t="s">
        <v>37</v>
      </c>
      <c r="N48">
        <v>0</v>
      </c>
      <c r="O48">
        <v>0</v>
      </c>
      <c r="P48">
        <v>0</v>
      </c>
      <c r="Q48">
        <v>0</v>
      </c>
      <c r="R48">
        <v>-0.124083267211914</v>
      </c>
      <c r="S48">
        <v>6.7002876281738205E-2</v>
      </c>
      <c r="T48">
        <v>0</v>
      </c>
      <c r="U48">
        <v>160.77699999999999</v>
      </c>
      <c r="V48">
        <v>0.83899999999999997</v>
      </c>
      <c r="W48">
        <v>-0.98299999999999998</v>
      </c>
      <c r="X48">
        <v>0.70299999999999996</v>
      </c>
      <c r="Y48" t="b">
        <v>1</v>
      </c>
      <c r="Z48" t="s">
        <v>49</v>
      </c>
      <c r="AA48" t="e">
        <f t="shared" si="7"/>
        <v>#VALUE!</v>
      </c>
      <c r="AB48">
        <f t="shared" si="1"/>
        <v>-12.408326721191401</v>
      </c>
      <c r="AC48">
        <f t="shared" si="8"/>
        <v>33.843021502201836</v>
      </c>
      <c r="AD48" t="e">
        <f t="shared" si="9"/>
        <v>#VALUE!</v>
      </c>
      <c r="AE48" t="e">
        <f t="shared" ca="1" si="10"/>
        <v>#VALUE!</v>
      </c>
      <c r="AG48" s="2">
        <f t="shared" si="16"/>
        <v>4.6701900000243768E-2</v>
      </c>
      <c r="AH48" s="2">
        <f t="shared" si="15"/>
        <v>1.3539307000000917</v>
      </c>
      <c r="AI48">
        <v>2911.3522066</v>
      </c>
      <c r="AJ48">
        <v>186.05322857142801</v>
      </c>
      <c r="AK48">
        <v>27.437125714285699</v>
      </c>
      <c r="AL48" s="2">
        <f t="shared" si="12"/>
        <v>0.79734285714289754</v>
      </c>
      <c r="AM48" s="2">
        <f t="shared" si="3"/>
        <v>7.1735473712489173E-2</v>
      </c>
      <c r="AN48" s="2">
        <f t="shared" si="13"/>
        <v>0.72560738343040843</v>
      </c>
      <c r="AO48" s="2"/>
    </row>
    <row r="49" spans="1:41" x14ac:dyDescent="0.3">
      <c r="A49">
        <f t="shared" si="4"/>
        <v>0</v>
      </c>
      <c r="B49" s="2">
        <f t="shared" si="5"/>
        <v>15.148700000281679</v>
      </c>
      <c r="C49" s="2" t="e">
        <f t="shared" si="14"/>
        <v>#VALUE!</v>
      </c>
      <c r="D49" s="2">
        <f t="shared" si="6"/>
        <v>0.6214124000002812</v>
      </c>
      <c r="E49" s="2"/>
      <c r="F49">
        <v>3222.2967100000001</v>
      </c>
      <c r="G49" t="s">
        <v>37</v>
      </c>
      <c r="H49" t="s">
        <v>37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>
        <v>0</v>
      </c>
      <c r="O49">
        <v>0</v>
      </c>
      <c r="P49">
        <v>0</v>
      </c>
      <c r="Q49">
        <v>0</v>
      </c>
      <c r="R49">
        <v>-0.124083267211914</v>
      </c>
      <c r="S49">
        <v>6.7002876281738205E-2</v>
      </c>
      <c r="T49">
        <v>0</v>
      </c>
      <c r="U49">
        <v>160.77699999999999</v>
      </c>
      <c r="V49">
        <v>0.83899999999999997</v>
      </c>
      <c r="W49">
        <v>-0.98299999999999998</v>
      </c>
      <c r="X49">
        <v>0.70299999999999996</v>
      </c>
      <c r="Y49" t="b">
        <v>1</v>
      </c>
      <c r="Z49" t="s">
        <v>49</v>
      </c>
      <c r="AA49" t="e">
        <f t="shared" si="7"/>
        <v>#VALUE!</v>
      </c>
      <c r="AB49">
        <f t="shared" si="1"/>
        <v>-12.408326721191401</v>
      </c>
      <c r="AC49">
        <f t="shared" si="8"/>
        <v>33.655051483197028</v>
      </c>
      <c r="AD49" t="e">
        <f t="shared" si="9"/>
        <v>#VALUE!</v>
      </c>
      <c r="AE49" t="e">
        <f t="shared" ca="1" si="10"/>
        <v>#VALUE!</v>
      </c>
      <c r="AG49" s="2">
        <f t="shared" si="16"/>
        <v>1.5648300000066229E-2</v>
      </c>
      <c r="AH49" s="2">
        <f t="shared" si="15"/>
        <v>1.369579000000158</v>
      </c>
      <c r="AI49">
        <v>2911.3678549000001</v>
      </c>
      <c r="AJ49">
        <v>186.61326857142799</v>
      </c>
      <c r="AK49">
        <v>27.3329257142857</v>
      </c>
      <c r="AL49" s="2">
        <f t="shared" si="12"/>
        <v>0.69314285714289881</v>
      </c>
      <c r="AM49" s="2">
        <f t="shared" si="3"/>
        <v>0.10908933392427418</v>
      </c>
      <c r="AN49" s="2">
        <f t="shared" si="13"/>
        <v>0.58405352321862458</v>
      </c>
      <c r="AO49" s="2"/>
    </row>
    <row r="50" spans="1:41" x14ac:dyDescent="0.3">
      <c r="A50">
        <f t="shared" si="4"/>
        <v>0</v>
      </c>
      <c r="B50" s="2">
        <f t="shared" si="5"/>
        <v>16.12219999969966</v>
      </c>
      <c r="C50" s="2" t="e">
        <f t="shared" si="14"/>
        <v>#VALUE!</v>
      </c>
      <c r="D50" s="2">
        <f t="shared" si="6"/>
        <v>0.63753459999998086</v>
      </c>
      <c r="E50" s="2"/>
      <c r="F50">
        <v>3222.3128321999998</v>
      </c>
      <c r="G50" t="s">
        <v>37</v>
      </c>
      <c r="H50" t="s">
        <v>37</v>
      </c>
      <c r="I50" t="s">
        <v>37</v>
      </c>
      <c r="J50" t="s">
        <v>37</v>
      </c>
      <c r="K50" t="s">
        <v>37</v>
      </c>
      <c r="L50" t="s">
        <v>37</v>
      </c>
      <c r="M50" t="s">
        <v>37</v>
      </c>
      <c r="N50">
        <v>0</v>
      </c>
      <c r="O50">
        <v>0</v>
      </c>
      <c r="P50">
        <v>0</v>
      </c>
      <c r="Q50">
        <v>0</v>
      </c>
      <c r="R50">
        <v>-0.124083267211914</v>
      </c>
      <c r="S50">
        <v>6.7002876281738205E-2</v>
      </c>
      <c r="T50">
        <v>0</v>
      </c>
      <c r="U50">
        <v>160.77699999999999</v>
      </c>
      <c r="V50">
        <v>0.83899999999999997</v>
      </c>
      <c r="W50">
        <v>-0.98299999999999998</v>
      </c>
      <c r="X50">
        <v>0.70299999999999996</v>
      </c>
      <c r="Y50" t="b">
        <v>1</v>
      </c>
      <c r="Z50" t="s">
        <v>49</v>
      </c>
      <c r="AA50" t="e">
        <f t="shared" si="7"/>
        <v>#VALUE!</v>
      </c>
      <c r="AB50">
        <f t="shared" si="1"/>
        <v>-12.408326721191401</v>
      </c>
      <c r="AC50">
        <f t="shared" si="8"/>
        <v>33.455001958136364</v>
      </c>
      <c r="AD50" t="e">
        <f t="shared" si="9"/>
        <v>#VALUE!</v>
      </c>
      <c r="AE50" t="e">
        <f t="shared" ca="1" si="10"/>
        <v>#VALUE!</v>
      </c>
      <c r="AG50" s="2">
        <f t="shared" si="16"/>
        <v>3.0922399999781192E-2</v>
      </c>
      <c r="AH50" s="2">
        <f t="shared" si="15"/>
        <v>1.4005013999999392</v>
      </c>
      <c r="AI50">
        <v>2911.3987772999999</v>
      </c>
      <c r="AJ50">
        <v>187.17822857142801</v>
      </c>
      <c r="AK50">
        <v>27.2130057142857</v>
      </c>
      <c r="AL50" s="2">
        <f t="shared" si="12"/>
        <v>0.57322285714289833</v>
      </c>
      <c r="AM50" s="2">
        <f t="shared" si="3"/>
        <v>0.20537814998363305</v>
      </c>
      <c r="AN50" s="2">
        <f t="shared" si="13"/>
        <v>0.36784470715926532</v>
      </c>
      <c r="AO50" s="2"/>
    </row>
    <row r="51" spans="1:41" x14ac:dyDescent="0.3">
      <c r="A51">
        <f t="shared" si="4"/>
        <v>0</v>
      </c>
      <c r="B51" s="2">
        <f t="shared" si="5"/>
        <v>15.072400000008201</v>
      </c>
      <c r="C51" s="2" t="e">
        <f t="shared" si="14"/>
        <v>#VALUE!</v>
      </c>
      <c r="D51" s="2">
        <f t="shared" si="6"/>
        <v>0.65260699999998906</v>
      </c>
      <c r="E51" s="2"/>
      <c r="F51">
        <v>3222.3279045999998</v>
      </c>
      <c r="G51" t="s">
        <v>37</v>
      </c>
      <c r="H51" t="s">
        <v>37</v>
      </c>
      <c r="I51" t="s">
        <v>37</v>
      </c>
      <c r="J51" t="s">
        <v>37</v>
      </c>
      <c r="K51" t="s">
        <v>37</v>
      </c>
      <c r="L51" t="s">
        <v>37</v>
      </c>
      <c r="M51" t="s">
        <v>37</v>
      </c>
      <c r="N51">
        <v>0</v>
      </c>
      <c r="O51">
        <v>0</v>
      </c>
      <c r="P51">
        <v>0</v>
      </c>
      <c r="Q51">
        <v>0</v>
      </c>
      <c r="R51">
        <v>-0.124083267211914</v>
      </c>
      <c r="S51">
        <v>6.7002876281738205E-2</v>
      </c>
      <c r="T51">
        <v>0</v>
      </c>
      <c r="U51">
        <v>160.77699999999999</v>
      </c>
      <c r="V51">
        <v>0.83899999999999997</v>
      </c>
      <c r="W51">
        <v>-0.98299999999999998</v>
      </c>
      <c r="X51">
        <v>0.70299999999999996</v>
      </c>
      <c r="Y51" t="b">
        <v>1</v>
      </c>
      <c r="Z51" t="s">
        <v>49</v>
      </c>
      <c r="AA51" t="e">
        <f t="shared" si="7"/>
        <v>#VALUE!</v>
      </c>
      <c r="AB51">
        <f t="shared" si="1"/>
        <v>-12.408326721191401</v>
      </c>
      <c r="AC51">
        <f t="shared" si="8"/>
        <v>33.267978694463778</v>
      </c>
      <c r="AD51" t="e">
        <f t="shared" si="9"/>
        <v>#VALUE!</v>
      </c>
      <c r="AE51" t="e">
        <f t="shared" ca="1" si="10"/>
        <v>#VALUE!</v>
      </c>
      <c r="AG51" s="2">
        <f t="shared" si="16"/>
        <v>4.7557700000197656E-2</v>
      </c>
      <c r="AH51" s="2">
        <f t="shared" si="15"/>
        <v>1.4480591000001368</v>
      </c>
      <c r="AI51">
        <v>2911.4463350000001</v>
      </c>
      <c r="AJ51">
        <v>187.728428571428</v>
      </c>
      <c r="AK51">
        <v>27.087845714285699</v>
      </c>
      <c r="AL51" s="2">
        <f t="shared" si="12"/>
        <v>0.44806285714289729</v>
      </c>
      <c r="AM51" s="2">
        <f t="shared" si="3"/>
        <v>0.41074097566191592</v>
      </c>
      <c r="AN51" s="2">
        <f t="shared" si="13"/>
        <v>3.7321881480981367E-2</v>
      </c>
      <c r="AO51" s="2"/>
    </row>
    <row r="52" spans="1:41" x14ac:dyDescent="0.3">
      <c r="A52">
        <f t="shared" si="4"/>
        <v>0</v>
      </c>
      <c r="B52" s="2">
        <f t="shared" si="5"/>
        <v>15.33640000025116</v>
      </c>
      <c r="C52" s="2" t="e">
        <f t="shared" si="14"/>
        <v>#VALUE!</v>
      </c>
      <c r="D52" s="2">
        <f t="shared" si="6"/>
        <v>0.66794340000024022</v>
      </c>
      <c r="E52" s="2"/>
      <c r="F52">
        <v>3222.343241</v>
      </c>
      <c r="G52" t="s">
        <v>37</v>
      </c>
      <c r="H52" t="s">
        <v>37</v>
      </c>
      <c r="I52" t="s">
        <v>37</v>
      </c>
      <c r="J52" t="s">
        <v>37</v>
      </c>
      <c r="K52" t="s">
        <v>37</v>
      </c>
      <c r="L52" t="s">
        <v>37</v>
      </c>
      <c r="M52" t="s">
        <v>37</v>
      </c>
      <c r="N52">
        <v>0</v>
      </c>
      <c r="O52">
        <v>0</v>
      </c>
      <c r="P52">
        <v>0</v>
      </c>
      <c r="Q52">
        <v>0</v>
      </c>
      <c r="R52">
        <v>-9.8137031555175697E-2</v>
      </c>
      <c r="S52">
        <v>6.2318321228027301E-2</v>
      </c>
      <c r="T52">
        <v>0</v>
      </c>
      <c r="U52">
        <v>160.75700000000001</v>
      </c>
      <c r="V52">
        <v>0.47199999999999998</v>
      </c>
      <c r="W52">
        <v>-1.0469999999999999</v>
      </c>
      <c r="X52">
        <v>0.70199999999999996</v>
      </c>
      <c r="Y52" t="b">
        <v>1</v>
      </c>
      <c r="Z52" t="s">
        <v>49</v>
      </c>
      <c r="AA52" t="e">
        <f t="shared" si="7"/>
        <v>#VALUE!</v>
      </c>
      <c r="AB52">
        <f t="shared" si="1"/>
        <v>-9.8137031555175689</v>
      </c>
      <c r="AC52">
        <f t="shared" si="8"/>
        <v>33.07767963253378</v>
      </c>
      <c r="AD52" t="e">
        <f t="shared" si="9"/>
        <v>#VALUE!</v>
      </c>
      <c r="AE52" t="e">
        <f t="shared" ca="1" si="10"/>
        <v>#VALUE!</v>
      </c>
      <c r="AG52" s="2">
        <f t="shared" si="16"/>
        <v>1.5272600000116654E-2</v>
      </c>
      <c r="AH52" s="2">
        <f t="shared" si="15"/>
        <v>1.4633317000002535</v>
      </c>
      <c r="AI52">
        <v>2911.4616076000002</v>
      </c>
      <c r="AJ52">
        <v>188.26386857142799</v>
      </c>
      <c r="AK52">
        <v>26.9469657142857</v>
      </c>
      <c r="AL52" s="2">
        <f t="shared" si="12"/>
        <v>0.30718285714289806</v>
      </c>
      <c r="AM52" s="2">
        <f t="shared" si="3"/>
        <v>0.49116998793824318</v>
      </c>
      <c r="AN52" s="2">
        <f t="shared" si="13"/>
        <v>0.18398713079534512</v>
      </c>
      <c r="AO52" s="2"/>
    </row>
    <row r="53" spans="1:41" x14ac:dyDescent="0.3">
      <c r="A53">
        <f t="shared" si="4"/>
        <v>0</v>
      </c>
      <c r="B53" s="2">
        <f t="shared" si="5"/>
        <v>15.370399999937945</v>
      </c>
      <c r="C53" s="2" t="e">
        <f t="shared" si="14"/>
        <v>#VALUE!</v>
      </c>
      <c r="D53" s="2">
        <f t="shared" si="6"/>
        <v>0.68331380000017816</v>
      </c>
      <c r="E53" s="2"/>
      <c r="F53">
        <v>3222.3586114</v>
      </c>
      <c r="G53" t="s">
        <v>37</v>
      </c>
      <c r="H53" t="s">
        <v>37</v>
      </c>
      <c r="I53" t="s">
        <v>37</v>
      </c>
      <c r="J53" t="s">
        <v>37</v>
      </c>
      <c r="K53" t="s">
        <v>37</v>
      </c>
      <c r="L53" t="s">
        <v>37</v>
      </c>
      <c r="M53" t="s">
        <v>37</v>
      </c>
      <c r="N53">
        <v>0</v>
      </c>
      <c r="O53">
        <v>0</v>
      </c>
      <c r="P53">
        <v>0</v>
      </c>
      <c r="Q53">
        <v>0</v>
      </c>
      <c r="R53">
        <v>-9.8137031555175697E-2</v>
      </c>
      <c r="S53">
        <v>6.2318321228027301E-2</v>
      </c>
      <c r="T53">
        <v>0</v>
      </c>
      <c r="U53">
        <v>160.75700000000001</v>
      </c>
      <c r="V53">
        <v>0.47199999999999998</v>
      </c>
      <c r="W53">
        <v>-1.0469999999999999</v>
      </c>
      <c r="X53">
        <v>0.70199999999999996</v>
      </c>
      <c r="Y53" t="b">
        <v>1</v>
      </c>
      <c r="Z53" t="s">
        <v>49</v>
      </c>
      <c r="AA53" t="e">
        <f t="shared" si="7"/>
        <v>#VALUE!</v>
      </c>
      <c r="AB53">
        <f t="shared" si="1"/>
        <v>-9.8137031555175689</v>
      </c>
      <c r="AC53">
        <f t="shared" si="8"/>
        <v>32.926839089552821</v>
      </c>
      <c r="AD53" t="e">
        <f t="shared" si="9"/>
        <v>#VALUE!</v>
      </c>
      <c r="AE53" t="e">
        <f t="shared" ca="1" si="10"/>
        <v>#VALUE!</v>
      </c>
      <c r="AG53" s="2">
        <f t="shared" si="16"/>
        <v>4.6644699999887962E-2</v>
      </c>
      <c r="AH53" s="2">
        <f t="shared" si="15"/>
        <v>1.5099764000001414</v>
      </c>
      <c r="AI53">
        <v>2911.5082523000001</v>
      </c>
      <c r="AJ53">
        <v>188.77470857142799</v>
      </c>
      <c r="AK53">
        <v>26.779885714285701</v>
      </c>
      <c r="AL53" s="2">
        <f t="shared" si="12"/>
        <v>0.1401028571428995</v>
      </c>
      <c r="AM53" s="2">
        <f t="shared" si="3"/>
        <v>0.77954243818703417</v>
      </c>
      <c r="AN53" s="2">
        <f t="shared" si="13"/>
        <v>0.63943958104413468</v>
      </c>
      <c r="AO53" s="2"/>
    </row>
    <row r="54" spans="1:41" x14ac:dyDescent="0.3">
      <c r="A54">
        <f t="shared" si="4"/>
        <v>0</v>
      </c>
      <c r="B54" s="2">
        <f t="shared" si="5"/>
        <v>15.250400000240916</v>
      </c>
      <c r="C54" s="2" t="e">
        <f t="shared" si="14"/>
        <v>#VALUE!</v>
      </c>
      <c r="D54" s="2">
        <f t="shared" si="6"/>
        <v>0.69856420000041908</v>
      </c>
      <c r="E54" s="2"/>
      <c r="F54">
        <v>3222.3738618000002</v>
      </c>
      <c r="G54" t="s">
        <v>37</v>
      </c>
      <c r="H54" t="s">
        <v>37</v>
      </c>
      <c r="I54" t="s">
        <v>37</v>
      </c>
      <c r="J54" t="s">
        <v>37</v>
      </c>
      <c r="K54" t="s">
        <v>37</v>
      </c>
      <c r="L54" t="s">
        <v>37</v>
      </c>
      <c r="M54" t="s">
        <v>37</v>
      </c>
      <c r="N54">
        <v>0</v>
      </c>
      <c r="O54">
        <v>0</v>
      </c>
      <c r="P54">
        <v>0</v>
      </c>
      <c r="Q54">
        <v>0</v>
      </c>
      <c r="R54">
        <v>-9.8137031555175697E-2</v>
      </c>
      <c r="S54">
        <v>6.2318321228027301E-2</v>
      </c>
      <c r="T54">
        <v>0</v>
      </c>
      <c r="U54">
        <v>160.75700000000001</v>
      </c>
      <c r="V54">
        <v>0.47199999999999998</v>
      </c>
      <c r="W54">
        <v>-1.0469999999999999</v>
      </c>
      <c r="X54">
        <v>0.70199999999999996</v>
      </c>
      <c r="Y54" t="b">
        <v>1</v>
      </c>
      <c r="Z54" t="s">
        <v>49</v>
      </c>
      <c r="AA54" t="e">
        <f t="shared" si="7"/>
        <v>#VALUE!</v>
      </c>
      <c r="AB54">
        <f t="shared" si="1"/>
        <v>-9.8137031555175689</v>
      </c>
      <c r="AC54">
        <f t="shared" si="8"/>
        <v>32.77717619094755</v>
      </c>
      <c r="AD54" t="e">
        <f t="shared" si="9"/>
        <v>#VALUE!</v>
      </c>
      <c r="AE54" t="e">
        <f t="shared" ca="1" si="10"/>
        <v>#VALUE!</v>
      </c>
      <c r="AG54" s="2">
        <f t="shared" si="16"/>
        <v>3.1118599999899743E-2</v>
      </c>
      <c r="AH54" s="2">
        <f t="shared" si="15"/>
        <v>1.5410950000000412</v>
      </c>
      <c r="AI54">
        <v>2911.5393709</v>
      </c>
      <c r="AJ54">
        <v>189.266228571428</v>
      </c>
      <c r="AK54">
        <v>26.876325714285699</v>
      </c>
      <c r="AL54" s="2">
        <f t="shared" si="12"/>
        <v>0.23654285714289713</v>
      </c>
      <c r="AM54" s="2">
        <f t="shared" si="3"/>
        <v>1.0071382126495199</v>
      </c>
      <c r="AN54" s="2">
        <f t="shared" si="13"/>
        <v>0.77059535550662273</v>
      </c>
      <c r="AO54" s="2"/>
    </row>
    <row r="55" spans="1:41" x14ac:dyDescent="0.3">
      <c r="A55">
        <f t="shared" si="4"/>
        <v>0</v>
      </c>
      <c r="B55" s="2">
        <f t="shared" si="5"/>
        <v>15.307399999983318</v>
      </c>
      <c r="C55" s="2" t="e">
        <f t="shared" si="14"/>
        <v>#VALUE!</v>
      </c>
      <c r="D55" s="2">
        <f t="shared" si="6"/>
        <v>0.7138716000004024</v>
      </c>
      <c r="E55" s="2"/>
      <c r="F55">
        <v>3222.3891692000002</v>
      </c>
      <c r="G55" t="s">
        <v>37</v>
      </c>
      <c r="H55" t="s">
        <v>37</v>
      </c>
      <c r="I55" t="s">
        <v>37</v>
      </c>
      <c r="J55" t="s">
        <v>37</v>
      </c>
      <c r="K55" t="s">
        <v>37</v>
      </c>
      <c r="L55" t="s">
        <v>37</v>
      </c>
      <c r="M55" t="s">
        <v>37</v>
      </c>
      <c r="N55">
        <v>0</v>
      </c>
      <c r="O55">
        <v>0</v>
      </c>
      <c r="P55">
        <v>0</v>
      </c>
      <c r="Q55">
        <v>0</v>
      </c>
      <c r="R55">
        <v>-9.8137031555175697E-2</v>
      </c>
      <c r="S55">
        <v>6.2318321228027301E-2</v>
      </c>
      <c r="T55">
        <v>0</v>
      </c>
      <c r="U55">
        <v>160.75700000000001</v>
      </c>
      <c r="V55">
        <v>0.47199999999999998</v>
      </c>
      <c r="W55">
        <v>-1.0469999999999999</v>
      </c>
      <c r="X55">
        <v>0.70199999999999996</v>
      </c>
      <c r="Y55" t="b">
        <v>1</v>
      </c>
      <c r="Z55" t="s">
        <v>49</v>
      </c>
      <c r="AA55" t="e">
        <f t="shared" si="7"/>
        <v>#VALUE!</v>
      </c>
      <c r="AB55">
        <f t="shared" si="1"/>
        <v>-9.8137031555175689</v>
      </c>
      <c r="AC55">
        <f t="shared" si="8"/>
        <v>32.626953911264941</v>
      </c>
      <c r="AD55" t="e">
        <f t="shared" si="9"/>
        <v>#VALUE!</v>
      </c>
      <c r="AE55" t="e">
        <f t="shared" ca="1" si="10"/>
        <v>#VALUE!</v>
      </c>
      <c r="AG55" s="2">
        <f t="shared" si="16"/>
        <v>3.1711900000118476E-2</v>
      </c>
      <c r="AH55" s="2">
        <f t="shared" si="15"/>
        <v>1.5728069000001597</v>
      </c>
      <c r="AI55">
        <v>2911.5710828000001</v>
      </c>
      <c r="AJ55">
        <v>189.72822857142799</v>
      </c>
      <c r="AK55">
        <v>26.951805714285701</v>
      </c>
      <c r="AL55" s="2">
        <f t="shared" si="12"/>
        <v>0.31202285714289957</v>
      </c>
      <c r="AM55" s="2">
        <f t="shared" si="3"/>
        <v>1.2675003615065847</v>
      </c>
      <c r="AN55" s="2">
        <f t="shared" si="13"/>
        <v>0.95547750436368517</v>
      </c>
      <c r="AO55" s="2"/>
    </row>
    <row r="56" spans="1:41" x14ac:dyDescent="0.3">
      <c r="A56">
        <f t="shared" si="4"/>
        <v>0</v>
      </c>
      <c r="B56" s="2">
        <f t="shared" si="5"/>
        <v>16.379599999709171</v>
      </c>
      <c r="C56" s="2" t="e">
        <f t="shared" si="14"/>
        <v>#VALUE!</v>
      </c>
      <c r="D56" s="2">
        <f t="shared" si="6"/>
        <v>0.73025120000011157</v>
      </c>
      <c r="E56" s="2"/>
      <c r="F56">
        <v>3222.4055487999999</v>
      </c>
      <c r="G56" t="s">
        <v>37</v>
      </c>
      <c r="H56" t="s">
        <v>37</v>
      </c>
      <c r="I56" t="s">
        <v>37</v>
      </c>
      <c r="J56" t="s">
        <v>37</v>
      </c>
      <c r="K56" t="s">
        <v>37</v>
      </c>
      <c r="L56" t="s">
        <v>37</v>
      </c>
      <c r="M56" t="s">
        <v>37</v>
      </c>
      <c r="N56">
        <v>0</v>
      </c>
      <c r="O56">
        <v>0</v>
      </c>
      <c r="P56">
        <v>0</v>
      </c>
      <c r="Q56">
        <v>0</v>
      </c>
      <c r="R56">
        <v>-9.8137031555175697E-2</v>
      </c>
      <c r="S56">
        <v>6.2318321228027301E-2</v>
      </c>
      <c r="T56">
        <v>0</v>
      </c>
      <c r="U56">
        <v>160.75700000000001</v>
      </c>
      <c r="V56">
        <v>0.47199999999999998</v>
      </c>
      <c r="W56">
        <v>-1.0469999999999999</v>
      </c>
      <c r="X56">
        <v>0.70199999999999996</v>
      </c>
      <c r="Y56" t="b">
        <v>1</v>
      </c>
      <c r="Z56" t="s">
        <v>49</v>
      </c>
      <c r="AA56" t="e">
        <f t="shared" si="7"/>
        <v>#VALUE!</v>
      </c>
      <c r="AB56">
        <f t="shared" si="1"/>
        <v>-9.8137031555175689</v>
      </c>
      <c r="AC56">
        <f t="shared" si="8"/>
        <v>32.466209379061681</v>
      </c>
      <c r="AD56" t="e">
        <f t="shared" si="9"/>
        <v>#VALUE!</v>
      </c>
      <c r="AE56" t="e">
        <f t="shared" ca="1" si="10"/>
        <v>#VALUE!</v>
      </c>
      <c r="AG56" s="2">
        <f t="shared" si="16"/>
        <v>3.2110799999827577E-2</v>
      </c>
      <c r="AH56" s="2">
        <f t="shared" si="15"/>
        <v>1.6049176999999872</v>
      </c>
      <c r="AI56">
        <v>2911.6031935999999</v>
      </c>
      <c r="AJ56">
        <v>190.17546857142801</v>
      </c>
      <c r="AK56">
        <v>27.001085714285701</v>
      </c>
      <c r="AL56" s="2">
        <f t="shared" si="12"/>
        <v>0.36130285714289911</v>
      </c>
      <c r="AM56" s="2">
        <f t="shared" si="3"/>
        <v>1.559882768963387</v>
      </c>
      <c r="AN56" s="2">
        <f t="shared" si="13"/>
        <v>1.1985799118204878</v>
      </c>
      <c r="AO56" s="2"/>
    </row>
    <row r="57" spans="1:41" x14ac:dyDescent="0.3">
      <c r="A57">
        <f t="shared" si="4"/>
        <v>0</v>
      </c>
      <c r="B57" s="2">
        <f t="shared" si="5"/>
        <v>15.345100000104139</v>
      </c>
      <c r="C57" s="2" t="e">
        <f t="shared" si="14"/>
        <v>#VALUE!</v>
      </c>
      <c r="D57" s="2">
        <f t="shared" si="6"/>
        <v>0.74559630000021571</v>
      </c>
      <c r="E57" s="2"/>
      <c r="F57">
        <v>3222.4208939</v>
      </c>
      <c r="G57" t="s">
        <v>37</v>
      </c>
      <c r="H57" t="s">
        <v>37</v>
      </c>
      <c r="I57" t="s">
        <v>37</v>
      </c>
      <c r="J57" t="s">
        <v>37</v>
      </c>
      <c r="K57" t="s">
        <v>37</v>
      </c>
      <c r="L57" t="s">
        <v>37</v>
      </c>
      <c r="M57" t="s">
        <v>37</v>
      </c>
      <c r="N57">
        <v>0</v>
      </c>
      <c r="O57">
        <v>0</v>
      </c>
      <c r="P57">
        <v>0</v>
      </c>
      <c r="Q57">
        <v>0</v>
      </c>
      <c r="R57">
        <v>-8.8592613220214805E-2</v>
      </c>
      <c r="S57">
        <v>7.7672790527343702E-2</v>
      </c>
      <c r="T57">
        <v>0</v>
      </c>
      <c r="U57">
        <v>160.77600000000001</v>
      </c>
      <c r="V57">
        <v>-0.17399999999999999</v>
      </c>
      <c r="W57">
        <v>-0.93500000000000005</v>
      </c>
      <c r="X57">
        <v>0.70399999999999996</v>
      </c>
      <c r="Y57" t="b">
        <v>1</v>
      </c>
      <c r="Z57" t="s">
        <v>49</v>
      </c>
      <c r="AA57" t="e">
        <f t="shared" si="7"/>
        <v>#VALUE!</v>
      </c>
      <c r="AB57">
        <f t="shared" si="1"/>
        <v>-8.8592613220214798</v>
      </c>
      <c r="AC57">
        <f t="shared" si="8"/>
        <v>32.315617122768927</v>
      </c>
      <c r="AD57" t="e">
        <f t="shared" si="9"/>
        <v>#VALUE!</v>
      </c>
      <c r="AE57" t="e">
        <f t="shared" ca="1" si="10"/>
        <v>#VALUE!</v>
      </c>
      <c r="AG57" s="2">
        <f t="shared" si="16"/>
        <v>3.1020400000215886E-2</v>
      </c>
      <c r="AH57" s="2">
        <f t="shared" si="15"/>
        <v>1.6359381000002031</v>
      </c>
      <c r="AI57">
        <v>2911.6342140000002</v>
      </c>
      <c r="AJ57">
        <v>190.61466857142801</v>
      </c>
      <c r="AK57">
        <v>27.428765714285699</v>
      </c>
      <c r="AL57" s="2">
        <f t="shared" si="12"/>
        <v>0.78898285714289784</v>
      </c>
      <c r="AM57" s="2">
        <f t="shared" si="3"/>
        <v>1.8693411716710933</v>
      </c>
      <c r="AN57" s="2">
        <f t="shared" si="13"/>
        <v>1.0803583145281954</v>
      </c>
      <c r="AO57" s="2"/>
    </row>
    <row r="58" spans="1:41" x14ac:dyDescent="0.3">
      <c r="A58">
        <f t="shared" si="4"/>
        <v>0</v>
      </c>
      <c r="B58" s="2">
        <f t="shared" si="5"/>
        <v>15.485800000078598</v>
      </c>
      <c r="C58" s="2" t="e">
        <f t="shared" si="14"/>
        <v>#VALUE!</v>
      </c>
      <c r="D58" s="2">
        <f t="shared" si="6"/>
        <v>0.7610821000002943</v>
      </c>
      <c r="E58" s="2"/>
      <c r="F58">
        <v>3222.4363797000001</v>
      </c>
      <c r="G58" t="s">
        <v>37</v>
      </c>
      <c r="H58" t="s">
        <v>37</v>
      </c>
      <c r="I58" t="s">
        <v>37</v>
      </c>
      <c r="J58" t="s">
        <v>37</v>
      </c>
      <c r="K58" t="s">
        <v>37</v>
      </c>
      <c r="L58" t="s">
        <v>37</v>
      </c>
      <c r="M58" t="s">
        <v>37</v>
      </c>
      <c r="N58">
        <v>0</v>
      </c>
      <c r="O58">
        <v>0</v>
      </c>
      <c r="P58">
        <v>0</v>
      </c>
      <c r="Q58">
        <v>0</v>
      </c>
      <c r="R58">
        <v>-8.8592613220214805E-2</v>
      </c>
      <c r="S58">
        <v>7.7672790527343702E-2</v>
      </c>
      <c r="T58">
        <v>0</v>
      </c>
      <c r="U58">
        <v>160.77600000000001</v>
      </c>
      <c r="V58">
        <v>-0.17399999999999999</v>
      </c>
      <c r="W58">
        <v>-0.93500000000000005</v>
      </c>
      <c r="X58">
        <v>0.70399999999999996</v>
      </c>
      <c r="Y58" t="b">
        <v>1</v>
      </c>
      <c r="Z58" t="s">
        <v>49</v>
      </c>
      <c r="AA58" t="e">
        <f t="shared" si="7"/>
        <v>#VALUE!</v>
      </c>
      <c r="AB58">
        <f t="shared" si="1"/>
        <v>-8.8592613220214798</v>
      </c>
      <c r="AC58">
        <f t="shared" si="8"/>
        <v>32.178424373787671</v>
      </c>
      <c r="AD58" t="e">
        <f t="shared" si="9"/>
        <v>#VALUE!</v>
      </c>
      <c r="AE58" t="e">
        <f t="shared" ca="1" si="10"/>
        <v>#VALUE!</v>
      </c>
      <c r="AG58" s="2">
        <f t="shared" si="16"/>
        <v>3.0975099999977829E-2</v>
      </c>
      <c r="AH58" s="2">
        <f t="shared" si="15"/>
        <v>1.666913200000181</v>
      </c>
      <c r="AI58">
        <v>2911.6651891000001</v>
      </c>
      <c r="AJ58">
        <v>191.04416571428499</v>
      </c>
      <c r="AK58">
        <v>27.9778914285714</v>
      </c>
      <c r="AL58" s="2">
        <f t="shared" si="12"/>
        <v>1.3381085714285987</v>
      </c>
      <c r="AM58" s="2">
        <f t="shared" si="3"/>
        <v>2.2043841362876182</v>
      </c>
      <c r="AN58" s="2">
        <f t="shared" si="13"/>
        <v>0.86627556485901946</v>
      </c>
      <c r="AO58" s="2"/>
    </row>
    <row r="59" spans="1:41" x14ac:dyDescent="0.3">
      <c r="A59">
        <f t="shared" si="4"/>
        <v>0</v>
      </c>
      <c r="B59" s="2">
        <f t="shared" si="5"/>
        <v>15.333499999997002</v>
      </c>
      <c r="C59" s="2" t="e">
        <f t="shared" si="14"/>
        <v>#VALUE!</v>
      </c>
      <c r="D59" s="2">
        <f t="shared" si="6"/>
        <v>0.77641560000029131</v>
      </c>
      <c r="E59" s="2"/>
      <c r="F59">
        <v>3222.4517132000001</v>
      </c>
      <c r="G59" t="s">
        <v>37</v>
      </c>
      <c r="H59" t="s">
        <v>37</v>
      </c>
      <c r="I59" t="s">
        <v>37</v>
      </c>
      <c r="J59" t="s">
        <v>37</v>
      </c>
      <c r="K59" t="s">
        <v>37</v>
      </c>
      <c r="L59" t="s">
        <v>37</v>
      </c>
      <c r="M59" t="s">
        <v>37</v>
      </c>
      <c r="N59">
        <v>0</v>
      </c>
      <c r="O59">
        <v>0</v>
      </c>
      <c r="P59">
        <v>0</v>
      </c>
      <c r="Q59">
        <v>0</v>
      </c>
      <c r="R59">
        <v>-8.8592613220214805E-2</v>
      </c>
      <c r="S59">
        <v>7.7672790527343702E-2</v>
      </c>
      <c r="T59">
        <v>0</v>
      </c>
      <c r="U59">
        <v>160.77600000000001</v>
      </c>
      <c r="V59">
        <v>-0.17399999999999999</v>
      </c>
      <c r="W59">
        <v>-0.93500000000000005</v>
      </c>
      <c r="X59">
        <v>0.70399999999999996</v>
      </c>
      <c r="Y59" t="b">
        <v>1</v>
      </c>
      <c r="Z59" t="s">
        <v>49</v>
      </c>
      <c r="AA59" t="e">
        <f t="shared" si="7"/>
        <v>#VALUE!</v>
      </c>
      <c r="AB59">
        <f t="shared" si="1"/>
        <v>-8.8592613220214798</v>
      </c>
      <c r="AC59">
        <f t="shared" si="8"/>
        <v>32.042580890306482</v>
      </c>
      <c r="AD59" t="e">
        <f t="shared" si="9"/>
        <v>#VALUE!</v>
      </c>
      <c r="AE59" t="e">
        <f t="shared" ca="1" si="10"/>
        <v>#VALUE!</v>
      </c>
      <c r="AG59" s="2">
        <f t="shared" si="16"/>
        <v>3.0986299999767652E-2</v>
      </c>
      <c r="AH59" s="2">
        <f t="shared" si="15"/>
        <v>1.6978994999999486</v>
      </c>
      <c r="AI59">
        <v>2911.6961753999999</v>
      </c>
      <c r="AJ59">
        <v>191.46860571428499</v>
      </c>
      <c r="AK59">
        <v>28.629891428571401</v>
      </c>
      <c r="AL59" s="2">
        <f t="shared" si="12"/>
        <v>1.9901085714285998</v>
      </c>
      <c r="AM59" s="2">
        <f t="shared" si="3"/>
        <v>2.5651489570080619</v>
      </c>
      <c r="AN59" s="2">
        <f t="shared" si="13"/>
        <v>0.57504038557946213</v>
      </c>
      <c r="AO59" s="2"/>
    </row>
    <row r="60" spans="1:41" x14ac:dyDescent="0.3">
      <c r="A60">
        <f t="shared" si="4"/>
        <v>0</v>
      </c>
      <c r="B60" s="2">
        <f t="shared" si="5"/>
        <v>15.115100000002712</v>
      </c>
      <c r="C60" s="2" t="e">
        <f t="shared" si="14"/>
        <v>#VALUE!</v>
      </c>
      <c r="D60" s="2">
        <f t="shared" si="6"/>
        <v>0.79153070000029402</v>
      </c>
      <c r="E60" s="2"/>
      <c r="F60">
        <v>3222.4668283000001</v>
      </c>
      <c r="G60" t="s">
        <v>37</v>
      </c>
      <c r="H60" t="s">
        <v>37</v>
      </c>
      <c r="I60" t="s">
        <v>37</v>
      </c>
      <c r="J60" t="s">
        <v>37</v>
      </c>
      <c r="K60" t="s">
        <v>37</v>
      </c>
      <c r="L60" t="s">
        <v>37</v>
      </c>
      <c r="M60" t="s">
        <v>37</v>
      </c>
      <c r="N60">
        <v>0</v>
      </c>
      <c r="O60">
        <v>0</v>
      </c>
      <c r="P60">
        <v>0</v>
      </c>
      <c r="Q60">
        <v>0</v>
      </c>
      <c r="R60">
        <v>-8.8592613220214805E-2</v>
      </c>
      <c r="S60">
        <v>7.7672790527343702E-2</v>
      </c>
      <c r="T60">
        <v>0</v>
      </c>
      <c r="U60">
        <v>160.77600000000001</v>
      </c>
      <c r="V60">
        <v>-0.17399999999999999</v>
      </c>
      <c r="W60">
        <v>-0.93500000000000005</v>
      </c>
      <c r="X60">
        <v>0.70399999999999996</v>
      </c>
      <c r="Y60" t="b">
        <v>1</v>
      </c>
      <c r="Z60" t="s">
        <v>49</v>
      </c>
      <c r="AA60" t="e">
        <f t="shared" si="7"/>
        <v>#VALUE!</v>
      </c>
      <c r="AB60">
        <f t="shared" si="1"/>
        <v>-8.8592613220214798</v>
      </c>
      <c r="AC60">
        <f t="shared" si="8"/>
        <v>31.90867226949797</v>
      </c>
      <c r="AD60" t="e">
        <f t="shared" si="9"/>
        <v>#VALUE!</v>
      </c>
      <c r="AE60" t="e">
        <f t="shared" ca="1" si="10"/>
        <v>#VALUE!</v>
      </c>
      <c r="AG60" s="2">
        <f t="shared" si="16"/>
        <v>4.7510599999895931E-2</v>
      </c>
      <c r="AH60" s="2">
        <f t="shared" si="15"/>
        <v>1.7454100999998445</v>
      </c>
      <c r="AI60">
        <v>2911.7436859999998</v>
      </c>
      <c r="AJ60">
        <v>191.878285714285</v>
      </c>
      <c r="AK60">
        <v>29.266171428571401</v>
      </c>
      <c r="AL60" s="2">
        <f t="shared" si="12"/>
        <v>2.6263885714285991</v>
      </c>
      <c r="AM60" s="2">
        <f t="shared" si="3"/>
        <v>3.1670630499712482</v>
      </c>
      <c r="AN60" s="2">
        <f t="shared" si="13"/>
        <v>0.54067447854264916</v>
      </c>
      <c r="AO60" s="2"/>
    </row>
    <row r="61" spans="1:41" x14ac:dyDescent="0.3">
      <c r="A61">
        <f t="shared" si="4"/>
        <v>0</v>
      </c>
      <c r="B61" s="2">
        <f t="shared" si="5"/>
        <v>15.951800000038929</v>
      </c>
      <c r="C61" s="2" t="e">
        <f t="shared" si="14"/>
        <v>#VALUE!</v>
      </c>
      <c r="D61" s="2">
        <f t="shared" si="6"/>
        <v>0.80748250000033295</v>
      </c>
      <c r="E61" s="2"/>
      <c r="F61">
        <v>3222.4827801000001</v>
      </c>
      <c r="G61" t="s">
        <v>37</v>
      </c>
      <c r="H61" t="s">
        <v>37</v>
      </c>
      <c r="I61" t="s">
        <v>37</v>
      </c>
      <c r="J61" t="s">
        <v>37</v>
      </c>
      <c r="K61" t="s">
        <v>37</v>
      </c>
      <c r="L61" t="s">
        <v>37</v>
      </c>
      <c r="M61" t="s">
        <v>37</v>
      </c>
      <c r="N61">
        <v>0</v>
      </c>
      <c r="O61">
        <v>0</v>
      </c>
      <c r="P61">
        <v>0</v>
      </c>
      <c r="Q61">
        <v>0</v>
      </c>
      <c r="R61">
        <v>-9.4532920837402307E-2</v>
      </c>
      <c r="S61">
        <v>6.8467155456542902E-2</v>
      </c>
      <c r="T61">
        <v>0</v>
      </c>
      <c r="U61">
        <v>160.78899999999999</v>
      </c>
      <c r="V61">
        <v>-0.84899999999999998</v>
      </c>
      <c r="W61">
        <v>-1.1779999999999999</v>
      </c>
      <c r="X61">
        <v>0.70199999999999996</v>
      </c>
      <c r="Y61" t="b">
        <v>1</v>
      </c>
      <c r="Z61" t="s">
        <v>49</v>
      </c>
      <c r="AA61" t="e">
        <f t="shared" si="7"/>
        <v>#VALUE!</v>
      </c>
      <c r="AB61">
        <f t="shared" si="1"/>
        <v>-9.4532920837402301</v>
      </c>
      <c r="AC61">
        <f t="shared" si="8"/>
        <v>31.767351104741003</v>
      </c>
      <c r="AD61" t="e">
        <f t="shared" si="9"/>
        <v>#VALUE!</v>
      </c>
      <c r="AE61" t="e">
        <f t="shared" ca="1" si="10"/>
        <v>#VALUE!</v>
      </c>
      <c r="AG61" s="2">
        <f t="shared" si="16"/>
        <v>1.6173100000287377E-2</v>
      </c>
      <c r="AH61" s="2">
        <f t="shared" si="15"/>
        <v>1.7615832000001319</v>
      </c>
      <c r="AI61">
        <v>2911.7598591000001</v>
      </c>
      <c r="AJ61">
        <v>192.27812571428501</v>
      </c>
      <c r="AK61">
        <v>29.881491428571401</v>
      </c>
      <c r="AL61" s="2">
        <f t="shared" si="12"/>
        <v>3.2417085714285996</v>
      </c>
      <c r="AM61" s="2">
        <f t="shared" si="3"/>
        <v>3.3852003097367236</v>
      </c>
      <c r="AN61" s="2">
        <f t="shared" si="13"/>
        <v>0.14349173830812401</v>
      </c>
      <c r="AO61" s="2"/>
    </row>
    <row r="62" spans="1:41" x14ac:dyDescent="0.3">
      <c r="A62">
        <f t="shared" si="4"/>
        <v>0</v>
      </c>
      <c r="B62" s="2">
        <f t="shared" si="5"/>
        <v>15.494100000069011</v>
      </c>
      <c r="C62" s="2" t="e">
        <f t="shared" si="14"/>
        <v>#VALUE!</v>
      </c>
      <c r="D62" s="2">
        <f t="shared" si="6"/>
        <v>0.82297660000040196</v>
      </c>
      <c r="E62" s="2"/>
      <c r="F62">
        <v>3222.4982742000002</v>
      </c>
      <c r="G62" t="s">
        <v>37</v>
      </c>
      <c r="H62" t="s">
        <v>37</v>
      </c>
      <c r="I62" t="s">
        <v>37</v>
      </c>
      <c r="J62" t="s">
        <v>37</v>
      </c>
      <c r="K62" t="s">
        <v>37</v>
      </c>
      <c r="L62" t="s">
        <v>37</v>
      </c>
      <c r="M62" t="s">
        <v>37</v>
      </c>
      <c r="N62">
        <v>0</v>
      </c>
      <c r="O62">
        <v>0</v>
      </c>
      <c r="P62">
        <v>0</v>
      </c>
      <c r="Q62">
        <v>0</v>
      </c>
      <c r="R62">
        <v>-9.4532920837402307E-2</v>
      </c>
      <c r="S62">
        <v>6.8467155456542902E-2</v>
      </c>
      <c r="T62">
        <v>0</v>
      </c>
      <c r="U62">
        <v>160.78899999999999</v>
      </c>
      <c r="V62">
        <v>-0.84899999999999998</v>
      </c>
      <c r="W62">
        <v>-1.1779999999999999</v>
      </c>
      <c r="X62">
        <v>0.70199999999999996</v>
      </c>
      <c r="Y62" t="b">
        <v>1</v>
      </c>
      <c r="Z62" t="s">
        <v>49</v>
      </c>
      <c r="AA62" t="e">
        <f t="shared" si="7"/>
        <v>#VALUE!</v>
      </c>
      <c r="AB62">
        <f t="shared" si="1"/>
        <v>-9.4532920837402301</v>
      </c>
      <c r="AC62">
        <f t="shared" si="8"/>
        <v>31.620880851865671</v>
      </c>
      <c r="AD62" t="e">
        <f t="shared" si="9"/>
        <v>#VALUE!</v>
      </c>
      <c r="AE62" t="e">
        <f t="shared" ca="1" si="10"/>
        <v>#VALUE!</v>
      </c>
      <c r="AG62" s="2">
        <f t="shared" si="16"/>
        <v>3.1985199999780889E-2</v>
      </c>
      <c r="AH62" s="2">
        <f t="shared" si="15"/>
        <v>1.7935683999999128</v>
      </c>
      <c r="AI62">
        <v>2911.7918442999999</v>
      </c>
      <c r="AJ62">
        <v>192.663205714285</v>
      </c>
      <c r="AK62">
        <v>30.475851428571399</v>
      </c>
      <c r="AL62" s="2">
        <f t="shared" si="12"/>
        <v>3.8360685714285978</v>
      </c>
      <c r="AM62" s="2">
        <f t="shared" si="3"/>
        <v>3.8360686365249506</v>
      </c>
      <c r="AN62" s="2">
        <f t="shared" si="13"/>
        <v>6.5096352752647135E-8</v>
      </c>
      <c r="AO62" s="2"/>
    </row>
    <row r="63" spans="1:41" x14ac:dyDescent="0.3">
      <c r="A63">
        <f t="shared" si="4"/>
        <v>0</v>
      </c>
      <c r="B63" s="2">
        <f t="shared" si="5"/>
        <v>16.067499999735446</v>
      </c>
      <c r="C63" s="2" t="e">
        <f t="shared" si="14"/>
        <v>#VALUE!</v>
      </c>
      <c r="D63" s="2">
        <f t="shared" si="6"/>
        <v>0.83904410000013741</v>
      </c>
      <c r="E63" s="2"/>
      <c r="F63">
        <v>3222.5143416999999</v>
      </c>
      <c r="G63" t="s">
        <v>37</v>
      </c>
      <c r="H63" t="s">
        <v>37</v>
      </c>
      <c r="I63" t="s">
        <v>37</v>
      </c>
      <c r="J63" t="s">
        <v>37</v>
      </c>
      <c r="K63" t="s">
        <v>37</v>
      </c>
      <c r="L63" t="s">
        <v>37</v>
      </c>
      <c r="M63" t="s">
        <v>37</v>
      </c>
      <c r="N63">
        <v>0</v>
      </c>
      <c r="O63">
        <v>0</v>
      </c>
      <c r="P63">
        <v>0</v>
      </c>
      <c r="Q63">
        <v>0</v>
      </c>
      <c r="R63">
        <v>-9.4532920837402307E-2</v>
      </c>
      <c r="S63">
        <v>6.8467155456542902E-2</v>
      </c>
      <c r="T63">
        <v>0</v>
      </c>
      <c r="U63">
        <v>160.78899999999999</v>
      </c>
      <c r="V63">
        <v>-0.84899999999999998</v>
      </c>
      <c r="W63">
        <v>-1.1779999999999999</v>
      </c>
      <c r="X63">
        <v>0.70199999999999996</v>
      </c>
      <c r="Y63" t="b">
        <v>1</v>
      </c>
      <c r="Z63" t="s">
        <v>49</v>
      </c>
      <c r="AA63" t="e">
        <f t="shared" si="7"/>
        <v>#VALUE!</v>
      </c>
      <c r="AB63">
        <f t="shared" si="1"/>
        <v>-9.4532920837402301</v>
      </c>
      <c r="AC63">
        <f t="shared" si="8"/>
        <v>31.468990081312675</v>
      </c>
      <c r="AD63" t="e">
        <f t="shared" si="9"/>
        <v>#VALUE!</v>
      </c>
      <c r="AE63" t="e">
        <f t="shared" ca="1" si="10"/>
        <v>#VALUE!</v>
      </c>
      <c r="AG63" s="2">
        <f t="shared" si="16"/>
        <v>3.1429200000275159E-2</v>
      </c>
      <c r="AH63" s="2">
        <f t="shared" si="15"/>
        <v>1.824997600000188</v>
      </c>
      <c r="AI63">
        <v>2911.8232735000001</v>
      </c>
      <c r="AJ63">
        <v>193.03844571428499</v>
      </c>
      <c r="AK63">
        <v>31.044011428571402</v>
      </c>
      <c r="AL63" s="2">
        <f t="shared" si="12"/>
        <v>4.4042285714286002</v>
      </c>
      <c r="AM63" s="2">
        <f t="shared" si="3"/>
        <v>4.3039255542701955</v>
      </c>
      <c r="AN63" s="2">
        <f t="shared" si="13"/>
        <v>0.10030301715840473</v>
      </c>
      <c r="AO63" s="2"/>
    </row>
    <row r="64" spans="1:41" x14ac:dyDescent="0.3">
      <c r="A64">
        <f t="shared" si="4"/>
        <v>0</v>
      </c>
      <c r="B64" s="2">
        <f t="shared" si="5"/>
        <v>15.12830000001486</v>
      </c>
      <c r="C64" s="2" t="e">
        <f t="shared" si="14"/>
        <v>#VALUE!</v>
      </c>
      <c r="D64" s="2">
        <f t="shared" si="6"/>
        <v>0.85417240000015227</v>
      </c>
      <c r="E64" s="2"/>
      <c r="F64">
        <v>3222.5294699999999</v>
      </c>
      <c r="G64" t="s">
        <v>37</v>
      </c>
      <c r="H64" t="s">
        <v>37</v>
      </c>
      <c r="I64" t="s">
        <v>37</v>
      </c>
      <c r="J64" t="s">
        <v>37</v>
      </c>
      <c r="K64" t="s">
        <v>37</v>
      </c>
      <c r="L64" t="s">
        <v>37</v>
      </c>
      <c r="M64" t="s">
        <v>37</v>
      </c>
      <c r="N64">
        <v>0</v>
      </c>
      <c r="O64">
        <v>0</v>
      </c>
      <c r="P64">
        <v>0</v>
      </c>
      <c r="Q64">
        <v>0</v>
      </c>
      <c r="R64">
        <v>-9.4532920837402307E-2</v>
      </c>
      <c r="S64">
        <v>6.8467155456542902E-2</v>
      </c>
      <c r="T64">
        <v>0</v>
      </c>
      <c r="U64">
        <v>160.78899999999999</v>
      </c>
      <c r="V64">
        <v>-0.84899999999999998</v>
      </c>
      <c r="W64">
        <v>-1.1779999999999999</v>
      </c>
      <c r="X64">
        <v>0.70199999999999996</v>
      </c>
      <c r="Y64" t="b">
        <v>1</v>
      </c>
      <c r="Z64" t="s">
        <v>49</v>
      </c>
      <c r="AA64" t="e">
        <f t="shared" si="7"/>
        <v>#VALUE!</v>
      </c>
      <c r="AB64">
        <f t="shared" si="1"/>
        <v>-9.4532920837402301</v>
      </c>
      <c r="AC64">
        <f t="shared" si="8"/>
        <v>31.325977842682089</v>
      </c>
      <c r="AD64" t="e">
        <f t="shared" si="9"/>
        <v>#VALUE!</v>
      </c>
      <c r="AE64" t="e">
        <f t="shared" ca="1" si="10"/>
        <v>#VALUE!</v>
      </c>
      <c r="AG64" s="2">
        <f t="shared" si="16"/>
        <v>3.1860600000072736E-2</v>
      </c>
      <c r="AH64" s="2">
        <f t="shared" si="15"/>
        <v>1.8568582000002607</v>
      </c>
      <c r="AI64">
        <v>2911.8551341000002</v>
      </c>
      <c r="AJ64">
        <v>193.40398285714201</v>
      </c>
      <c r="AK64">
        <v>31.6783657142857</v>
      </c>
      <c r="AL64" s="2">
        <f t="shared" si="12"/>
        <v>5.0385828571428988</v>
      </c>
      <c r="AM64" s="2">
        <f t="shared" si="3"/>
        <v>4.802895799837982</v>
      </c>
      <c r="AN64" s="2">
        <f t="shared" si="13"/>
        <v>0.23568705730491679</v>
      </c>
      <c r="AO64" s="2"/>
    </row>
    <row r="65" spans="1:41" x14ac:dyDescent="0.3">
      <c r="A65">
        <f t="shared" si="4"/>
        <v>0</v>
      </c>
      <c r="B65" s="2">
        <f t="shared" si="5"/>
        <v>15.556800000013027</v>
      </c>
      <c r="C65" s="2" t="e">
        <f t="shared" si="14"/>
        <v>#VALUE!</v>
      </c>
      <c r="D65" s="2">
        <f t="shared" si="6"/>
        <v>0.86972920000016529</v>
      </c>
      <c r="E65" s="2"/>
      <c r="F65">
        <v>3222.5450268</v>
      </c>
      <c r="G65" t="s">
        <v>37</v>
      </c>
      <c r="H65" t="s">
        <v>37</v>
      </c>
      <c r="I65" t="s">
        <v>37</v>
      </c>
      <c r="J65" t="s">
        <v>37</v>
      </c>
      <c r="K65" t="s">
        <v>37</v>
      </c>
      <c r="L65" t="s">
        <v>37</v>
      </c>
      <c r="M65" t="s">
        <v>37</v>
      </c>
      <c r="N65">
        <v>0</v>
      </c>
      <c r="O65">
        <v>0</v>
      </c>
      <c r="P65">
        <v>0</v>
      </c>
      <c r="Q65">
        <v>0</v>
      </c>
      <c r="R65">
        <v>-9.5098167419433596E-2</v>
      </c>
      <c r="S65">
        <v>-2.2404758930206201E-3</v>
      </c>
      <c r="T65">
        <v>0</v>
      </c>
      <c r="U65">
        <v>160.55500000000001</v>
      </c>
      <c r="V65">
        <v>-1.6419999999999999</v>
      </c>
      <c r="W65">
        <v>-1.524</v>
      </c>
      <c r="X65">
        <v>0.70199999999999996</v>
      </c>
      <c r="Y65" t="b">
        <v>1</v>
      </c>
      <c r="Z65" t="s">
        <v>49</v>
      </c>
      <c r="AA65" t="e">
        <f t="shared" si="7"/>
        <v>#VALUE!</v>
      </c>
      <c r="AB65">
        <f t="shared" si="1"/>
        <v>-9.509816741943359</v>
      </c>
      <c r="AC65">
        <f t="shared" si="8"/>
        <v>31.178914868393637</v>
      </c>
      <c r="AD65" t="e">
        <f t="shared" si="9"/>
        <v>#VALUE!</v>
      </c>
      <c r="AE65" t="e">
        <f t="shared" ca="1" si="10"/>
        <v>#VALUE!</v>
      </c>
      <c r="AG65" s="2">
        <f t="shared" si="16"/>
        <v>3.1158999999661319E-2</v>
      </c>
      <c r="AH65" s="2">
        <f t="shared" si="15"/>
        <v>1.888017199999922</v>
      </c>
      <c r="AI65">
        <v>2911.8862930999999</v>
      </c>
      <c r="AJ65">
        <v>193.75476</v>
      </c>
      <c r="AK65">
        <v>32.276039999999902</v>
      </c>
      <c r="AL65" s="2">
        <f t="shared" si="12"/>
        <v>5.6362571428571009</v>
      </c>
      <c r="AM65" s="2">
        <f t="shared" si="3"/>
        <v>5.3145187224191091</v>
      </c>
      <c r="AN65" s="2">
        <f t="shared" si="13"/>
        <v>0.32173842043799183</v>
      </c>
      <c r="AO65" s="2"/>
    </row>
    <row r="66" spans="1:41" x14ac:dyDescent="0.3">
      <c r="A66">
        <f t="shared" si="4"/>
        <v>0</v>
      </c>
      <c r="B66" s="2">
        <f t="shared" si="5"/>
        <v>15.519300000050862</v>
      </c>
      <c r="C66" s="2" t="e">
        <f t="shared" si="14"/>
        <v>#VALUE!</v>
      </c>
      <c r="D66" s="2">
        <f t="shared" si="6"/>
        <v>0.88524850000021615</v>
      </c>
      <c r="E66" s="2"/>
      <c r="F66">
        <v>3222.5605461</v>
      </c>
      <c r="G66" t="s">
        <v>37</v>
      </c>
      <c r="H66" t="s">
        <v>37</v>
      </c>
      <c r="I66" t="s">
        <v>37</v>
      </c>
      <c r="J66" t="s">
        <v>37</v>
      </c>
      <c r="K66" t="s">
        <v>37</v>
      </c>
      <c r="L66" t="s">
        <v>37</v>
      </c>
      <c r="M66" t="s">
        <v>37</v>
      </c>
      <c r="N66">
        <v>0</v>
      </c>
      <c r="O66">
        <v>0</v>
      </c>
      <c r="P66">
        <v>0</v>
      </c>
      <c r="Q66">
        <v>0</v>
      </c>
      <c r="R66">
        <v>-9.5098167419433596E-2</v>
      </c>
      <c r="S66">
        <v>-2.2404758930206201E-3</v>
      </c>
      <c r="T66">
        <v>0</v>
      </c>
      <c r="U66">
        <v>160.55500000000001</v>
      </c>
      <c r="V66">
        <v>-1.6419999999999999</v>
      </c>
      <c r="W66">
        <v>-1.524</v>
      </c>
      <c r="X66">
        <v>0.70199999999999996</v>
      </c>
      <c r="Y66" t="b">
        <v>1</v>
      </c>
      <c r="Z66" t="s">
        <v>49</v>
      </c>
      <c r="AA66" t="e">
        <f t="shared" si="7"/>
        <v>#VALUE!</v>
      </c>
      <c r="AB66">
        <f t="shared" si="1"/>
        <v>-9.509816741943359</v>
      </c>
      <c r="AC66">
        <f t="shared" si="8"/>
        <v>31.031329169429913</v>
      </c>
      <c r="AD66" t="e">
        <f t="shared" si="9"/>
        <v>#VALUE!</v>
      </c>
      <c r="AE66" t="e">
        <f t="shared" ca="1" si="10"/>
        <v>#VALUE!</v>
      </c>
      <c r="AG66" s="2">
        <f t="shared" si="16"/>
        <v>4.5746700000108831E-2</v>
      </c>
      <c r="AH66" s="2">
        <f t="shared" si="15"/>
        <v>1.9337639000000308</v>
      </c>
      <c r="AI66">
        <v>2911.9320398</v>
      </c>
      <c r="AJ66">
        <v>194.09424000000001</v>
      </c>
      <c r="AK66">
        <v>32.70796</v>
      </c>
      <c r="AL66" s="2">
        <f t="shared" si="12"/>
        <v>6.0681771428571984</v>
      </c>
      <c r="AM66" s="2">
        <f t="shared" si="3"/>
        <v>6.1072056408099327</v>
      </c>
      <c r="AN66" s="2">
        <f t="shared" si="13"/>
        <v>3.902849795273422E-2</v>
      </c>
      <c r="AO66" s="2"/>
    </row>
    <row r="67" spans="1:41" x14ac:dyDescent="0.3">
      <c r="A67">
        <f t="shared" si="4"/>
        <v>0</v>
      </c>
      <c r="B67" s="2">
        <f t="shared" si="5"/>
        <v>15.670700000100624</v>
      </c>
      <c r="C67" s="2" t="e">
        <f t="shared" si="14"/>
        <v>#VALUE!</v>
      </c>
      <c r="D67" s="2">
        <f t="shared" si="6"/>
        <v>0.90091920000031678</v>
      </c>
      <c r="E67" s="2"/>
      <c r="F67">
        <v>3222.5762168000001</v>
      </c>
      <c r="G67" t="s">
        <v>37</v>
      </c>
      <c r="H67" t="s">
        <v>37</v>
      </c>
      <c r="I67" t="s">
        <v>37</v>
      </c>
      <c r="J67" t="s">
        <v>37</v>
      </c>
      <c r="K67" t="s">
        <v>37</v>
      </c>
      <c r="L67" t="s">
        <v>37</v>
      </c>
      <c r="M67" t="s">
        <v>37</v>
      </c>
      <c r="N67">
        <v>0</v>
      </c>
      <c r="O67">
        <v>0</v>
      </c>
      <c r="P67">
        <v>0</v>
      </c>
      <c r="Q67">
        <v>0</v>
      </c>
      <c r="R67">
        <v>-9.5098167419433596E-2</v>
      </c>
      <c r="S67">
        <v>-2.2404758930206201E-3</v>
      </c>
      <c r="T67">
        <v>0</v>
      </c>
      <c r="U67">
        <v>160.55500000000001</v>
      </c>
      <c r="V67">
        <v>-1.6419999999999999</v>
      </c>
      <c r="W67">
        <v>-1.524</v>
      </c>
      <c r="X67">
        <v>0.70199999999999996</v>
      </c>
      <c r="Y67" t="b">
        <v>1</v>
      </c>
      <c r="Z67" t="s">
        <v>49</v>
      </c>
      <c r="AA67" t="e">
        <f t="shared" si="7"/>
        <v>#VALUE!</v>
      </c>
      <c r="AB67">
        <f t="shared" si="1"/>
        <v>-9.509816741943359</v>
      </c>
      <c r="AC67">
        <f t="shared" si="8"/>
        <v>30.882303684210985</v>
      </c>
      <c r="AD67" t="e">
        <f t="shared" si="9"/>
        <v>#VALUE!</v>
      </c>
      <c r="AE67" t="e">
        <f t="shared" ca="1" si="10"/>
        <v>#VALUE!</v>
      </c>
      <c r="AG67" s="2">
        <f t="shared" si="16"/>
        <v>3.1401700000060373E-2</v>
      </c>
      <c r="AH67" s="2">
        <f t="shared" si="15"/>
        <v>1.9651656000000912</v>
      </c>
      <c r="AI67">
        <v>2911.9634415</v>
      </c>
      <c r="AJ67">
        <v>194.43863999999999</v>
      </c>
      <c r="AK67">
        <v>33.103199999999902</v>
      </c>
      <c r="AL67" s="2">
        <f t="shared" si="12"/>
        <v>6.4634171428571001</v>
      </c>
      <c r="AM67" s="2">
        <f t="shared" si="3"/>
        <v>6.6793779391449224</v>
      </c>
      <c r="AN67" s="2">
        <f t="shared" si="13"/>
        <v>0.21596079628782228</v>
      </c>
      <c r="AO67" s="2"/>
    </row>
    <row r="68" spans="1:41" x14ac:dyDescent="0.3">
      <c r="A68">
        <f t="shared" si="4"/>
        <v>0</v>
      </c>
      <c r="B68" s="2">
        <f t="shared" si="5"/>
        <v>2.759299999979703</v>
      </c>
      <c r="C68" s="2" t="e">
        <f t="shared" si="14"/>
        <v>#VALUE!</v>
      </c>
      <c r="D68" s="2">
        <f t="shared" si="6"/>
        <v>0.90367850000029648</v>
      </c>
      <c r="E68" s="2"/>
      <c r="F68">
        <v>3222.5789761000001</v>
      </c>
      <c r="G68" t="s">
        <v>37</v>
      </c>
      <c r="H68" t="s">
        <v>37</v>
      </c>
      <c r="I68" t="s">
        <v>37</v>
      </c>
      <c r="J68" t="s">
        <v>37</v>
      </c>
      <c r="K68" t="s">
        <v>37</v>
      </c>
      <c r="L68" t="s">
        <v>37</v>
      </c>
      <c r="M68" t="s">
        <v>37</v>
      </c>
      <c r="N68">
        <v>0</v>
      </c>
      <c r="O68">
        <v>0</v>
      </c>
      <c r="P68">
        <v>0</v>
      </c>
      <c r="Q68">
        <v>0</v>
      </c>
      <c r="R68">
        <v>-9.5098167419433596E-2</v>
      </c>
      <c r="S68">
        <v>-2.2404758930206201E-3</v>
      </c>
      <c r="T68">
        <v>0</v>
      </c>
      <c r="U68">
        <v>160.55500000000001</v>
      </c>
      <c r="V68">
        <v>-1.6419999999999999</v>
      </c>
      <c r="W68">
        <v>-1.524</v>
      </c>
      <c r="X68">
        <v>0.70199999999999996</v>
      </c>
      <c r="Y68" t="b">
        <v>1</v>
      </c>
      <c r="Z68" t="s">
        <v>49</v>
      </c>
      <c r="AA68" t="e">
        <f t="shared" si="7"/>
        <v>#VALUE!</v>
      </c>
      <c r="AB68">
        <f t="shared" si="1"/>
        <v>-9.509816741943359</v>
      </c>
      <c r="AC68">
        <f t="shared" si="8"/>
        <v>30.856063246875134</v>
      </c>
      <c r="AD68" t="e">
        <f t="shared" si="9"/>
        <v>#VALUE!</v>
      </c>
      <c r="AE68" t="e">
        <f t="shared" ca="1" si="10"/>
        <v>#VALUE!</v>
      </c>
      <c r="AG68" s="2">
        <f t="shared" si="16"/>
        <v>3.1796199999917008E-2</v>
      </c>
      <c r="AH68" s="2">
        <f t="shared" si="15"/>
        <v>1.9969618000000082</v>
      </c>
      <c r="AI68">
        <v>2911.9952377</v>
      </c>
      <c r="AJ68">
        <v>194.79288</v>
      </c>
      <c r="AK68">
        <v>33.461759999999998</v>
      </c>
      <c r="AL68" s="2">
        <f t="shared" si="12"/>
        <v>6.8219771428571967</v>
      </c>
      <c r="AM68" s="2">
        <f t="shared" si="3"/>
        <v>7.2815555652696062</v>
      </c>
      <c r="AN68" s="2">
        <f t="shared" si="13"/>
        <v>0.45957842241240954</v>
      </c>
      <c r="AO68" s="2"/>
    </row>
    <row r="69" spans="1:41" x14ac:dyDescent="0.3">
      <c r="A69">
        <f t="shared" si="4"/>
        <v>0</v>
      </c>
      <c r="B69" s="2">
        <f t="shared" si="5"/>
        <v>13.028200000007928</v>
      </c>
      <c r="C69" s="2" t="e">
        <f t="shared" si="14"/>
        <v>#VALUE!</v>
      </c>
      <c r="D69" s="2">
        <f t="shared" si="6"/>
        <v>0.91670670000030441</v>
      </c>
      <c r="E69" s="2"/>
      <c r="F69">
        <v>3222.5920043000001</v>
      </c>
      <c r="G69" t="s">
        <v>37</v>
      </c>
      <c r="H69" t="s">
        <v>37</v>
      </c>
      <c r="I69" t="s">
        <v>37</v>
      </c>
      <c r="J69" t="s">
        <v>37</v>
      </c>
      <c r="K69" t="s">
        <v>37</v>
      </c>
      <c r="L69" t="s">
        <v>37</v>
      </c>
      <c r="M69" t="s">
        <v>37</v>
      </c>
      <c r="N69">
        <v>0</v>
      </c>
      <c r="O69">
        <v>0</v>
      </c>
      <c r="P69">
        <v>0</v>
      </c>
      <c r="Q69">
        <v>0</v>
      </c>
      <c r="R69">
        <v>-9.5098167419433596E-2</v>
      </c>
      <c r="S69">
        <v>-2.2404758930206201E-3</v>
      </c>
      <c r="T69">
        <v>0</v>
      </c>
      <c r="U69">
        <v>160.55500000000001</v>
      </c>
      <c r="V69">
        <v>-2.1160000000000001</v>
      </c>
      <c r="W69">
        <v>-1.524</v>
      </c>
      <c r="X69">
        <v>0.70199999999999996</v>
      </c>
      <c r="Y69" t="b">
        <v>1</v>
      </c>
      <c r="Z69" t="s">
        <v>49</v>
      </c>
      <c r="AA69" t="e">
        <f t="shared" si="7"/>
        <v>#VALUE!</v>
      </c>
      <c r="AB69">
        <f t="shared" si="1"/>
        <v>-9.509816741943359</v>
      </c>
      <c r="AC69">
        <f t="shared" si="8"/>
        <v>30.732167452397672</v>
      </c>
      <c r="AD69" t="e">
        <f t="shared" si="9"/>
        <v>#VALUE!</v>
      </c>
      <c r="AE69" t="e">
        <f t="shared" ca="1" si="10"/>
        <v>#VALUE!</v>
      </c>
      <c r="AG69" s="2">
        <f t="shared" si="16"/>
        <v>3.0953100000260747E-2</v>
      </c>
      <c r="AH69" s="2">
        <f t="shared" si="15"/>
        <v>2.027914900000269</v>
      </c>
      <c r="AI69">
        <v>2912.0261908000002</v>
      </c>
      <c r="AJ69">
        <v>195.16368</v>
      </c>
      <c r="AK69">
        <v>34.1829999999999</v>
      </c>
      <c r="AL69" s="2">
        <f t="shared" si="12"/>
        <v>7.5432171428570989</v>
      </c>
      <c r="AM69" s="2">
        <f t="shared" si="3"/>
        <v>7.8894508563132844</v>
      </c>
      <c r="AN69" s="2">
        <f t="shared" si="13"/>
        <v>0.34623371345618548</v>
      </c>
      <c r="AO69" s="2"/>
    </row>
    <row r="70" spans="1:41" x14ac:dyDescent="0.3">
      <c r="A70">
        <f t="shared" si="4"/>
        <v>0</v>
      </c>
      <c r="B70" s="2">
        <f t="shared" si="5"/>
        <v>15.483499999845662</v>
      </c>
      <c r="C70" s="2" t="e">
        <f t="shared" si="14"/>
        <v>#VALUE!</v>
      </c>
      <c r="D70" s="2">
        <f t="shared" si="6"/>
        <v>0.93219020000015007</v>
      </c>
      <c r="E70" s="2"/>
      <c r="F70">
        <v>3222.6074877999999</v>
      </c>
      <c r="G70" t="s">
        <v>37</v>
      </c>
      <c r="H70" t="s">
        <v>37</v>
      </c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>
        <v>0</v>
      </c>
      <c r="O70">
        <v>0</v>
      </c>
      <c r="P70">
        <v>0</v>
      </c>
      <c r="Q70">
        <v>0</v>
      </c>
      <c r="R70">
        <v>-8.3087768554687497E-2</v>
      </c>
      <c r="S70">
        <v>-1.74467163085937E-2</v>
      </c>
      <c r="T70">
        <v>0</v>
      </c>
      <c r="U70">
        <v>160.62799999999999</v>
      </c>
      <c r="V70">
        <v>-2.1160000000000001</v>
      </c>
      <c r="W70">
        <v>-0.91700000000000004</v>
      </c>
      <c r="X70">
        <v>0.7</v>
      </c>
      <c r="Y70" t="b">
        <v>1</v>
      </c>
      <c r="Z70" t="s">
        <v>49</v>
      </c>
      <c r="AA70" t="e">
        <f t="shared" si="7"/>
        <v>#VALUE!</v>
      </c>
      <c r="AB70">
        <f t="shared" si="1"/>
        <v>-8.30877685546875</v>
      </c>
      <c r="AC70">
        <f t="shared" si="8"/>
        <v>30.584922204875259</v>
      </c>
      <c r="AD70" t="e">
        <f t="shared" si="9"/>
        <v>#VALUE!</v>
      </c>
      <c r="AE70" t="e">
        <f t="shared" ca="1" si="10"/>
        <v>#VALUE!</v>
      </c>
      <c r="AG70" s="2">
        <f t="shared" si="16"/>
        <v>3.112169999985781E-2</v>
      </c>
      <c r="AH70" s="2">
        <f t="shared" si="15"/>
        <v>2.0590366000001268</v>
      </c>
      <c r="AI70">
        <v>2912.0573125000001</v>
      </c>
      <c r="AJ70">
        <v>195.53904</v>
      </c>
      <c r="AK70">
        <v>35.115559999999903</v>
      </c>
      <c r="AL70" s="2">
        <f t="shared" si="12"/>
        <v>8.4757771428571012</v>
      </c>
      <c r="AM70" s="2">
        <f t="shared" si="3"/>
        <v>8.5218655519733879</v>
      </c>
      <c r="AN70" s="2">
        <f t="shared" si="13"/>
        <v>4.6088409116286755E-2</v>
      </c>
      <c r="AO70" s="2"/>
    </row>
    <row r="71" spans="1:41" x14ac:dyDescent="0.3">
      <c r="A71">
        <f t="shared" si="4"/>
        <v>0</v>
      </c>
      <c r="B71" s="2">
        <f t="shared" si="5"/>
        <v>15.441999999893596</v>
      </c>
      <c r="C71" s="2" t="e">
        <f t="shared" si="14"/>
        <v>#VALUE!</v>
      </c>
      <c r="D71" s="2">
        <f t="shared" si="6"/>
        <v>0.94763220000004367</v>
      </c>
      <c r="E71" s="2"/>
      <c r="F71">
        <v>3222.6229297999998</v>
      </c>
      <c r="G71" t="s">
        <v>37</v>
      </c>
      <c r="H71" t="s">
        <v>37</v>
      </c>
      <c r="I71" t="s">
        <v>37</v>
      </c>
      <c r="J71" t="s">
        <v>37</v>
      </c>
      <c r="K71" t="s">
        <v>37</v>
      </c>
      <c r="L71" t="s">
        <v>37</v>
      </c>
      <c r="M71" t="s">
        <v>37</v>
      </c>
      <c r="N71">
        <v>0</v>
      </c>
      <c r="O71">
        <v>0</v>
      </c>
      <c r="P71">
        <v>0</v>
      </c>
      <c r="Q71">
        <v>0</v>
      </c>
      <c r="R71">
        <v>-8.3087768554687497E-2</v>
      </c>
      <c r="S71">
        <v>-1.74467163085937E-2</v>
      </c>
      <c r="T71">
        <v>0</v>
      </c>
      <c r="U71">
        <v>160.62799999999999</v>
      </c>
      <c r="V71">
        <v>-2.1160000000000001</v>
      </c>
      <c r="W71">
        <v>-0.91700000000000004</v>
      </c>
      <c r="X71">
        <v>0.7</v>
      </c>
      <c r="Y71" t="b">
        <v>1</v>
      </c>
      <c r="Z71" t="s">
        <v>49</v>
      </c>
      <c r="AA71" t="e">
        <f t="shared" si="7"/>
        <v>#VALUE!</v>
      </c>
      <c r="AB71">
        <f t="shared" ref="AB71:AB134" si="17">R71*100</f>
        <v>-8.30877685546875</v>
      </c>
      <c r="AC71">
        <f t="shared" si="8"/>
        <v>30.456618072673994</v>
      </c>
      <c r="AD71" t="e">
        <f t="shared" si="9"/>
        <v>#VALUE!</v>
      </c>
      <c r="AE71" t="e">
        <f t="shared" ca="1" si="10"/>
        <v>#VALUE!</v>
      </c>
      <c r="AG71" s="2">
        <f t="shared" si="16"/>
        <v>3.0705699999998615E-2</v>
      </c>
      <c r="AH71" s="2">
        <f t="shared" ref="AH71:AH89" si="18">AI71-$AI$7</f>
        <v>2.0897423000001254</v>
      </c>
      <c r="AI71">
        <v>2912.0880182000001</v>
      </c>
      <c r="AJ71">
        <v>195.91788</v>
      </c>
      <c r="AK71">
        <v>36.162799999999997</v>
      </c>
      <c r="AL71" s="2">
        <f t="shared" si="12"/>
        <v>9.5230171428571957</v>
      </c>
      <c r="AM71" s="2">
        <f t="shared" ref="AM71:AM134" si="19">IF(AH71&lt;$AM$3,0,$AM$1*((AH71-$AM$3)-$AM$2+($AM$2*(EXP(-1*(AH71-$AM$3)/$AM$2)))))</f>
        <v>9.166323973178331</v>
      </c>
      <c r="AN71" s="2">
        <f t="shared" si="13"/>
        <v>0.35669316967886466</v>
      </c>
      <c r="AO71" s="2"/>
    </row>
    <row r="72" spans="1:41" x14ac:dyDescent="0.3">
      <c r="A72">
        <f t="shared" ref="A72:A135" si="20">N72*100</f>
        <v>0</v>
      </c>
      <c r="B72" s="2">
        <f t="shared" ref="B72:B135" si="21">(F72-F71)*1000</f>
        <v>15.094600000338687</v>
      </c>
      <c r="C72" s="2" t="e">
        <f t="shared" si="14"/>
        <v>#VALUE!</v>
      </c>
      <c r="D72" s="2">
        <f t="shared" ref="D72:D135" si="22">F72-$F$7</f>
        <v>0.96272680000038235</v>
      </c>
      <c r="E72" s="2"/>
      <c r="F72">
        <v>3222.6380244000002</v>
      </c>
      <c r="G72" t="s">
        <v>37</v>
      </c>
      <c r="H72" t="s">
        <v>37</v>
      </c>
      <c r="I72" t="s">
        <v>37</v>
      </c>
      <c r="J72" t="s">
        <v>37</v>
      </c>
      <c r="K72" t="s">
        <v>37</v>
      </c>
      <c r="L72" t="s">
        <v>37</v>
      </c>
      <c r="M72" t="s">
        <v>37</v>
      </c>
      <c r="N72">
        <v>0</v>
      </c>
      <c r="O72">
        <v>0</v>
      </c>
      <c r="P72">
        <v>0</v>
      </c>
      <c r="Q72">
        <v>0</v>
      </c>
      <c r="R72">
        <v>-8.3087768554687497E-2</v>
      </c>
      <c r="S72">
        <v>-1.74467163085937E-2</v>
      </c>
      <c r="T72">
        <v>0</v>
      </c>
      <c r="U72">
        <v>160.62799999999999</v>
      </c>
      <c r="V72">
        <v>-2.1160000000000001</v>
      </c>
      <c r="W72">
        <v>-0.91700000000000004</v>
      </c>
      <c r="X72">
        <v>0.7</v>
      </c>
      <c r="Y72" t="b">
        <v>1</v>
      </c>
      <c r="Z72" t="s">
        <v>49</v>
      </c>
      <c r="AA72" t="e">
        <f t="shared" ref="AA72:AA135" si="23">$K$4+($AA$4/$K$3*(K72-$K$4))</f>
        <v>#VALUE!</v>
      </c>
      <c r="AB72">
        <f t="shared" si="17"/>
        <v>-8.30877685546875</v>
      </c>
      <c r="AC72">
        <f t="shared" ref="AC72:AC135" si="24">AC71+(AB71*(D72-D71))</f>
        <v>30.331200409548622</v>
      </c>
      <c r="AD72" t="e">
        <f t="shared" ref="AD72:AD135" si="25">IF((L72-L71)/(D72-D71)&lt;100,IF((L72-L71)/(D72-D71)&gt;(-1*20),(L72-L71)/(D72-D71),AD71))</f>
        <v>#VALUE!</v>
      </c>
      <c r="AE72" t="e">
        <f t="shared" ref="AE72:AE135" ca="1" si="26">IF(ROW(AD72)-ROW($AD$7)+1&gt;=$AE$6, AVERAGE(OFFSET(AD72, 0, 0, $AE$6, 1)), NA())</f>
        <v>#VALUE!</v>
      </c>
      <c r="AG72" s="2">
        <f t="shared" ref="AG72:AG89" si="27">AI72-AI71</f>
        <v>3.166559999999663E-2</v>
      </c>
      <c r="AH72" s="2">
        <f t="shared" si="18"/>
        <v>2.121407900000122</v>
      </c>
      <c r="AI72">
        <v>2912.1196838000001</v>
      </c>
      <c r="AJ72">
        <v>196.27849714285699</v>
      </c>
      <c r="AK72">
        <v>37.333874285714202</v>
      </c>
      <c r="AL72" s="2">
        <f t="shared" ref="AL72:AL135" si="28">AK72-$AK$4</f>
        <v>10.694091428571401</v>
      </c>
      <c r="AM72" s="2">
        <f t="shared" si="19"/>
        <v>9.8518980077597558</v>
      </c>
      <c r="AN72" s="2">
        <f t="shared" ref="AN72:AN135" si="29">ABS(AM72-AL72)</f>
        <v>0.84219342081164505</v>
      </c>
      <c r="AO72" s="2"/>
    </row>
    <row r="73" spans="1:41" x14ac:dyDescent="0.3">
      <c r="A73">
        <f t="shared" si="20"/>
        <v>0</v>
      </c>
      <c r="B73" s="2">
        <f t="shared" si="21"/>
        <v>15.355099999851518</v>
      </c>
      <c r="C73" s="2" t="e">
        <f t="shared" ref="C73:C136" si="30">L73-L72</f>
        <v>#VALUE!</v>
      </c>
      <c r="D73" s="2">
        <f t="shared" si="22"/>
        <v>0.97808190000023387</v>
      </c>
      <c r="E73" s="2"/>
      <c r="F73">
        <v>3222.6533795</v>
      </c>
      <c r="G73" t="s">
        <v>37</v>
      </c>
      <c r="H73" t="s">
        <v>37</v>
      </c>
      <c r="I73" t="s">
        <v>37</v>
      </c>
      <c r="J73" t="s">
        <v>37</v>
      </c>
      <c r="K73" t="s">
        <v>37</v>
      </c>
      <c r="L73" t="s">
        <v>37</v>
      </c>
      <c r="M73" t="s">
        <v>37</v>
      </c>
      <c r="N73">
        <v>0</v>
      </c>
      <c r="O73">
        <v>0</v>
      </c>
      <c r="P73">
        <v>0</v>
      </c>
      <c r="Q73">
        <v>0</v>
      </c>
      <c r="R73">
        <v>-8.3087768554687497E-2</v>
      </c>
      <c r="S73">
        <v>-1.74467163085937E-2</v>
      </c>
      <c r="T73">
        <v>0</v>
      </c>
      <c r="U73">
        <v>160.62799999999999</v>
      </c>
      <c r="V73">
        <v>-2.1160000000000001</v>
      </c>
      <c r="W73">
        <v>-0.91700000000000004</v>
      </c>
      <c r="X73">
        <v>0.7</v>
      </c>
      <c r="Y73" t="b">
        <v>1</v>
      </c>
      <c r="Z73" t="s">
        <v>49</v>
      </c>
      <c r="AA73" t="e">
        <f t="shared" si="23"/>
        <v>#VALUE!</v>
      </c>
      <c r="AB73">
        <f t="shared" si="17"/>
        <v>-8.30877685546875</v>
      </c>
      <c r="AC73">
        <f t="shared" si="24"/>
        <v>30.203618310056449</v>
      </c>
      <c r="AD73" t="e">
        <f t="shared" si="25"/>
        <v>#VALUE!</v>
      </c>
      <c r="AE73" t="e">
        <f t="shared" ca="1" si="26"/>
        <v>#VALUE!</v>
      </c>
      <c r="AG73" s="2">
        <f t="shared" si="27"/>
        <v>4.6709899999768822E-2</v>
      </c>
      <c r="AH73" s="2">
        <f t="shared" si="18"/>
        <v>2.1681177999998908</v>
      </c>
      <c r="AI73">
        <v>2912.1663936999998</v>
      </c>
      <c r="AJ73">
        <v>196.63911428571399</v>
      </c>
      <c r="AK73">
        <v>38.468268571428503</v>
      </c>
      <c r="AL73" s="2">
        <f t="shared" si="28"/>
        <v>11.828485714285701</v>
      </c>
      <c r="AM73" s="2">
        <f t="shared" si="19"/>
        <v>10.90130283388395</v>
      </c>
      <c r="AN73" s="2">
        <f t="shared" si="29"/>
        <v>0.92718288040175167</v>
      </c>
      <c r="AO73" s="2"/>
    </row>
    <row r="74" spans="1:41" x14ac:dyDescent="0.3">
      <c r="A74">
        <f t="shared" si="20"/>
        <v>0</v>
      </c>
      <c r="B74" s="2">
        <f t="shared" si="21"/>
        <v>15.342099999998027</v>
      </c>
      <c r="C74" s="2" t="e">
        <f t="shared" si="30"/>
        <v>#VALUE!</v>
      </c>
      <c r="D74" s="2">
        <f t="shared" si="22"/>
        <v>0.9934240000002319</v>
      </c>
      <c r="E74" s="2"/>
      <c r="F74">
        <v>3222.6687216</v>
      </c>
      <c r="G74" t="s">
        <v>37</v>
      </c>
      <c r="H74" t="s">
        <v>37</v>
      </c>
      <c r="I74" t="s">
        <v>37</v>
      </c>
      <c r="J74" t="s">
        <v>37</v>
      </c>
      <c r="K74" t="s">
        <v>37</v>
      </c>
      <c r="L74" t="s">
        <v>37</v>
      </c>
      <c r="M74" t="s">
        <v>37</v>
      </c>
      <c r="N74">
        <v>0</v>
      </c>
      <c r="O74">
        <v>0</v>
      </c>
      <c r="P74">
        <v>0</v>
      </c>
      <c r="Q74">
        <v>0</v>
      </c>
      <c r="R74">
        <v>-5.4534168243408197E-2</v>
      </c>
      <c r="S74">
        <v>-1.43649253845214E-2</v>
      </c>
      <c r="T74">
        <v>0</v>
      </c>
      <c r="U74">
        <v>160.52799999999999</v>
      </c>
      <c r="V74">
        <v>-2.121</v>
      </c>
      <c r="W74">
        <v>-0.218</v>
      </c>
      <c r="X74">
        <v>0.69699999999999995</v>
      </c>
      <c r="Y74" t="b">
        <v>1</v>
      </c>
      <c r="Z74" t="s">
        <v>49</v>
      </c>
      <c r="AA74" t="e">
        <f t="shared" si="23"/>
        <v>#VALUE!</v>
      </c>
      <c r="AB74">
        <f t="shared" si="17"/>
        <v>-5.4534168243408194</v>
      </c>
      <c r="AC74">
        <f t="shared" si="24"/>
        <v>30.076144224662176</v>
      </c>
      <c r="AD74" t="e">
        <f t="shared" si="25"/>
        <v>#VALUE!</v>
      </c>
      <c r="AE74" t="e">
        <f t="shared" ca="1" si="26"/>
        <v>#VALUE!</v>
      </c>
      <c r="AG74" s="2">
        <f t="shared" si="27"/>
        <v>1.5807900000254449E-2</v>
      </c>
      <c r="AH74" s="2">
        <f t="shared" si="18"/>
        <v>2.1839257000001453</v>
      </c>
      <c r="AI74">
        <v>2912.1822016000001</v>
      </c>
      <c r="AJ74">
        <v>196.99481142857101</v>
      </c>
      <c r="AK74">
        <v>39.597422857142803</v>
      </c>
      <c r="AL74" s="2">
        <f t="shared" si="28"/>
        <v>12.957640000000001</v>
      </c>
      <c r="AM74" s="2">
        <f t="shared" si="19"/>
        <v>11.266566661334116</v>
      </c>
      <c r="AN74" s="2">
        <f t="shared" si="29"/>
        <v>1.6910733386658858</v>
      </c>
      <c r="AO74" s="2"/>
    </row>
    <row r="75" spans="1:41" x14ac:dyDescent="0.3">
      <c r="A75">
        <f t="shared" si="20"/>
        <v>0</v>
      </c>
      <c r="B75" s="2">
        <f t="shared" si="21"/>
        <v>16.094600000087667</v>
      </c>
      <c r="C75" s="2" t="e">
        <f t="shared" si="30"/>
        <v>#VALUE!</v>
      </c>
      <c r="D75" s="2">
        <f t="shared" si="22"/>
        <v>1.0095186000003196</v>
      </c>
      <c r="E75" s="2"/>
      <c r="F75">
        <v>3222.6848162000001</v>
      </c>
      <c r="G75" t="s">
        <v>37</v>
      </c>
      <c r="H75" t="s">
        <v>37</v>
      </c>
      <c r="I75" t="s">
        <v>37</v>
      </c>
      <c r="J75" t="s">
        <v>37</v>
      </c>
      <c r="K75" t="s">
        <v>37</v>
      </c>
      <c r="L75" t="s">
        <v>37</v>
      </c>
      <c r="M75" t="s">
        <v>37</v>
      </c>
      <c r="N75">
        <v>0</v>
      </c>
      <c r="O75">
        <v>0</v>
      </c>
      <c r="P75">
        <v>0</v>
      </c>
      <c r="Q75">
        <v>0</v>
      </c>
      <c r="R75">
        <v>-5.4534168243408197E-2</v>
      </c>
      <c r="S75">
        <v>-1.43649253845214E-2</v>
      </c>
      <c r="T75">
        <v>0</v>
      </c>
      <c r="U75">
        <v>160.52799999999999</v>
      </c>
      <c r="V75">
        <v>-2.121</v>
      </c>
      <c r="W75">
        <v>-0.218</v>
      </c>
      <c r="X75">
        <v>0.69699999999999995</v>
      </c>
      <c r="Y75" t="b">
        <v>1</v>
      </c>
      <c r="Z75" t="s">
        <v>49</v>
      </c>
      <c r="AA75" t="e">
        <f t="shared" si="23"/>
        <v>#VALUE!</v>
      </c>
      <c r="AB75">
        <f t="shared" si="17"/>
        <v>-5.4534168243408194</v>
      </c>
      <c r="AC75">
        <f t="shared" si="24"/>
        <v>29.988373662240662</v>
      </c>
      <c r="AD75" t="e">
        <f t="shared" si="25"/>
        <v>#VALUE!</v>
      </c>
      <c r="AE75" t="e">
        <f t="shared" ca="1" si="26"/>
        <v>#VALUE!</v>
      </c>
      <c r="AG75" s="2">
        <f t="shared" si="27"/>
        <v>3.1160900000031688E-2</v>
      </c>
      <c r="AH75" s="2">
        <f t="shared" si="18"/>
        <v>2.215086600000177</v>
      </c>
      <c r="AI75">
        <v>2912.2133625000001</v>
      </c>
      <c r="AJ75">
        <v>197.35542857142801</v>
      </c>
      <c r="AK75">
        <v>40.721337142857102</v>
      </c>
      <c r="AL75" s="2">
        <f t="shared" si="28"/>
        <v>14.081554285714301</v>
      </c>
      <c r="AM75" s="2">
        <f t="shared" si="19"/>
        <v>12.00131559605583</v>
      </c>
      <c r="AN75" s="2">
        <f t="shared" si="29"/>
        <v>2.0802386896584704</v>
      </c>
      <c r="AO75" s="2"/>
    </row>
    <row r="76" spans="1:41" x14ac:dyDescent="0.3">
      <c r="A76">
        <f t="shared" si="20"/>
        <v>0</v>
      </c>
      <c r="B76" s="2">
        <f t="shared" si="21"/>
        <v>15.433600000051229</v>
      </c>
      <c r="C76" s="2" t="e">
        <f t="shared" si="30"/>
        <v>#VALUE!</v>
      </c>
      <c r="D76" s="2">
        <f t="shared" si="22"/>
        <v>1.0249522000003708</v>
      </c>
      <c r="E76" s="2"/>
      <c r="F76">
        <v>3222.7002498000002</v>
      </c>
      <c r="G76" t="s">
        <v>37</v>
      </c>
      <c r="H76" t="s">
        <v>37</v>
      </c>
      <c r="I76" t="s">
        <v>37</v>
      </c>
      <c r="J76" t="s">
        <v>37</v>
      </c>
      <c r="K76" t="s">
        <v>37</v>
      </c>
      <c r="L76" t="s">
        <v>37</v>
      </c>
      <c r="M76" t="s">
        <v>37</v>
      </c>
      <c r="N76">
        <v>0</v>
      </c>
      <c r="O76">
        <v>0</v>
      </c>
      <c r="P76">
        <v>0</v>
      </c>
      <c r="Q76">
        <v>0</v>
      </c>
      <c r="R76">
        <v>-5.4534168243408197E-2</v>
      </c>
      <c r="S76">
        <v>-1.43649253845214E-2</v>
      </c>
      <c r="T76">
        <v>0</v>
      </c>
      <c r="U76">
        <v>160.52799999999999</v>
      </c>
      <c r="V76">
        <v>-2.121</v>
      </c>
      <c r="W76">
        <v>-0.218</v>
      </c>
      <c r="X76">
        <v>0.69699999999999995</v>
      </c>
      <c r="Y76" t="b">
        <v>1</v>
      </c>
      <c r="Z76" t="s">
        <v>49</v>
      </c>
      <c r="AA76" t="e">
        <f t="shared" si="23"/>
        <v>#VALUE!</v>
      </c>
      <c r="AB76">
        <f t="shared" si="17"/>
        <v>-5.4534168243408194</v>
      </c>
      <c r="AC76">
        <f t="shared" si="24"/>
        <v>29.904207808340235</v>
      </c>
      <c r="AD76" t="e">
        <f t="shared" si="25"/>
        <v>#VALUE!</v>
      </c>
      <c r="AE76" t="e">
        <f t="shared" ca="1" si="26"/>
        <v>#VALUE!</v>
      </c>
      <c r="AG76" s="2">
        <f t="shared" si="27"/>
        <v>3.0829199999971024E-2</v>
      </c>
      <c r="AH76" s="2">
        <f t="shared" si="18"/>
        <v>2.245915800000148</v>
      </c>
      <c r="AI76">
        <v>2912.2441917000001</v>
      </c>
      <c r="AJ76">
        <v>197.725748571428</v>
      </c>
      <c r="AK76">
        <v>41.7318971428571</v>
      </c>
      <c r="AL76" s="2">
        <f t="shared" si="28"/>
        <v>15.092114285714299</v>
      </c>
      <c r="AM76" s="2">
        <f t="shared" si="19"/>
        <v>12.747213767245489</v>
      </c>
      <c r="AN76" s="2">
        <f t="shared" si="29"/>
        <v>2.3449005184688101</v>
      </c>
      <c r="AO76" s="2"/>
    </row>
    <row r="77" spans="1:41" x14ac:dyDescent="0.3">
      <c r="A77">
        <f t="shared" si="20"/>
        <v>0</v>
      </c>
      <c r="B77" s="2">
        <f t="shared" si="21"/>
        <v>15.227399999730551</v>
      </c>
      <c r="C77" s="2" t="e">
        <f t="shared" si="30"/>
        <v>#VALUE!</v>
      </c>
      <c r="D77" s="2">
        <f t="shared" si="22"/>
        <v>1.0401796000001013</v>
      </c>
      <c r="E77" s="2"/>
      <c r="F77">
        <v>3222.7154771999999</v>
      </c>
      <c r="G77" t="s">
        <v>37</v>
      </c>
      <c r="H77" t="s">
        <v>37</v>
      </c>
      <c r="I77" t="s">
        <v>37</v>
      </c>
      <c r="J77" t="s">
        <v>37</v>
      </c>
      <c r="K77" t="s">
        <v>37</v>
      </c>
      <c r="L77" t="s">
        <v>37</v>
      </c>
      <c r="M77" t="s">
        <v>37</v>
      </c>
      <c r="N77">
        <v>0</v>
      </c>
      <c r="O77">
        <v>0</v>
      </c>
      <c r="P77">
        <v>0</v>
      </c>
      <c r="Q77">
        <v>0</v>
      </c>
      <c r="R77">
        <v>-5.4534168243408197E-2</v>
      </c>
      <c r="S77">
        <v>-1.43649253845214E-2</v>
      </c>
      <c r="T77">
        <v>0</v>
      </c>
      <c r="U77">
        <v>160.52799999999999</v>
      </c>
      <c r="V77">
        <v>-2.121</v>
      </c>
      <c r="W77">
        <v>-0.218</v>
      </c>
      <c r="X77">
        <v>0.69699999999999995</v>
      </c>
      <c r="Y77" t="b">
        <v>1</v>
      </c>
      <c r="Z77" t="s">
        <v>49</v>
      </c>
      <c r="AA77" t="e">
        <f t="shared" si="23"/>
        <v>#VALUE!</v>
      </c>
      <c r="AB77">
        <f t="shared" si="17"/>
        <v>-5.4534168243408194</v>
      </c>
      <c r="AC77">
        <f t="shared" si="24"/>
        <v>29.821166448990738</v>
      </c>
      <c r="AD77" t="e">
        <f t="shared" si="25"/>
        <v>#VALUE!</v>
      </c>
      <c r="AE77" t="e">
        <f t="shared" ca="1" si="26"/>
        <v>#VALUE!</v>
      </c>
      <c r="AG77" s="2">
        <f t="shared" si="27"/>
        <v>3.0843099999856349E-2</v>
      </c>
      <c r="AH77" s="2">
        <f t="shared" si="18"/>
        <v>2.2767589000000044</v>
      </c>
      <c r="AI77">
        <v>2912.2750348</v>
      </c>
      <c r="AJ77">
        <v>198.10098857142799</v>
      </c>
      <c r="AK77">
        <v>42.747697142857099</v>
      </c>
      <c r="AL77" s="2">
        <f t="shared" si="28"/>
        <v>16.107914285714298</v>
      </c>
      <c r="AM77" s="2">
        <f t="shared" si="19"/>
        <v>13.512017931786298</v>
      </c>
      <c r="AN77" s="2">
        <f t="shared" si="29"/>
        <v>2.5958963539279996</v>
      </c>
      <c r="AO77" s="2"/>
    </row>
    <row r="78" spans="1:41" x14ac:dyDescent="0.3">
      <c r="A78">
        <f t="shared" si="20"/>
        <v>0</v>
      </c>
      <c r="B78" s="2">
        <f t="shared" si="21"/>
        <v>15.785800000230665</v>
      </c>
      <c r="C78" s="2" t="e">
        <f t="shared" si="30"/>
        <v>#VALUE!</v>
      </c>
      <c r="D78" s="2">
        <f t="shared" si="22"/>
        <v>1.055965400000332</v>
      </c>
      <c r="E78" s="2"/>
      <c r="F78">
        <v>3222.7312630000001</v>
      </c>
      <c r="G78" t="s">
        <v>37</v>
      </c>
      <c r="H78" t="s">
        <v>37</v>
      </c>
      <c r="I78" t="s">
        <v>37</v>
      </c>
      <c r="J78" t="s">
        <v>37</v>
      </c>
      <c r="K78" t="s">
        <v>37</v>
      </c>
      <c r="L78" t="s">
        <v>37</v>
      </c>
      <c r="M78" t="s">
        <v>37</v>
      </c>
      <c r="N78">
        <v>0</v>
      </c>
      <c r="O78">
        <v>0</v>
      </c>
      <c r="P78">
        <v>0</v>
      </c>
      <c r="Q78">
        <v>0</v>
      </c>
      <c r="R78">
        <v>-5.4534168243408197E-2</v>
      </c>
      <c r="S78">
        <v>-1.43649253845214E-2</v>
      </c>
      <c r="T78">
        <v>0</v>
      </c>
      <c r="U78">
        <v>160.52799999999999</v>
      </c>
      <c r="V78">
        <v>-1.835</v>
      </c>
      <c r="W78">
        <v>-0.218</v>
      </c>
      <c r="X78">
        <v>0.69699999999999995</v>
      </c>
      <c r="Y78" t="b">
        <v>1</v>
      </c>
      <c r="Z78" t="s">
        <v>49</v>
      </c>
      <c r="AA78" t="e">
        <f t="shared" si="23"/>
        <v>#VALUE!</v>
      </c>
      <c r="AB78">
        <f t="shared" si="17"/>
        <v>-5.4534168243408194</v>
      </c>
      <c r="AC78">
        <f t="shared" si="24"/>
        <v>29.7350799016838</v>
      </c>
      <c r="AD78" t="e">
        <f t="shared" si="25"/>
        <v>#VALUE!</v>
      </c>
      <c r="AE78" t="e">
        <f t="shared" ca="1" si="26"/>
        <v>#VALUE!</v>
      </c>
      <c r="AG78" s="2">
        <f t="shared" si="27"/>
        <v>7.8645999999935157E-2</v>
      </c>
      <c r="AH78" s="2">
        <f t="shared" si="18"/>
        <v>2.3554048999999395</v>
      </c>
      <c r="AI78">
        <v>2912.3536807999999</v>
      </c>
      <c r="AJ78">
        <v>198.500828571428</v>
      </c>
      <c r="AK78">
        <v>43.763497142857098</v>
      </c>
      <c r="AL78" s="2">
        <f t="shared" si="28"/>
        <v>17.123714285714296</v>
      </c>
      <c r="AM78" s="2">
        <f t="shared" si="19"/>
        <v>15.544148194374598</v>
      </c>
      <c r="AN78" s="2">
        <f t="shared" si="29"/>
        <v>1.5795660913396983</v>
      </c>
      <c r="AO78" s="2"/>
    </row>
    <row r="79" spans="1:41" x14ac:dyDescent="0.3">
      <c r="A79">
        <f t="shared" si="20"/>
        <v>0</v>
      </c>
      <c r="B79" s="2">
        <f t="shared" si="21"/>
        <v>15.864799999690149</v>
      </c>
      <c r="C79" s="2" t="e">
        <f t="shared" si="30"/>
        <v>#VALUE!</v>
      </c>
      <c r="D79" s="2">
        <f t="shared" si="22"/>
        <v>1.0718302000000222</v>
      </c>
      <c r="E79" s="2"/>
      <c r="F79">
        <v>3222.7471277999998</v>
      </c>
      <c r="G79" t="s">
        <v>37</v>
      </c>
      <c r="H79" t="s">
        <v>37</v>
      </c>
      <c r="I79" t="s">
        <v>37</v>
      </c>
      <c r="J79" t="s">
        <v>37</v>
      </c>
      <c r="K79" t="s">
        <v>37</v>
      </c>
      <c r="L79" t="s">
        <v>37</v>
      </c>
      <c r="M79" t="s">
        <v>37</v>
      </c>
      <c r="N79">
        <v>0</v>
      </c>
      <c r="O79">
        <v>0</v>
      </c>
      <c r="P79">
        <v>0</v>
      </c>
      <c r="Q79">
        <v>0</v>
      </c>
      <c r="R79">
        <v>-4.79116134643554E-2</v>
      </c>
      <c r="S79">
        <v>-2.3709489822387599E-2</v>
      </c>
      <c r="T79">
        <v>0</v>
      </c>
      <c r="U79">
        <v>160.50399999999999</v>
      </c>
      <c r="V79">
        <v>-1.835</v>
      </c>
      <c r="W79">
        <v>0.23200000000000001</v>
      </c>
      <c r="X79">
        <v>0.69299999999999995</v>
      </c>
      <c r="Y79" t="b">
        <v>1</v>
      </c>
      <c r="Z79" t="s">
        <v>49</v>
      </c>
      <c r="AA79" t="e">
        <f t="shared" si="23"/>
        <v>#VALUE!</v>
      </c>
      <c r="AB79">
        <f t="shared" si="17"/>
        <v>-4.7911613464355396</v>
      </c>
      <c r="AC79">
        <f t="shared" si="24"/>
        <v>29.648562534450686</v>
      </c>
      <c r="AD79" t="e">
        <f t="shared" si="25"/>
        <v>#VALUE!</v>
      </c>
      <c r="AE79" t="e">
        <f t="shared" ca="1" si="26"/>
        <v>#VALUE!</v>
      </c>
      <c r="AG79" s="2">
        <f t="shared" si="27"/>
        <v>1.586330000009184E-2</v>
      </c>
      <c r="AH79" s="2">
        <f t="shared" si="18"/>
        <v>2.3712682000000314</v>
      </c>
      <c r="AI79">
        <v>2912.3695441</v>
      </c>
      <c r="AJ79">
        <v>198.89754857142799</v>
      </c>
      <c r="AK79">
        <v>44.374697142857102</v>
      </c>
      <c r="AL79" s="2">
        <f t="shared" si="28"/>
        <v>17.7349142857143</v>
      </c>
      <c r="AM79" s="2">
        <f t="shared" si="19"/>
        <v>15.967994312709223</v>
      </c>
      <c r="AN79" s="2">
        <f t="shared" si="29"/>
        <v>1.7669199730050771</v>
      </c>
      <c r="AO79" s="2"/>
    </row>
    <row r="80" spans="1:41" x14ac:dyDescent="0.3">
      <c r="A80">
        <f t="shared" si="20"/>
        <v>0</v>
      </c>
      <c r="B80" s="2">
        <f t="shared" si="21"/>
        <v>15.725500000371539</v>
      </c>
      <c r="C80" s="2" t="e">
        <f t="shared" si="30"/>
        <v>#VALUE!</v>
      </c>
      <c r="D80" s="2">
        <f t="shared" si="22"/>
        <v>1.0875557000003937</v>
      </c>
      <c r="E80" s="2"/>
      <c r="F80">
        <v>3222.7628533000002</v>
      </c>
      <c r="G80" t="s">
        <v>37</v>
      </c>
      <c r="H80" t="s">
        <v>37</v>
      </c>
      <c r="I80" t="s">
        <v>37</v>
      </c>
      <c r="J80" t="s">
        <v>37</v>
      </c>
      <c r="K80" t="s">
        <v>37</v>
      </c>
      <c r="L80" t="s">
        <v>37</v>
      </c>
      <c r="M80" t="s">
        <v>37</v>
      </c>
      <c r="N80">
        <v>0</v>
      </c>
      <c r="O80">
        <v>0</v>
      </c>
      <c r="P80">
        <v>0</v>
      </c>
      <c r="Q80">
        <v>0</v>
      </c>
      <c r="R80">
        <v>-4.79116134643554E-2</v>
      </c>
      <c r="S80">
        <v>-2.3709489822387599E-2</v>
      </c>
      <c r="T80">
        <v>0</v>
      </c>
      <c r="U80">
        <v>160.50399999999999</v>
      </c>
      <c r="V80">
        <v>-1.835</v>
      </c>
      <c r="W80">
        <v>0.23200000000000001</v>
      </c>
      <c r="X80">
        <v>0.69299999999999995</v>
      </c>
      <c r="Y80" t="b">
        <v>1</v>
      </c>
      <c r="Z80" t="s">
        <v>49</v>
      </c>
      <c r="AA80" t="e">
        <f t="shared" si="23"/>
        <v>#VALUE!</v>
      </c>
      <c r="AB80">
        <f t="shared" si="17"/>
        <v>-4.7911613464355396</v>
      </c>
      <c r="AC80">
        <f t="shared" si="24"/>
        <v>29.573219126695534</v>
      </c>
      <c r="AD80" t="e">
        <f t="shared" si="25"/>
        <v>#VALUE!</v>
      </c>
      <c r="AE80" t="e">
        <f t="shared" ca="1" si="26"/>
        <v>#VALUE!</v>
      </c>
      <c r="AG80" s="2">
        <f t="shared" si="27"/>
        <v>1.4869900000121561E-2</v>
      </c>
      <c r="AH80" s="2">
        <f t="shared" si="18"/>
        <v>2.3861381000001529</v>
      </c>
      <c r="AI80">
        <v>2912.3844140000001</v>
      </c>
      <c r="AJ80">
        <v>199.309028571428</v>
      </c>
      <c r="AK80">
        <v>44.985897142857098</v>
      </c>
      <c r="AL80" s="2">
        <f t="shared" si="28"/>
        <v>18.346114285714297</v>
      </c>
      <c r="AM80" s="2">
        <f t="shared" si="19"/>
        <v>16.369469003701056</v>
      </c>
      <c r="AN80" s="2">
        <f t="shared" si="29"/>
        <v>1.9766452820132407</v>
      </c>
      <c r="AO80" s="2"/>
    </row>
    <row r="81" spans="1:41" x14ac:dyDescent="0.3">
      <c r="A81">
        <f t="shared" si="20"/>
        <v>0</v>
      </c>
      <c r="B81" s="2">
        <f t="shared" si="21"/>
        <v>15.290099999674567</v>
      </c>
      <c r="C81" s="2" t="e">
        <f t="shared" si="30"/>
        <v>#VALUE!</v>
      </c>
      <c r="D81" s="2">
        <f t="shared" si="22"/>
        <v>1.1028458000000683</v>
      </c>
      <c r="E81" s="2"/>
      <c r="F81">
        <v>3222.7781433999999</v>
      </c>
      <c r="G81" t="s">
        <v>37</v>
      </c>
      <c r="H81" t="s">
        <v>37</v>
      </c>
      <c r="I81" t="s">
        <v>37</v>
      </c>
      <c r="J81" t="s">
        <v>37</v>
      </c>
      <c r="K81" t="s">
        <v>37</v>
      </c>
      <c r="L81" t="s">
        <v>37</v>
      </c>
      <c r="M81" t="s">
        <v>37</v>
      </c>
      <c r="N81">
        <v>0</v>
      </c>
      <c r="O81">
        <v>0</v>
      </c>
      <c r="P81">
        <v>0</v>
      </c>
      <c r="Q81">
        <v>0</v>
      </c>
      <c r="R81">
        <v>-4.79116134643554E-2</v>
      </c>
      <c r="S81">
        <v>-2.3709489822387599E-2</v>
      </c>
      <c r="T81">
        <v>0</v>
      </c>
      <c r="U81">
        <v>160.50399999999999</v>
      </c>
      <c r="V81">
        <v>-1.835</v>
      </c>
      <c r="W81">
        <v>0.23200000000000001</v>
      </c>
      <c r="X81">
        <v>0.69299999999999995</v>
      </c>
      <c r="Y81" t="b">
        <v>1</v>
      </c>
      <c r="Z81" t="s">
        <v>49</v>
      </c>
      <c r="AA81" t="e">
        <f t="shared" si="23"/>
        <v>#VALUE!</v>
      </c>
      <c r="AB81">
        <f t="shared" si="17"/>
        <v>-4.7911613464355396</v>
      </c>
      <c r="AC81">
        <f t="shared" si="24"/>
        <v>29.499961790593961</v>
      </c>
      <c r="AD81" t="e">
        <f t="shared" si="25"/>
        <v>#VALUE!</v>
      </c>
      <c r="AE81" t="e">
        <f t="shared" ca="1" si="26"/>
        <v>#VALUE!</v>
      </c>
      <c r="AG81" s="2">
        <f t="shared" si="27"/>
        <v>3.0856999999741674E-2</v>
      </c>
      <c r="AH81" s="2">
        <f t="shared" si="18"/>
        <v>2.4169950999998946</v>
      </c>
      <c r="AI81">
        <v>2912.4152709999998</v>
      </c>
      <c r="AJ81">
        <v>199.72542857142801</v>
      </c>
      <c r="AK81">
        <v>45.607577142857103</v>
      </c>
      <c r="AL81" s="2">
        <f t="shared" si="28"/>
        <v>18.967794285714302</v>
      </c>
      <c r="AM81" s="2">
        <f t="shared" si="19"/>
        <v>17.215318054415352</v>
      </c>
      <c r="AN81" s="2">
        <f t="shared" si="29"/>
        <v>1.7524762312989495</v>
      </c>
      <c r="AO81" s="2"/>
    </row>
    <row r="82" spans="1:41" x14ac:dyDescent="0.3">
      <c r="A82">
        <f t="shared" si="20"/>
        <v>0</v>
      </c>
      <c r="B82" s="2">
        <f t="shared" si="21"/>
        <v>15.956799999912619</v>
      </c>
      <c r="C82" s="2" t="e">
        <f t="shared" si="30"/>
        <v>#VALUE!</v>
      </c>
      <c r="D82" s="2">
        <f t="shared" si="22"/>
        <v>1.1188025999999809</v>
      </c>
      <c r="E82" s="2"/>
      <c r="F82">
        <v>3222.7941001999998</v>
      </c>
      <c r="G82" t="s">
        <v>37</v>
      </c>
      <c r="H82" t="s">
        <v>37</v>
      </c>
      <c r="I82" t="s">
        <v>37</v>
      </c>
      <c r="J82" t="s">
        <v>37</v>
      </c>
      <c r="K82" t="s">
        <v>37</v>
      </c>
      <c r="L82" t="s">
        <v>37</v>
      </c>
      <c r="M82" t="s">
        <v>37</v>
      </c>
      <c r="N82">
        <v>0</v>
      </c>
      <c r="O82">
        <v>0</v>
      </c>
      <c r="P82">
        <v>0</v>
      </c>
      <c r="Q82">
        <v>0</v>
      </c>
      <c r="R82">
        <v>-4.79116134643554E-2</v>
      </c>
      <c r="S82">
        <v>-2.3709489822387599E-2</v>
      </c>
      <c r="T82">
        <v>0</v>
      </c>
      <c r="U82">
        <v>160.50399999999999</v>
      </c>
      <c r="V82">
        <v>-1.5880000000000001</v>
      </c>
      <c r="W82">
        <v>0.23200000000000001</v>
      </c>
      <c r="X82">
        <v>0.69299999999999995</v>
      </c>
      <c r="Y82" t="b">
        <v>1</v>
      </c>
      <c r="Z82" t="s">
        <v>49</v>
      </c>
      <c r="AA82" t="e">
        <f t="shared" si="23"/>
        <v>#VALUE!</v>
      </c>
      <c r="AB82">
        <f t="shared" si="17"/>
        <v>-4.7911613464355396</v>
      </c>
      <c r="AC82">
        <f t="shared" si="24"/>
        <v>29.423510187221577</v>
      </c>
      <c r="AD82" t="e">
        <f t="shared" si="25"/>
        <v>#VALUE!</v>
      </c>
      <c r="AE82" t="e">
        <f t="shared" ca="1" si="26"/>
        <v>#VALUE!</v>
      </c>
      <c r="AG82" s="2">
        <f t="shared" si="27"/>
        <v>3.1378200000290235E-2</v>
      </c>
      <c r="AH82" s="2">
        <f t="shared" si="18"/>
        <v>2.4483733000001848</v>
      </c>
      <c r="AI82">
        <v>2912.4466492000001</v>
      </c>
      <c r="AJ82">
        <v>200.13510857142799</v>
      </c>
      <c r="AK82">
        <v>45.8351371428571</v>
      </c>
      <c r="AL82" s="2">
        <f t="shared" si="28"/>
        <v>19.195354285714298</v>
      </c>
      <c r="AM82" s="2">
        <f t="shared" si="19"/>
        <v>18.092839119871382</v>
      </c>
      <c r="AN82" s="2">
        <f t="shared" si="29"/>
        <v>1.1025151658429166</v>
      </c>
      <c r="AO82" s="2"/>
    </row>
    <row r="83" spans="1:41" x14ac:dyDescent="0.3">
      <c r="A83">
        <f t="shared" si="20"/>
        <v>0</v>
      </c>
      <c r="B83" s="2">
        <f t="shared" si="21"/>
        <v>16.060800000104791</v>
      </c>
      <c r="C83" s="2" t="e">
        <f t="shared" si="30"/>
        <v>#VALUE!</v>
      </c>
      <c r="D83" s="2">
        <f t="shared" si="22"/>
        <v>1.1348634000000857</v>
      </c>
      <c r="E83" s="2"/>
      <c r="F83">
        <v>3222.8101609999999</v>
      </c>
      <c r="G83" t="s">
        <v>37</v>
      </c>
      <c r="H83" t="s">
        <v>37</v>
      </c>
      <c r="I83" t="s">
        <v>37</v>
      </c>
      <c r="J83" t="s">
        <v>37</v>
      </c>
      <c r="K83" t="s">
        <v>37</v>
      </c>
      <c r="L83" t="s">
        <v>37</v>
      </c>
      <c r="M83" t="s">
        <v>37</v>
      </c>
      <c r="N83">
        <v>0</v>
      </c>
      <c r="O83">
        <v>0</v>
      </c>
      <c r="P83">
        <v>0</v>
      </c>
      <c r="Q83">
        <v>0</v>
      </c>
      <c r="R83">
        <v>-5.0565231323242102E-2</v>
      </c>
      <c r="S83">
        <v>-1.51272478103637E-2</v>
      </c>
      <c r="T83">
        <v>0</v>
      </c>
      <c r="U83">
        <v>160.43799999999999</v>
      </c>
      <c r="V83">
        <v>-1.5880000000000001</v>
      </c>
      <c r="W83">
        <v>0.59099999999999997</v>
      </c>
      <c r="X83">
        <v>0.68799999999999994</v>
      </c>
      <c r="Y83" t="b">
        <v>1</v>
      </c>
      <c r="Z83" t="s">
        <v>49</v>
      </c>
      <c r="AA83" t="e">
        <f t="shared" si="23"/>
        <v>#VALUE!</v>
      </c>
      <c r="AB83">
        <f t="shared" si="17"/>
        <v>-5.0565231323242106</v>
      </c>
      <c r="AC83">
        <f t="shared" si="24"/>
        <v>29.346560303068244</v>
      </c>
      <c r="AD83" t="e">
        <f t="shared" si="25"/>
        <v>#VALUE!</v>
      </c>
      <c r="AE83" t="e">
        <f t="shared" ca="1" si="26"/>
        <v>#VALUE!</v>
      </c>
      <c r="AG83" s="2">
        <f t="shared" si="27"/>
        <v>4.6244199999819102E-2</v>
      </c>
      <c r="AH83" s="2">
        <f t="shared" si="18"/>
        <v>2.4946175000000039</v>
      </c>
      <c r="AI83">
        <v>2912.4928934</v>
      </c>
      <c r="AJ83">
        <v>200.554628571428</v>
      </c>
      <c r="AK83">
        <v>46.062697142857097</v>
      </c>
      <c r="AL83" s="2">
        <f t="shared" si="28"/>
        <v>19.422914285714295</v>
      </c>
      <c r="AM83" s="2">
        <f t="shared" si="19"/>
        <v>19.417442220985436</v>
      </c>
      <c r="AN83" s="2">
        <f t="shared" si="29"/>
        <v>5.472064728859749E-3</v>
      </c>
      <c r="AO83" s="2"/>
    </row>
    <row r="84" spans="1:41" x14ac:dyDescent="0.3">
      <c r="A84">
        <f t="shared" si="20"/>
        <v>0</v>
      </c>
      <c r="B84" s="2">
        <f t="shared" si="21"/>
        <v>15.798200000062934</v>
      </c>
      <c r="C84" s="2" t="e">
        <f t="shared" si="30"/>
        <v>#VALUE!</v>
      </c>
      <c r="D84" s="2">
        <f t="shared" si="22"/>
        <v>1.1506616000001486</v>
      </c>
      <c r="E84" s="2"/>
      <c r="F84">
        <v>3222.8259591999999</v>
      </c>
      <c r="G84" t="s">
        <v>37</v>
      </c>
      <c r="H84" t="s">
        <v>37</v>
      </c>
      <c r="I84" t="s">
        <v>37</v>
      </c>
      <c r="J84" t="s">
        <v>37</v>
      </c>
      <c r="K84" t="s">
        <v>37</v>
      </c>
      <c r="L84" t="s">
        <v>37</v>
      </c>
      <c r="M84" t="s">
        <v>37</v>
      </c>
      <c r="N84">
        <v>0</v>
      </c>
      <c r="O84">
        <v>0</v>
      </c>
      <c r="P84">
        <v>0</v>
      </c>
      <c r="Q84">
        <v>0</v>
      </c>
      <c r="R84">
        <v>-5.0565231323242102E-2</v>
      </c>
      <c r="S84">
        <v>-1.51272478103637E-2</v>
      </c>
      <c r="T84">
        <v>0</v>
      </c>
      <c r="U84">
        <v>160.43799999999999</v>
      </c>
      <c r="V84">
        <v>-1.5880000000000001</v>
      </c>
      <c r="W84">
        <v>0.59099999999999997</v>
      </c>
      <c r="X84">
        <v>0.68799999999999994</v>
      </c>
      <c r="Y84" t="b">
        <v>1</v>
      </c>
      <c r="Z84" t="s">
        <v>49</v>
      </c>
      <c r="AA84" t="e">
        <f t="shared" si="23"/>
        <v>#VALUE!</v>
      </c>
      <c r="AB84">
        <f t="shared" si="17"/>
        <v>-5.0565231323242106</v>
      </c>
      <c r="AC84">
        <f t="shared" si="24"/>
        <v>29.266676339318842</v>
      </c>
      <c r="AD84" t="e">
        <f t="shared" si="25"/>
        <v>#VALUE!</v>
      </c>
      <c r="AE84" t="e">
        <f t="shared" ca="1" si="26"/>
        <v>#VALUE!</v>
      </c>
      <c r="AG84" s="2">
        <f t="shared" si="27"/>
        <v>1.5734200000224519E-2</v>
      </c>
      <c r="AH84" s="2">
        <f t="shared" si="18"/>
        <v>2.5103517000002284</v>
      </c>
      <c r="AI84">
        <v>2912.5086276000002</v>
      </c>
      <c r="AJ84">
        <v>200.983988571428</v>
      </c>
      <c r="AK84">
        <v>46.290257142857101</v>
      </c>
      <c r="AL84" s="2">
        <f t="shared" si="28"/>
        <v>19.650474285714299</v>
      </c>
      <c r="AM84" s="2">
        <f t="shared" si="19"/>
        <v>19.876499894833188</v>
      </c>
      <c r="AN84" s="2">
        <f t="shared" si="29"/>
        <v>0.22602560911888858</v>
      </c>
      <c r="AO84" s="2"/>
    </row>
    <row r="85" spans="1:41" x14ac:dyDescent="0.3">
      <c r="A85">
        <f t="shared" si="20"/>
        <v>0</v>
      </c>
      <c r="B85" s="2">
        <f t="shared" si="21"/>
        <v>15.400900000258844</v>
      </c>
      <c r="C85" s="2" t="e">
        <f t="shared" si="30"/>
        <v>#VALUE!</v>
      </c>
      <c r="D85" s="2">
        <f t="shared" si="22"/>
        <v>1.1660625000004075</v>
      </c>
      <c r="E85" s="2"/>
      <c r="F85">
        <v>3222.8413601000002</v>
      </c>
      <c r="G85" t="s">
        <v>37</v>
      </c>
      <c r="H85" t="s">
        <v>37</v>
      </c>
      <c r="I85" t="s">
        <v>37</v>
      </c>
      <c r="J85" t="s">
        <v>37</v>
      </c>
      <c r="K85" t="s">
        <v>37</v>
      </c>
      <c r="L85" t="s">
        <v>37</v>
      </c>
      <c r="M85" t="s">
        <v>37</v>
      </c>
      <c r="N85">
        <v>0</v>
      </c>
      <c r="O85">
        <v>0</v>
      </c>
      <c r="P85">
        <v>0</v>
      </c>
      <c r="Q85">
        <v>0</v>
      </c>
      <c r="R85">
        <v>-5.0565231323242102E-2</v>
      </c>
      <c r="S85">
        <v>-1.51272478103637E-2</v>
      </c>
      <c r="T85">
        <v>0</v>
      </c>
      <c r="U85">
        <v>160.43799999999999</v>
      </c>
      <c r="V85">
        <v>-1.5880000000000001</v>
      </c>
      <c r="W85">
        <v>0.59099999999999997</v>
      </c>
      <c r="X85">
        <v>0.68799999999999994</v>
      </c>
      <c r="Y85" t="b">
        <v>1</v>
      </c>
      <c r="Z85" t="s">
        <v>49</v>
      </c>
      <c r="AA85" t="e">
        <f t="shared" si="23"/>
        <v>#VALUE!</v>
      </c>
      <c r="AB85">
        <f t="shared" si="17"/>
        <v>-5.0565231323242106</v>
      </c>
      <c r="AC85">
        <f t="shared" si="24"/>
        <v>29.188801332208921</v>
      </c>
      <c r="AD85" t="e">
        <f t="shared" si="25"/>
        <v>#VALUE!</v>
      </c>
      <c r="AE85" t="e">
        <f t="shared" ca="1" si="26"/>
        <v>#VALUE!</v>
      </c>
      <c r="AG85" s="2">
        <f t="shared" si="27"/>
        <v>3.0880099999649246E-2</v>
      </c>
      <c r="AH85" s="2">
        <f t="shared" si="18"/>
        <v>2.5412317999998777</v>
      </c>
      <c r="AI85">
        <v>2912.5395076999998</v>
      </c>
      <c r="AJ85">
        <v>201.423188571428</v>
      </c>
      <c r="AK85">
        <v>46.507337142857097</v>
      </c>
      <c r="AL85" s="2">
        <f t="shared" si="28"/>
        <v>19.867554285714295</v>
      </c>
      <c r="AM85" s="2">
        <f t="shared" si="19"/>
        <v>20.789605435478467</v>
      </c>
      <c r="AN85" s="2">
        <f t="shared" si="29"/>
        <v>0.92205114976417235</v>
      </c>
      <c r="AO85" s="2"/>
    </row>
    <row r="86" spans="1:41" x14ac:dyDescent="0.3">
      <c r="A86">
        <f t="shared" si="20"/>
        <v>0</v>
      </c>
      <c r="B86" s="2">
        <f t="shared" si="21"/>
        <v>15.912099999695783</v>
      </c>
      <c r="C86" s="2" t="e">
        <f t="shared" si="30"/>
        <v>#VALUE!</v>
      </c>
      <c r="D86" s="2">
        <f t="shared" si="22"/>
        <v>1.1819746000001032</v>
      </c>
      <c r="E86" s="2"/>
      <c r="F86">
        <v>3222.8572721999999</v>
      </c>
      <c r="G86" t="s">
        <v>37</v>
      </c>
      <c r="H86" t="s">
        <v>37</v>
      </c>
      <c r="I86" t="s">
        <v>37</v>
      </c>
      <c r="J86" t="s">
        <v>37</v>
      </c>
      <c r="K86" t="s">
        <v>37</v>
      </c>
      <c r="L86" t="s">
        <v>37</v>
      </c>
      <c r="M86" t="s">
        <v>37</v>
      </c>
      <c r="N86">
        <v>0</v>
      </c>
      <c r="O86">
        <v>0</v>
      </c>
      <c r="P86">
        <v>0</v>
      </c>
      <c r="Q86">
        <v>0</v>
      </c>
      <c r="R86">
        <v>-5.0565231323242102E-2</v>
      </c>
      <c r="S86">
        <v>-1.51272478103637E-2</v>
      </c>
      <c r="T86">
        <v>0</v>
      </c>
      <c r="U86">
        <v>160.43799999999999</v>
      </c>
      <c r="V86">
        <v>-1.5880000000000001</v>
      </c>
      <c r="W86">
        <v>0.59099999999999997</v>
      </c>
      <c r="X86">
        <v>0.68799999999999994</v>
      </c>
      <c r="Y86" t="b">
        <v>1</v>
      </c>
      <c r="Z86" t="s">
        <v>49</v>
      </c>
      <c r="AA86" t="e">
        <f t="shared" si="23"/>
        <v>#VALUE!</v>
      </c>
      <c r="AB86">
        <f t="shared" si="17"/>
        <v>-5.0565231323242106</v>
      </c>
      <c r="AC86">
        <f t="shared" si="24"/>
        <v>29.108341430476603</v>
      </c>
      <c r="AD86" t="e">
        <f t="shared" si="25"/>
        <v>#VALUE!</v>
      </c>
      <c r="AE86" t="e">
        <f t="shared" ca="1" si="26"/>
        <v>#VALUE!</v>
      </c>
      <c r="AG86" s="2">
        <f t="shared" si="27"/>
        <v>4.6680300000389252E-2</v>
      </c>
      <c r="AH86" s="2">
        <f t="shared" si="18"/>
        <v>2.5879121000002669</v>
      </c>
      <c r="AI86">
        <v>2912.5861880000002</v>
      </c>
      <c r="AJ86">
        <v>201.867171428571</v>
      </c>
      <c r="AK86">
        <v>46.605822857142797</v>
      </c>
      <c r="AL86" s="2">
        <f t="shared" si="28"/>
        <v>19.966039999999996</v>
      </c>
      <c r="AM86" s="2">
        <f t="shared" si="19"/>
        <v>22.199976941977138</v>
      </c>
      <c r="AN86" s="2">
        <f t="shared" si="29"/>
        <v>2.2339369419771415</v>
      </c>
      <c r="AO86" s="2"/>
    </row>
    <row r="87" spans="1:41" x14ac:dyDescent="0.3">
      <c r="A87">
        <f t="shared" si="20"/>
        <v>0</v>
      </c>
      <c r="B87" s="2">
        <f t="shared" si="21"/>
        <v>15.94569999997475</v>
      </c>
      <c r="C87" s="2" t="e">
        <f t="shared" si="30"/>
        <v>#VALUE!</v>
      </c>
      <c r="D87" s="2">
        <f t="shared" si="22"/>
        <v>1.197920300000078</v>
      </c>
      <c r="E87" s="2"/>
      <c r="F87">
        <v>3222.8732178999999</v>
      </c>
      <c r="G87" t="s">
        <v>37</v>
      </c>
      <c r="H87" t="s">
        <v>37</v>
      </c>
      <c r="I87" t="s">
        <v>37</v>
      </c>
      <c r="J87" t="s">
        <v>37</v>
      </c>
      <c r="K87" t="s">
        <v>37</v>
      </c>
      <c r="L87" t="s">
        <v>37</v>
      </c>
      <c r="M87" t="s">
        <v>37</v>
      </c>
      <c r="N87">
        <v>0</v>
      </c>
      <c r="O87">
        <v>0</v>
      </c>
      <c r="P87">
        <v>0</v>
      </c>
      <c r="Q87">
        <v>0</v>
      </c>
      <c r="R87">
        <v>-5.0565231323242102E-2</v>
      </c>
      <c r="S87">
        <v>-1.51272478103637E-2</v>
      </c>
      <c r="T87">
        <v>0</v>
      </c>
      <c r="U87">
        <v>160.43799999999999</v>
      </c>
      <c r="V87">
        <v>-1.5069999999999999</v>
      </c>
      <c r="W87">
        <v>0.59099999999999997</v>
      </c>
      <c r="X87">
        <v>0.68799999999999994</v>
      </c>
      <c r="Y87" t="b">
        <v>1</v>
      </c>
      <c r="Z87" t="s">
        <v>49</v>
      </c>
      <c r="AA87" t="e">
        <f t="shared" si="23"/>
        <v>#VALUE!</v>
      </c>
      <c r="AB87">
        <f t="shared" si="17"/>
        <v>-5.0565231323242106</v>
      </c>
      <c r="AC87">
        <f t="shared" si="24"/>
        <v>29.02771162956563</v>
      </c>
      <c r="AD87" t="e">
        <f t="shared" si="25"/>
        <v>#VALUE!</v>
      </c>
      <c r="AE87" t="e">
        <f t="shared" ca="1" si="26"/>
        <v>#VALUE!</v>
      </c>
      <c r="AG87" s="2">
        <f t="shared" si="27"/>
        <v>3.1220099999700324E-2</v>
      </c>
      <c r="AH87" s="2">
        <f t="shared" si="18"/>
        <v>2.6191321999999673</v>
      </c>
      <c r="AI87">
        <v>2912.6174080999999</v>
      </c>
      <c r="AJ87">
        <v>202.31753142857099</v>
      </c>
      <c r="AK87">
        <v>46.812422857142799</v>
      </c>
      <c r="AL87" s="2">
        <f t="shared" si="28"/>
        <v>20.172639999999998</v>
      </c>
      <c r="AM87" s="2">
        <f t="shared" si="19"/>
        <v>23.163047454089995</v>
      </c>
      <c r="AN87" s="2">
        <f t="shared" si="29"/>
        <v>2.990407454089997</v>
      </c>
      <c r="AO87" s="2"/>
    </row>
    <row r="88" spans="1:41" x14ac:dyDescent="0.3">
      <c r="A88">
        <f t="shared" si="20"/>
        <v>0</v>
      </c>
      <c r="B88" s="2">
        <f t="shared" si="21"/>
        <v>15.298799999982293</v>
      </c>
      <c r="C88" s="2" t="e">
        <f t="shared" si="30"/>
        <v>#VALUE!</v>
      </c>
      <c r="D88" s="2">
        <f t="shared" si="22"/>
        <v>1.2132191000000603</v>
      </c>
      <c r="E88" s="2"/>
      <c r="F88">
        <v>3222.8885166999999</v>
      </c>
      <c r="G88" t="s">
        <v>37</v>
      </c>
      <c r="H88" t="s">
        <v>37</v>
      </c>
      <c r="I88" t="s">
        <v>37</v>
      </c>
      <c r="J88" t="s">
        <v>37</v>
      </c>
      <c r="K88" t="s">
        <v>37</v>
      </c>
      <c r="L88" t="s">
        <v>37</v>
      </c>
      <c r="M88" t="s">
        <v>37</v>
      </c>
      <c r="N88">
        <v>0</v>
      </c>
      <c r="O88">
        <v>0</v>
      </c>
      <c r="P88">
        <v>0</v>
      </c>
      <c r="Q88">
        <v>0</v>
      </c>
      <c r="R88">
        <v>-3.3754535675048797E-2</v>
      </c>
      <c r="S88">
        <v>-1.0417707443237299E-2</v>
      </c>
      <c r="T88">
        <v>0</v>
      </c>
      <c r="U88">
        <v>160.52099999999999</v>
      </c>
      <c r="V88">
        <v>-1.5069999999999999</v>
      </c>
      <c r="W88">
        <v>0.75900000000000001</v>
      </c>
      <c r="X88">
        <v>0.68400000000000005</v>
      </c>
      <c r="Y88" t="b">
        <v>1</v>
      </c>
      <c r="Z88" t="s">
        <v>49</v>
      </c>
      <c r="AA88" t="e">
        <f t="shared" si="23"/>
        <v>#VALUE!</v>
      </c>
      <c r="AB88">
        <f t="shared" si="17"/>
        <v>-3.3754535675048798</v>
      </c>
      <c r="AC88">
        <f t="shared" si="24"/>
        <v>28.950352893468917</v>
      </c>
      <c r="AD88" t="e">
        <f t="shared" si="25"/>
        <v>#VALUE!</v>
      </c>
      <c r="AE88" t="e">
        <f t="shared" ca="1" si="26"/>
        <v>#VALUE!</v>
      </c>
      <c r="AG88" s="2">
        <f t="shared" si="27"/>
        <v>3.1788000000233296E-2</v>
      </c>
      <c r="AH88" s="2">
        <f t="shared" si="18"/>
        <v>2.6509202000002006</v>
      </c>
      <c r="AI88">
        <v>2912.6491961000002</v>
      </c>
      <c r="AJ88">
        <v>202.777731428571</v>
      </c>
      <c r="AK88">
        <v>47.003302857142799</v>
      </c>
      <c r="AL88" s="2">
        <f t="shared" si="28"/>
        <v>20.363519999999998</v>
      </c>
      <c r="AM88" s="2">
        <f t="shared" si="19"/>
        <v>24.159628082053345</v>
      </c>
      <c r="AN88" s="2">
        <f t="shared" si="29"/>
        <v>3.7961080820533475</v>
      </c>
      <c r="AO88" s="2"/>
    </row>
    <row r="89" spans="1:41" x14ac:dyDescent="0.3">
      <c r="A89">
        <f t="shared" si="20"/>
        <v>0</v>
      </c>
      <c r="B89" s="2">
        <f t="shared" si="21"/>
        <v>15.998100000160775</v>
      </c>
      <c r="C89" s="2" t="e">
        <f t="shared" si="30"/>
        <v>#VALUE!</v>
      </c>
      <c r="D89" s="2">
        <f t="shared" si="22"/>
        <v>1.2292172000002211</v>
      </c>
      <c r="E89" s="2"/>
      <c r="F89">
        <v>3222.9045148</v>
      </c>
      <c r="G89" t="s">
        <v>37</v>
      </c>
      <c r="H89" t="s">
        <v>37</v>
      </c>
      <c r="I89" t="s">
        <v>37</v>
      </c>
      <c r="J89" t="s">
        <v>37</v>
      </c>
      <c r="K89" t="s">
        <v>37</v>
      </c>
      <c r="L89" t="s">
        <v>37</v>
      </c>
      <c r="M89" t="s">
        <v>37</v>
      </c>
      <c r="N89">
        <v>0</v>
      </c>
      <c r="O89">
        <v>0</v>
      </c>
      <c r="P89">
        <v>0</v>
      </c>
      <c r="Q89">
        <v>0</v>
      </c>
      <c r="R89">
        <v>-3.3754535675048797E-2</v>
      </c>
      <c r="S89">
        <v>-1.0417707443237299E-2</v>
      </c>
      <c r="T89">
        <v>0</v>
      </c>
      <c r="U89">
        <v>160.52099999999999</v>
      </c>
      <c r="V89">
        <v>-1.5069999999999999</v>
      </c>
      <c r="W89">
        <v>0.75900000000000001</v>
      </c>
      <c r="X89">
        <v>0.68400000000000005</v>
      </c>
      <c r="Y89" t="b">
        <v>1</v>
      </c>
      <c r="Z89" t="s">
        <v>49</v>
      </c>
      <c r="AA89" t="e">
        <f t="shared" si="23"/>
        <v>#VALUE!</v>
      </c>
      <c r="AB89">
        <f t="shared" si="17"/>
        <v>-3.3754535675048798</v>
      </c>
      <c r="AC89">
        <f t="shared" si="24"/>
        <v>28.896352049750075</v>
      </c>
      <c r="AD89" t="e">
        <f t="shared" si="25"/>
        <v>#VALUE!</v>
      </c>
      <c r="AE89" t="e">
        <f t="shared" ca="1" si="26"/>
        <v>#VALUE!</v>
      </c>
      <c r="AG89" s="2">
        <f t="shared" si="27"/>
        <v>3.0830400000013469E-2</v>
      </c>
      <c r="AH89" s="2">
        <f t="shared" si="18"/>
        <v>2.681750600000214</v>
      </c>
      <c r="AI89">
        <v>2912.6800265000002</v>
      </c>
      <c r="AJ89">
        <v>203.24141142857101</v>
      </c>
      <c r="AK89">
        <v>47.350782857142804</v>
      </c>
      <c r="AL89" s="2">
        <f t="shared" si="28"/>
        <v>20.711000000000002</v>
      </c>
      <c r="AM89" s="2">
        <f t="shared" si="19"/>
        <v>25.141343685472098</v>
      </c>
      <c r="AN89" s="2">
        <f t="shared" si="29"/>
        <v>4.4303436854720957</v>
      </c>
      <c r="AO89" s="2"/>
    </row>
    <row r="90" spans="1:41" x14ac:dyDescent="0.3">
      <c r="A90">
        <f t="shared" si="20"/>
        <v>0</v>
      </c>
      <c r="B90" s="2">
        <f t="shared" si="21"/>
        <v>15.441900000041642</v>
      </c>
      <c r="C90" s="2" t="e">
        <f t="shared" si="30"/>
        <v>#VALUE!</v>
      </c>
      <c r="D90" s="2">
        <f t="shared" si="22"/>
        <v>1.2446591000002627</v>
      </c>
      <c r="E90" s="2"/>
      <c r="F90">
        <v>3222.9199567000001</v>
      </c>
      <c r="G90" t="s">
        <v>37</v>
      </c>
      <c r="H90" t="s">
        <v>37</v>
      </c>
      <c r="I90" t="s">
        <v>37</v>
      </c>
      <c r="J90" t="s">
        <v>37</v>
      </c>
      <c r="K90" t="s">
        <v>37</v>
      </c>
      <c r="L90" t="s">
        <v>37</v>
      </c>
      <c r="M90" t="s">
        <v>37</v>
      </c>
      <c r="N90">
        <v>0</v>
      </c>
      <c r="O90">
        <v>0</v>
      </c>
      <c r="P90">
        <v>0</v>
      </c>
      <c r="Q90">
        <v>0</v>
      </c>
      <c r="R90">
        <v>-3.3754535675048797E-2</v>
      </c>
      <c r="S90">
        <v>-1.0417707443237299E-2</v>
      </c>
      <c r="T90">
        <v>0</v>
      </c>
      <c r="U90">
        <v>160.52099999999999</v>
      </c>
      <c r="V90">
        <v>-1.5069999999999999</v>
      </c>
      <c r="W90">
        <v>0.75900000000000001</v>
      </c>
      <c r="X90">
        <v>0.68400000000000005</v>
      </c>
      <c r="Y90" t="b">
        <v>1</v>
      </c>
      <c r="Z90" t="s">
        <v>49</v>
      </c>
      <c r="AA90" t="e">
        <f t="shared" si="23"/>
        <v>#VALUE!</v>
      </c>
      <c r="AB90">
        <f t="shared" si="17"/>
        <v>-3.3754535675048798</v>
      </c>
      <c r="AC90">
        <f t="shared" si="24"/>
        <v>28.844228633305882</v>
      </c>
      <c r="AD90" t="e">
        <f t="shared" si="25"/>
        <v>#VALUE!</v>
      </c>
      <c r="AE90" t="e">
        <f t="shared" ca="1" si="26"/>
        <v>#VALUE!</v>
      </c>
      <c r="AG90" s="2">
        <f t="shared" ref="AG90:AG153" si="31">AI90-AI89</f>
        <v>1.5358699999978853E-2</v>
      </c>
      <c r="AH90" s="2">
        <f t="shared" ref="AH90:AH153" si="32">AI90-$AI$7</f>
        <v>2.6971093000001929</v>
      </c>
      <c r="AI90">
        <v>2912.6953852000001</v>
      </c>
      <c r="AJ90">
        <v>203.71457142857099</v>
      </c>
      <c r="AK90">
        <v>47.930542857142797</v>
      </c>
      <c r="AL90" s="2">
        <f t="shared" si="28"/>
        <v>21.290759999999995</v>
      </c>
      <c r="AM90" s="2">
        <f t="shared" si="19"/>
        <v>25.635894381931084</v>
      </c>
      <c r="AN90" s="2">
        <f t="shared" si="29"/>
        <v>4.3451343819310893</v>
      </c>
      <c r="AO90" s="2"/>
    </row>
    <row r="91" spans="1:41" x14ac:dyDescent="0.3">
      <c r="A91">
        <f t="shared" si="20"/>
        <v>0</v>
      </c>
      <c r="B91" s="2">
        <f t="shared" si="21"/>
        <v>15.536099999735598</v>
      </c>
      <c r="C91" s="2" t="e">
        <f t="shared" si="30"/>
        <v>#VALUE!</v>
      </c>
      <c r="D91" s="2">
        <f t="shared" si="22"/>
        <v>1.2601951999999983</v>
      </c>
      <c r="E91" s="2"/>
      <c r="F91">
        <v>3222.9354927999998</v>
      </c>
      <c r="G91" t="s">
        <v>37</v>
      </c>
      <c r="H91" t="s">
        <v>37</v>
      </c>
      <c r="I91" t="s">
        <v>37</v>
      </c>
      <c r="J91" t="s">
        <v>37</v>
      </c>
      <c r="K91" t="s">
        <v>37</v>
      </c>
      <c r="L91" t="s">
        <v>37</v>
      </c>
      <c r="M91" t="s">
        <v>37</v>
      </c>
      <c r="N91">
        <v>0</v>
      </c>
      <c r="O91">
        <v>0</v>
      </c>
      <c r="P91">
        <v>0</v>
      </c>
      <c r="Q91">
        <v>0</v>
      </c>
      <c r="R91">
        <v>-5.0919387817382797E-2</v>
      </c>
      <c r="S91">
        <v>-2.8961833953857399E-2</v>
      </c>
      <c r="T91">
        <v>0</v>
      </c>
      <c r="U91">
        <v>160.48599999999999</v>
      </c>
      <c r="V91">
        <v>-1.5680000000000001</v>
      </c>
      <c r="W91">
        <v>0.72</v>
      </c>
      <c r="X91">
        <v>0.68</v>
      </c>
      <c r="Y91" t="b">
        <v>1</v>
      </c>
      <c r="Z91" t="s">
        <v>49</v>
      </c>
      <c r="AA91" t="e">
        <f t="shared" si="23"/>
        <v>#VALUE!</v>
      </c>
      <c r="AB91">
        <f t="shared" si="17"/>
        <v>-5.0919387817382793</v>
      </c>
      <c r="AC91">
        <f t="shared" si="24"/>
        <v>28.791787249136661</v>
      </c>
      <c r="AD91" t="e">
        <f t="shared" si="25"/>
        <v>#VALUE!</v>
      </c>
      <c r="AE91" t="e">
        <f t="shared" ca="1" si="26"/>
        <v>#VALUE!</v>
      </c>
      <c r="AG91" s="2">
        <f t="shared" si="31"/>
        <v>4.5819199999641569E-2</v>
      </c>
      <c r="AH91" s="2">
        <f t="shared" si="32"/>
        <v>2.7429284999998345</v>
      </c>
      <c r="AI91">
        <v>2912.7412043999998</v>
      </c>
      <c r="AJ91">
        <v>204.209211428571</v>
      </c>
      <c r="AK91">
        <v>48.888702857142803</v>
      </c>
      <c r="AL91" s="2">
        <f t="shared" si="28"/>
        <v>22.248920000000002</v>
      </c>
      <c r="AM91" s="2">
        <f t="shared" si="19"/>
        <v>27.132619993744086</v>
      </c>
      <c r="AN91" s="2">
        <f t="shared" si="29"/>
        <v>4.8836999937440844</v>
      </c>
      <c r="AO91" s="2"/>
    </row>
    <row r="92" spans="1:41" x14ac:dyDescent="0.3">
      <c r="A92">
        <f t="shared" si="20"/>
        <v>0</v>
      </c>
      <c r="B92" s="2">
        <f t="shared" si="21"/>
        <v>15.444000000115921</v>
      </c>
      <c r="C92" s="2" t="e">
        <f t="shared" si="30"/>
        <v>#VALUE!</v>
      </c>
      <c r="D92" s="2">
        <f t="shared" si="22"/>
        <v>1.2756392000001142</v>
      </c>
      <c r="E92" s="2"/>
      <c r="F92">
        <v>3222.9509367999999</v>
      </c>
      <c r="G92" t="s">
        <v>37</v>
      </c>
      <c r="H92" t="s">
        <v>37</v>
      </c>
      <c r="I92" t="s">
        <v>37</v>
      </c>
      <c r="J92" t="s">
        <v>37</v>
      </c>
      <c r="K92" t="s">
        <v>37</v>
      </c>
      <c r="L92" t="s">
        <v>37</v>
      </c>
      <c r="M92" t="s">
        <v>37</v>
      </c>
      <c r="N92">
        <v>0</v>
      </c>
      <c r="O92">
        <v>0</v>
      </c>
      <c r="P92">
        <v>0</v>
      </c>
      <c r="Q92">
        <v>0</v>
      </c>
      <c r="R92">
        <v>-5.0919387817382797E-2</v>
      </c>
      <c r="S92">
        <v>-2.8961833953857399E-2</v>
      </c>
      <c r="T92">
        <v>0</v>
      </c>
      <c r="U92">
        <v>160.48599999999999</v>
      </c>
      <c r="V92">
        <v>-1.5680000000000001</v>
      </c>
      <c r="W92">
        <v>0.72</v>
      </c>
      <c r="X92">
        <v>0.68</v>
      </c>
      <c r="Y92" t="b">
        <v>1</v>
      </c>
      <c r="Z92" t="s">
        <v>49</v>
      </c>
      <c r="AA92" t="e">
        <f t="shared" si="23"/>
        <v>#VALUE!</v>
      </c>
      <c r="AB92">
        <f t="shared" si="17"/>
        <v>-5.0919387817382793</v>
      </c>
      <c r="AC92">
        <f t="shared" si="24"/>
        <v>28.713147346590905</v>
      </c>
      <c r="AD92" t="e">
        <f t="shared" si="25"/>
        <v>#VALUE!</v>
      </c>
      <c r="AE92" t="e">
        <f t="shared" ca="1" si="26"/>
        <v>#VALUE!</v>
      </c>
      <c r="AG92" s="2">
        <f t="shared" si="31"/>
        <v>3.1271100000139995E-2</v>
      </c>
      <c r="AH92" s="2">
        <f t="shared" si="32"/>
        <v>2.7741995999999745</v>
      </c>
      <c r="AI92">
        <v>2912.7724754999999</v>
      </c>
      <c r="AJ92">
        <v>204.694011428571</v>
      </c>
      <c r="AK92">
        <v>49.862582857142797</v>
      </c>
      <c r="AL92" s="2">
        <f t="shared" si="28"/>
        <v>23.222799999999996</v>
      </c>
      <c r="AM92" s="2">
        <f t="shared" si="19"/>
        <v>28.172174279751278</v>
      </c>
      <c r="AN92" s="2">
        <f t="shared" si="29"/>
        <v>4.9493742797512823</v>
      </c>
      <c r="AO92" s="2"/>
    </row>
    <row r="93" spans="1:41" x14ac:dyDescent="0.3">
      <c r="A93">
        <f t="shared" si="20"/>
        <v>0</v>
      </c>
      <c r="B93" s="2">
        <f t="shared" si="21"/>
        <v>15.960400000039954</v>
      </c>
      <c r="C93" s="2" t="e">
        <f t="shared" si="30"/>
        <v>#VALUE!</v>
      </c>
      <c r="D93" s="2">
        <f t="shared" si="22"/>
        <v>1.2915996000001542</v>
      </c>
      <c r="E93" s="2"/>
      <c r="F93">
        <v>3222.9668971999999</v>
      </c>
      <c r="G93" t="s">
        <v>37</v>
      </c>
      <c r="H93" t="s">
        <v>37</v>
      </c>
      <c r="I93" t="s">
        <v>37</v>
      </c>
      <c r="J93" t="s">
        <v>37</v>
      </c>
      <c r="K93" t="s">
        <v>37</v>
      </c>
      <c r="L93" t="s">
        <v>37</v>
      </c>
      <c r="M93" t="s">
        <v>37</v>
      </c>
      <c r="N93">
        <v>0</v>
      </c>
      <c r="O93">
        <v>0</v>
      </c>
      <c r="P93">
        <v>0</v>
      </c>
      <c r="Q93">
        <v>0</v>
      </c>
      <c r="R93">
        <v>-5.0919387817382797E-2</v>
      </c>
      <c r="S93">
        <v>-2.8961833953857399E-2</v>
      </c>
      <c r="T93">
        <v>0</v>
      </c>
      <c r="U93">
        <v>160.48599999999999</v>
      </c>
      <c r="V93">
        <v>-1.5680000000000001</v>
      </c>
      <c r="W93">
        <v>0.72</v>
      </c>
      <c r="X93">
        <v>0.68</v>
      </c>
      <c r="Y93" t="b">
        <v>1</v>
      </c>
      <c r="Z93" t="s">
        <v>49</v>
      </c>
      <c r="AA93" t="e">
        <f t="shared" si="23"/>
        <v>#VALUE!</v>
      </c>
      <c r="AB93">
        <f t="shared" si="17"/>
        <v>-5.0919387817382793</v>
      </c>
      <c r="AC93">
        <f t="shared" si="24"/>
        <v>28.631877966858646</v>
      </c>
      <c r="AD93" t="e">
        <f t="shared" si="25"/>
        <v>#VALUE!</v>
      </c>
      <c r="AE93" t="e">
        <f t="shared" ca="1" si="26"/>
        <v>#VALUE!</v>
      </c>
      <c r="AG93" s="2">
        <f t="shared" si="31"/>
        <v>3.0493600000227161E-2</v>
      </c>
      <c r="AH93" s="2">
        <f t="shared" si="32"/>
        <v>2.8046932000002016</v>
      </c>
      <c r="AI93">
        <v>2912.8029691000002</v>
      </c>
      <c r="AJ93">
        <v>205.17881142857101</v>
      </c>
      <c r="AK93">
        <v>50.836462857142799</v>
      </c>
      <c r="AL93" s="2">
        <f t="shared" si="28"/>
        <v>24.196679999999997</v>
      </c>
      <c r="AM93" s="2">
        <f t="shared" si="19"/>
        <v>29.199718332289063</v>
      </c>
      <c r="AN93" s="2">
        <f t="shared" si="29"/>
        <v>5.0030383322890657</v>
      </c>
      <c r="AO93" s="2"/>
    </row>
    <row r="94" spans="1:41" x14ac:dyDescent="0.3">
      <c r="A94">
        <f t="shared" si="20"/>
        <v>0</v>
      </c>
      <c r="B94" s="2">
        <f t="shared" si="21"/>
        <v>15.200800000002346</v>
      </c>
      <c r="C94" s="2" t="e">
        <f t="shared" si="30"/>
        <v>#VALUE!</v>
      </c>
      <c r="D94" s="2">
        <f t="shared" si="22"/>
        <v>1.3068004000001565</v>
      </c>
      <c r="E94" s="2"/>
      <c r="F94">
        <v>3222.982098</v>
      </c>
      <c r="G94" t="s">
        <v>37</v>
      </c>
      <c r="H94" t="s">
        <v>37</v>
      </c>
      <c r="I94" t="s">
        <v>37</v>
      </c>
      <c r="J94" t="s">
        <v>37</v>
      </c>
      <c r="K94" t="s">
        <v>37</v>
      </c>
      <c r="L94" t="s">
        <v>37</v>
      </c>
      <c r="M94" t="s">
        <v>37</v>
      </c>
      <c r="N94">
        <v>0</v>
      </c>
      <c r="O94">
        <v>0</v>
      </c>
      <c r="P94">
        <v>0</v>
      </c>
      <c r="Q94">
        <v>0</v>
      </c>
      <c r="R94">
        <v>-5.0919387817382797E-2</v>
      </c>
      <c r="S94">
        <v>-2.8961833953857399E-2</v>
      </c>
      <c r="T94">
        <v>0</v>
      </c>
      <c r="U94">
        <v>160.48599999999999</v>
      </c>
      <c r="V94">
        <v>-1.5680000000000001</v>
      </c>
      <c r="W94">
        <v>0.72</v>
      </c>
      <c r="X94">
        <v>0.68</v>
      </c>
      <c r="Y94" t="b">
        <v>1</v>
      </c>
      <c r="Z94" t="s">
        <v>49</v>
      </c>
      <c r="AA94" t="e">
        <f t="shared" si="23"/>
        <v>#VALUE!</v>
      </c>
      <c r="AB94">
        <f t="shared" si="17"/>
        <v>-5.0919387817382793</v>
      </c>
      <c r="AC94">
        <f t="shared" si="24"/>
        <v>28.554476423825186</v>
      </c>
      <c r="AD94" t="e">
        <f t="shared" si="25"/>
        <v>#VALUE!</v>
      </c>
      <c r="AE94" t="e">
        <f t="shared" ca="1" si="26"/>
        <v>#VALUE!</v>
      </c>
      <c r="AG94" s="2">
        <f t="shared" si="31"/>
        <v>3.0937300000005052E-2</v>
      </c>
      <c r="AH94" s="2">
        <f t="shared" si="32"/>
        <v>2.8356305000002067</v>
      </c>
      <c r="AI94">
        <v>2912.8339064000002</v>
      </c>
      <c r="AJ94">
        <v>205.64705142857099</v>
      </c>
      <c r="AK94">
        <v>51.410982857142798</v>
      </c>
      <c r="AL94" s="2">
        <f t="shared" si="28"/>
        <v>24.771199999999997</v>
      </c>
      <c r="AM94" s="2">
        <f t="shared" si="19"/>
        <v>30.255945252096719</v>
      </c>
      <c r="AN94" s="2">
        <f t="shared" si="29"/>
        <v>5.4847452520967224</v>
      </c>
      <c r="AO94" s="2"/>
    </row>
    <row r="95" spans="1:41" x14ac:dyDescent="0.3">
      <c r="A95">
        <f t="shared" si="20"/>
        <v>0</v>
      </c>
      <c r="B95" s="2">
        <f t="shared" si="21"/>
        <v>16.014000000268425</v>
      </c>
      <c r="C95" s="2" t="e">
        <f t="shared" si="30"/>
        <v>#VALUE!</v>
      </c>
      <c r="D95" s="2">
        <f t="shared" si="22"/>
        <v>1.3228144000004249</v>
      </c>
      <c r="E95" s="2"/>
      <c r="F95">
        <v>3222.9981120000002</v>
      </c>
      <c r="G95" t="s">
        <v>37</v>
      </c>
      <c r="H95" t="s">
        <v>37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>
        <v>0</v>
      </c>
      <c r="O95">
        <v>0</v>
      </c>
      <c r="P95">
        <v>0</v>
      </c>
      <c r="Q95">
        <v>0</v>
      </c>
      <c r="R95">
        <v>-5.34933242797851E-2</v>
      </c>
      <c r="S95">
        <v>-2.0834201812744101E-2</v>
      </c>
      <c r="T95">
        <v>0</v>
      </c>
      <c r="U95">
        <v>160.40899999999999</v>
      </c>
      <c r="V95">
        <v>-1.5680000000000001</v>
      </c>
      <c r="W95">
        <v>0.91100000000000003</v>
      </c>
      <c r="X95">
        <v>0.67600000000000005</v>
      </c>
      <c r="Y95" t="b">
        <v>1</v>
      </c>
      <c r="Z95" t="s">
        <v>49</v>
      </c>
      <c r="AA95" t="e">
        <f t="shared" si="23"/>
        <v>#VALUE!</v>
      </c>
      <c r="AB95">
        <f t="shared" si="17"/>
        <v>-5.3493324279785099</v>
      </c>
      <c r="AC95">
        <f t="shared" si="24"/>
        <v>28.472934116173061</v>
      </c>
      <c r="AD95" t="e">
        <f t="shared" si="25"/>
        <v>#VALUE!</v>
      </c>
      <c r="AE95" t="e">
        <f t="shared" ca="1" si="26"/>
        <v>#VALUE!</v>
      </c>
      <c r="AG95" s="2">
        <f t="shared" si="31"/>
        <v>3.0641599999853497E-2</v>
      </c>
      <c r="AH95" s="2">
        <f t="shared" si="32"/>
        <v>2.8662721000000602</v>
      </c>
      <c r="AI95">
        <v>2912.864548</v>
      </c>
      <c r="AJ95">
        <v>206.115651428571</v>
      </c>
      <c r="AK95">
        <v>51.742742857142801</v>
      </c>
      <c r="AL95" s="2">
        <f t="shared" si="28"/>
        <v>25.102959999999999</v>
      </c>
      <c r="AM95" s="2">
        <f t="shared" si="19"/>
        <v>31.315486270894283</v>
      </c>
      <c r="AN95" s="2">
        <f t="shared" si="29"/>
        <v>6.2125262708942834</v>
      </c>
      <c r="AO95" s="2"/>
    </row>
    <row r="96" spans="1:41" x14ac:dyDescent="0.3">
      <c r="A96">
        <f t="shared" si="20"/>
        <v>0</v>
      </c>
      <c r="B96" s="2">
        <f t="shared" si="21"/>
        <v>15.440899999703106</v>
      </c>
      <c r="C96" s="2" t="e">
        <f t="shared" si="30"/>
        <v>#VALUE!</v>
      </c>
      <c r="D96" s="2">
        <f t="shared" si="22"/>
        <v>1.338255300000128</v>
      </c>
      <c r="E96" s="2"/>
      <c r="F96">
        <v>3223.0135528999999</v>
      </c>
      <c r="G96" t="s">
        <v>37</v>
      </c>
      <c r="H96" t="s">
        <v>37</v>
      </c>
      <c r="I96" t="s">
        <v>37</v>
      </c>
      <c r="J96" t="s">
        <v>37</v>
      </c>
      <c r="K96" t="s">
        <v>37</v>
      </c>
      <c r="L96" t="s">
        <v>37</v>
      </c>
      <c r="M96" t="s">
        <v>37</v>
      </c>
      <c r="N96">
        <v>0</v>
      </c>
      <c r="O96">
        <v>0</v>
      </c>
      <c r="P96">
        <v>0</v>
      </c>
      <c r="Q96">
        <v>0</v>
      </c>
      <c r="R96">
        <v>-5.34933242797851E-2</v>
      </c>
      <c r="S96">
        <v>-2.0834201812744101E-2</v>
      </c>
      <c r="T96">
        <v>0</v>
      </c>
      <c r="U96">
        <v>160.40899999999999</v>
      </c>
      <c r="V96">
        <v>-1.345</v>
      </c>
      <c r="W96">
        <v>0.91100000000000003</v>
      </c>
      <c r="X96">
        <v>0.67600000000000005</v>
      </c>
      <c r="Y96" t="b">
        <v>1</v>
      </c>
      <c r="Z96" t="s">
        <v>49</v>
      </c>
      <c r="AA96" t="e">
        <f t="shared" si="23"/>
        <v>#VALUE!</v>
      </c>
      <c r="AB96">
        <f t="shared" si="17"/>
        <v>-5.3493324279785099</v>
      </c>
      <c r="AC96">
        <f t="shared" si="24"/>
        <v>28.390335609087476</v>
      </c>
      <c r="AD96" t="e">
        <f t="shared" si="25"/>
        <v>#VALUE!</v>
      </c>
      <c r="AE96" t="e">
        <f t="shared" ca="1" si="26"/>
        <v>#VALUE!</v>
      </c>
      <c r="AG96" s="2">
        <f t="shared" si="31"/>
        <v>3.0382800000097632E-2</v>
      </c>
      <c r="AH96" s="2">
        <f t="shared" si="32"/>
        <v>2.8966549000001578</v>
      </c>
      <c r="AI96">
        <v>2912.8949308000001</v>
      </c>
      <c r="AJ96">
        <v>206.56601142857099</v>
      </c>
      <c r="AK96">
        <v>51.9231428571428</v>
      </c>
      <c r="AL96" s="2">
        <f t="shared" si="28"/>
        <v>25.283359999999998</v>
      </c>
      <c r="AM96" s="2">
        <f t="shared" si="19"/>
        <v>32.379039224578165</v>
      </c>
      <c r="AN96" s="2">
        <f t="shared" si="29"/>
        <v>7.0956792245781664</v>
      </c>
      <c r="AO96" s="2"/>
    </row>
    <row r="97" spans="1:41" x14ac:dyDescent="0.3">
      <c r="A97">
        <f t="shared" si="20"/>
        <v>0</v>
      </c>
      <c r="B97" s="2">
        <f t="shared" si="21"/>
        <v>15.360500000042521</v>
      </c>
      <c r="C97" s="2" t="e">
        <f t="shared" si="30"/>
        <v>#VALUE!</v>
      </c>
      <c r="D97" s="2">
        <f t="shared" si="22"/>
        <v>1.3536158000001706</v>
      </c>
      <c r="E97" s="2"/>
      <c r="F97">
        <v>3223.0289134</v>
      </c>
      <c r="G97" t="s">
        <v>37</v>
      </c>
      <c r="H97" t="s">
        <v>37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>
        <v>0</v>
      </c>
      <c r="O97">
        <v>0</v>
      </c>
      <c r="P97">
        <v>0</v>
      </c>
      <c r="Q97">
        <v>0</v>
      </c>
      <c r="R97">
        <v>-5.34933242797851E-2</v>
      </c>
      <c r="S97">
        <v>-2.0834201812744101E-2</v>
      </c>
      <c r="T97">
        <v>0</v>
      </c>
      <c r="U97">
        <v>160.40899999999999</v>
      </c>
      <c r="V97">
        <v>-1.345</v>
      </c>
      <c r="W97">
        <v>0.91100000000000003</v>
      </c>
      <c r="X97">
        <v>0.67600000000000005</v>
      </c>
      <c r="Y97" t="b">
        <v>1</v>
      </c>
      <c r="Z97" t="s">
        <v>49</v>
      </c>
      <c r="AA97" t="e">
        <f t="shared" si="23"/>
        <v>#VALUE!</v>
      </c>
      <c r="AB97">
        <f t="shared" si="17"/>
        <v>-5.3493324279785099</v>
      </c>
      <c r="AC97">
        <f t="shared" si="24"/>
        <v>28.308167188327285</v>
      </c>
      <c r="AD97" t="e">
        <f t="shared" si="25"/>
        <v>#VALUE!</v>
      </c>
      <c r="AE97" t="e">
        <f t="shared" ca="1" si="26"/>
        <v>#VALUE!</v>
      </c>
      <c r="AG97" s="2">
        <f t="shared" si="31"/>
        <v>3.0798499999946216E-2</v>
      </c>
      <c r="AH97" s="2">
        <f t="shared" si="32"/>
        <v>2.927453400000104</v>
      </c>
      <c r="AI97">
        <v>2912.9257293000001</v>
      </c>
      <c r="AJ97">
        <v>207.01983428571401</v>
      </c>
      <c r="AK97">
        <v>51.9535085714285</v>
      </c>
      <c r="AL97" s="2">
        <f t="shared" si="28"/>
        <v>25.313725714285699</v>
      </c>
      <c r="AM97" s="2">
        <f t="shared" si="19"/>
        <v>33.47010045060734</v>
      </c>
      <c r="AN97" s="2">
        <f t="shared" si="29"/>
        <v>8.1563747363216414</v>
      </c>
      <c r="AO97" s="2"/>
    </row>
    <row r="98" spans="1:41" x14ac:dyDescent="0.3">
      <c r="A98">
        <f t="shared" si="20"/>
        <v>0</v>
      </c>
      <c r="B98" s="2">
        <f t="shared" si="21"/>
        <v>15.601200000219251</v>
      </c>
      <c r="C98" s="2" t="e">
        <f t="shared" si="30"/>
        <v>#VALUE!</v>
      </c>
      <c r="D98" s="2">
        <f t="shared" si="22"/>
        <v>1.3692170000003898</v>
      </c>
      <c r="E98" s="2"/>
      <c r="F98">
        <v>3223.0445146000002</v>
      </c>
      <c r="G98" t="s">
        <v>37</v>
      </c>
      <c r="H98" t="s">
        <v>37</v>
      </c>
      <c r="I98" t="s">
        <v>37</v>
      </c>
      <c r="J98" t="s">
        <v>37</v>
      </c>
      <c r="K98" t="s">
        <v>37</v>
      </c>
      <c r="L98" t="s">
        <v>37</v>
      </c>
      <c r="M98" t="s">
        <v>37</v>
      </c>
      <c r="N98">
        <v>0</v>
      </c>
      <c r="O98">
        <v>0</v>
      </c>
      <c r="P98">
        <v>0</v>
      </c>
      <c r="Q98">
        <v>0</v>
      </c>
      <c r="R98">
        <v>-5.34933242797851E-2</v>
      </c>
      <c r="S98">
        <v>-2.0834201812744101E-2</v>
      </c>
      <c r="T98">
        <v>0</v>
      </c>
      <c r="U98">
        <v>160.40899999999999</v>
      </c>
      <c r="V98">
        <v>-1.345</v>
      </c>
      <c r="W98">
        <v>0.91100000000000003</v>
      </c>
      <c r="X98">
        <v>0.67600000000000005</v>
      </c>
      <c r="Y98" t="b">
        <v>1</v>
      </c>
      <c r="Z98" t="s">
        <v>49</v>
      </c>
      <c r="AA98" t="e">
        <f t="shared" si="23"/>
        <v>#VALUE!</v>
      </c>
      <c r="AB98">
        <f t="shared" si="17"/>
        <v>-5.3493324279785099</v>
      </c>
      <c r="AC98">
        <f t="shared" si="24"/>
        <v>28.224711183250733</v>
      </c>
      <c r="AD98" t="e">
        <f t="shared" si="25"/>
        <v>#VALUE!</v>
      </c>
      <c r="AE98" t="e">
        <f t="shared" ca="1" si="26"/>
        <v>#VALUE!</v>
      </c>
      <c r="AG98" s="2">
        <f t="shared" si="31"/>
        <v>4.6301699999730772E-2</v>
      </c>
      <c r="AH98" s="2">
        <f t="shared" si="32"/>
        <v>2.9737550999998348</v>
      </c>
      <c r="AI98">
        <v>2912.9720309999998</v>
      </c>
      <c r="AJ98">
        <v>207.46381714285701</v>
      </c>
      <c r="AK98">
        <v>51.989114285714201</v>
      </c>
      <c r="AL98" s="2">
        <f t="shared" si="28"/>
        <v>25.3493314285714</v>
      </c>
      <c r="AM98" s="2">
        <f t="shared" si="19"/>
        <v>35.134453020359381</v>
      </c>
      <c r="AN98" s="2">
        <f t="shared" si="29"/>
        <v>9.7851215917879806</v>
      </c>
      <c r="AO98" s="2"/>
    </row>
    <row r="99" spans="1:41" x14ac:dyDescent="0.3">
      <c r="A99">
        <f t="shared" si="20"/>
        <v>0</v>
      </c>
      <c r="B99" s="2">
        <f t="shared" si="21"/>
        <v>15.98119999971459</v>
      </c>
      <c r="C99" s="2" t="e">
        <f t="shared" si="30"/>
        <v>#VALUE!</v>
      </c>
      <c r="D99" s="2">
        <f t="shared" si="22"/>
        <v>1.3851982000001044</v>
      </c>
      <c r="E99" s="2"/>
      <c r="F99">
        <v>3223.0604957999999</v>
      </c>
      <c r="G99" t="s">
        <v>37</v>
      </c>
      <c r="H99" t="s">
        <v>37</v>
      </c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>
        <v>0</v>
      </c>
      <c r="O99">
        <v>0</v>
      </c>
      <c r="P99">
        <v>0</v>
      </c>
      <c r="Q99">
        <v>0</v>
      </c>
      <c r="R99">
        <v>-5.34933242797851E-2</v>
      </c>
      <c r="S99">
        <v>-2.0834201812744101E-2</v>
      </c>
      <c r="T99">
        <v>0</v>
      </c>
      <c r="U99">
        <v>160.40899999999999</v>
      </c>
      <c r="V99">
        <v>-1.345</v>
      </c>
      <c r="W99">
        <v>0.91100000000000003</v>
      </c>
      <c r="X99">
        <v>0.67600000000000005</v>
      </c>
      <c r="Y99" t="b">
        <v>1</v>
      </c>
      <c r="Z99" t="s">
        <v>49</v>
      </c>
      <c r="AA99" t="e">
        <f t="shared" si="23"/>
        <v>#VALUE!</v>
      </c>
      <c r="AB99">
        <f t="shared" si="17"/>
        <v>-5.3493324279785099</v>
      </c>
      <c r="AC99">
        <f t="shared" si="24"/>
        <v>28.13922243185425</v>
      </c>
      <c r="AD99" t="e">
        <f t="shared" si="25"/>
        <v>#VALUE!</v>
      </c>
      <c r="AE99" t="e">
        <f t="shared" ca="1" si="26"/>
        <v>#VALUE!</v>
      </c>
      <c r="AG99" s="2">
        <f t="shared" si="31"/>
        <v>3.0951000000186468E-2</v>
      </c>
      <c r="AH99" s="2">
        <f t="shared" si="32"/>
        <v>3.0047061000000213</v>
      </c>
      <c r="AI99">
        <v>2913.002982</v>
      </c>
      <c r="AJ99">
        <v>207.91416000000001</v>
      </c>
      <c r="AK99">
        <v>52.635399999999997</v>
      </c>
      <c r="AL99" s="2">
        <f t="shared" si="28"/>
        <v>25.995617142857196</v>
      </c>
      <c r="AM99" s="2">
        <f t="shared" si="19"/>
        <v>36.262829579384011</v>
      </c>
      <c r="AN99" s="2">
        <f t="shared" si="29"/>
        <v>10.267212436526815</v>
      </c>
      <c r="AO99" s="2"/>
    </row>
    <row r="100" spans="1:41" x14ac:dyDescent="0.3">
      <c r="A100">
        <f t="shared" si="20"/>
        <v>0</v>
      </c>
      <c r="B100" s="2">
        <f t="shared" si="21"/>
        <v>16.125600000123086</v>
      </c>
      <c r="C100" s="2" t="e">
        <f t="shared" si="30"/>
        <v>#VALUE!</v>
      </c>
      <c r="D100" s="2">
        <f t="shared" si="22"/>
        <v>1.4013238000002275</v>
      </c>
      <c r="E100" s="2"/>
      <c r="F100">
        <v>3223.0766214</v>
      </c>
      <c r="G100" t="s">
        <v>37</v>
      </c>
      <c r="H100" t="s">
        <v>37</v>
      </c>
      <c r="I100" t="s">
        <v>37</v>
      </c>
      <c r="J100" t="s">
        <v>37</v>
      </c>
      <c r="K100" t="s">
        <v>37</v>
      </c>
      <c r="L100" t="s">
        <v>37</v>
      </c>
      <c r="M100" t="s">
        <v>37</v>
      </c>
      <c r="N100">
        <v>0</v>
      </c>
      <c r="O100">
        <v>0</v>
      </c>
      <c r="P100">
        <v>0</v>
      </c>
      <c r="Q100">
        <v>0</v>
      </c>
      <c r="R100">
        <v>-4.60030059814453E-2</v>
      </c>
      <c r="S100">
        <v>-4.6773738861083901E-3</v>
      </c>
      <c r="T100">
        <v>0</v>
      </c>
      <c r="U100">
        <v>160.375</v>
      </c>
      <c r="V100">
        <v>-1.0780000000000001</v>
      </c>
      <c r="W100">
        <v>1.0569999999999999</v>
      </c>
      <c r="X100">
        <v>0.67200000000000004</v>
      </c>
      <c r="Y100" t="b">
        <v>1</v>
      </c>
      <c r="Z100" t="s">
        <v>49</v>
      </c>
      <c r="AA100" t="e">
        <f t="shared" si="23"/>
        <v>#VALUE!</v>
      </c>
      <c r="AB100">
        <f t="shared" si="17"/>
        <v>-4.6003005981445302</v>
      </c>
      <c r="AC100">
        <f t="shared" si="24"/>
        <v>28.052961236852983</v>
      </c>
      <c r="AD100" t="e">
        <f t="shared" si="25"/>
        <v>#VALUE!</v>
      </c>
      <c r="AE100" t="e">
        <f t="shared" ca="1" si="26"/>
        <v>#VALUE!</v>
      </c>
      <c r="AG100" s="2">
        <f t="shared" si="31"/>
        <v>3.0175899999903777E-2</v>
      </c>
      <c r="AH100" s="2">
        <f t="shared" si="32"/>
        <v>3.034881999999925</v>
      </c>
      <c r="AI100">
        <v>2913.0331578999999</v>
      </c>
      <c r="AJ100">
        <v>208.35814285714201</v>
      </c>
      <c r="AK100">
        <v>53.422565714285703</v>
      </c>
      <c r="AL100" s="2">
        <f t="shared" si="28"/>
        <v>26.782782857142902</v>
      </c>
      <c r="AM100" s="2">
        <f t="shared" si="19"/>
        <v>37.374917514432767</v>
      </c>
      <c r="AN100" s="2">
        <f t="shared" si="29"/>
        <v>10.592134657289865</v>
      </c>
      <c r="AO100" s="2"/>
    </row>
    <row r="101" spans="1:41" x14ac:dyDescent="0.3">
      <c r="A101">
        <f t="shared" si="20"/>
        <v>0</v>
      </c>
      <c r="B101" s="2">
        <f t="shared" si="21"/>
        <v>16.247800000201096</v>
      </c>
      <c r="C101" s="2" t="e">
        <f t="shared" si="30"/>
        <v>#VALUE!</v>
      </c>
      <c r="D101" s="2">
        <f t="shared" si="22"/>
        <v>1.4175716000004286</v>
      </c>
      <c r="E101" s="2"/>
      <c r="F101">
        <v>3223.0928692000002</v>
      </c>
      <c r="G101" t="s">
        <v>37</v>
      </c>
      <c r="H101" t="s">
        <v>37</v>
      </c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>
        <v>0</v>
      </c>
      <c r="O101">
        <v>0</v>
      </c>
      <c r="P101">
        <v>0</v>
      </c>
      <c r="Q101">
        <v>0</v>
      </c>
      <c r="R101">
        <v>-4.60030059814453E-2</v>
      </c>
      <c r="S101">
        <v>-4.6773738861083901E-3</v>
      </c>
      <c r="T101">
        <v>0</v>
      </c>
      <c r="U101">
        <v>160.375</v>
      </c>
      <c r="V101">
        <v>-1.0780000000000001</v>
      </c>
      <c r="W101">
        <v>1.0569999999999999</v>
      </c>
      <c r="X101">
        <v>0.67200000000000004</v>
      </c>
      <c r="Y101" t="b">
        <v>1</v>
      </c>
      <c r="Z101" t="s">
        <v>49</v>
      </c>
      <c r="AA101" t="e">
        <f t="shared" si="23"/>
        <v>#VALUE!</v>
      </c>
      <c r="AB101">
        <f t="shared" si="17"/>
        <v>-4.6003005981445302</v>
      </c>
      <c r="AC101">
        <f t="shared" si="24"/>
        <v>27.978216472793527</v>
      </c>
      <c r="AD101" t="e">
        <f t="shared" si="25"/>
        <v>#VALUE!</v>
      </c>
      <c r="AE101" t="e">
        <f t="shared" ca="1" si="26"/>
        <v>#VALUE!</v>
      </c>
      <c r="AG101" s="2">
        <f t="shared" si="31"/>
        <v>3.0825499999991735E-2</v>
      </c>
      <c r="AH101" s="2">
        <f t="shared" si="32"/>
        <v>3.0657074999999168</v>
      </c>
      <c r="AI101">
        <v>2913.0639833999999</v>
      </c>
      <c r="AJ101">
        <v>208.80718285714201</v>
      </c>
      <c r="AK101">
        <v>54.286405714285699</v>
      </c>
      <c r="AL101" s="2">
        <f t="shared" si="28"/>
        <v>27.646622857142898</v>
      </c>
      <c r="AM101" s="2">
        <f t="shared" si="19"/>
        <v>38.52294741059896</v>
      </c>
      <c r="AN101" s="2">
        <f t="shared" si="29"/>
        <v>10.876324553456062</v>
      </c>
      <c r="AO101" s="2"/>
    </row>
    <row r="102" spans="1:41" x14ac:dyDescent="0.3">
      <c r="A102">
        <f t="shared" si="20"/>
        <v>0</v>
      </c>
      <c r="B102" s="2">
        <f t="shared" si="21"/>
        <v>15.53539999986242</v>
      </c>
      <c r="C102" s="2" t="e">
        <f t="shared" si="30"/>
        <v>#VALUE!</v>
      </c>
      <c r="D102" s="2">
        <f t="shared" si="22"/>
        <v>1.433107000000291</v>
      </c>
      <c r="E102" s="2"/>
      <c r="F102">
        <v>3223.1084046000001</v>
      </c>
      <c r="G102" t="s">
        <v>37</v>
      </c>
      <c r="H102" t="s">
        <v>37</v>
      </c>
      <c r="I102" t="s">
        <v>37</v>
      </c>
      <c r="J102" t="s">
        <v>37</v>
      </c>
      <c r="K102" t="s">
        <v>37</v>
      </c>
      <c r="L102" t="s">
        <v>37</v>
      </c>
      <c r="M102" t="s">
        <v>37</v>
      </c>
      <c r="N102">
        <v>0</v>
      </c>
      <c r="O102">
        <v>0</v>
      </c>
      <c r="P102">
        <v>0</v>
      </c>
      <c r="Q102">
        <v>0</v>
      </c>
      <c r="R102">
        <v>-4.60030059814453E-2</v>
      </c>
      <c r="S102">
        <v>-4.6773738861083901E-3</v>
      </c>
      <c r="T102">
        <v>0</v>
      </c>
      <c r="U102">
        <v>160.375</v>
      </c>
      <c r="V102">
        <v>-1.0780000000000001</v>
      </c>
      <c r="W102">
        <v>1.0569999999999999</v>
      </c>
      <c r="X102">
        <v>0.67200000000000004</v>
      </c>
      <c r="Y102" t="b">
        <v>1</v>
      </c>
      <c r="Z102" t="s">
        <v>49</v>
      </c>
      <c r="AA102" t="e">
        <f t="shared" si="23"/>
        <v>#VALUE!</v>
      </c>
      <c r="AB102">
        <f t="shared" si="17"/>
        <v>-4.6003005981445302</v>
      </c>
      <c r="AC102">
        <f t="shared" si="24"/>
        <v>27.906748962881746</v>
      </c>
      <c r="AD102" t="e">
        <f t="shared" si="25"/>
        <v>#VALUE!</v>
      </c>
      <c r="AE102" t="e">
        <f t="shared" ca="1" si="26"/>
        <v>#VALUE!</v>
      </c>
      <c r="AG102" s="2">
        <f t="shared" si="31"/>
        <v>3.0688199999985954E-2</v>
      </c>
      <c r="AH102" s="2">
        <f t="shared" si="32"/>
        <v>3.0963956999999027</v>
      </c>
      <c r="AI102">
        <v>2913.0946715999999</v>
      </c>
      <c r="AJ102">
        <v>209.25622285714201</v>
      </c>
      <c r="AK102">
        <v>55.103085714285697</v>
      </c>
      <c r="AL102" s="2">
        <f t="shared" si="28"/>
        <v>28.463302857142896</v>
      </c>
      <c r="AM102" s="2">
        <f t="shared" si="19"/>
        <v>39.677716000640274</v>
      </c>
      <c r="AN102" s="2">
        <f t="shared" si="29"/>
        <v>11.214413143497378</v>
      </c>
      <c r="AO102" s="2"/>
    </row>
    <row r="103" spans="1:41" x14ac:dyDescent="0.3">
      <c r="A103">
        <f t="shared" si="20"/>
        <v>0</v>
      </c>
      <c r="B103" s="2">
        <f t="shared" si="21"/>
        <v>15.531199999713863</v>
      </c>
      <c r="C103" s="2" t="e">
        <f t="shared" si="30"/>
        <v>#VALUE!</v>
      </c>
      <c r="D103" s="2">
        <f t="shared" si="22"/>
        <v>1.4486382000000049</v>
      </c>
      <c r="E103" s="2"/>
      <c r="F103">
        <v>3223.1239357999998</v>
      </c>
      <c r="G103" t="s">
        <v>37</v>
      </c>
      <c r="H103" t="s">
        <v>37</v>
      </c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>
        <v>0</v>
      </c>
      <c r="O103">
        <v>0</v>
      </c>
      <c r="P103">
        <v>0</v>
      </c>
      <c r="Q103">
        <v>0</v>
      </c>
      <c r="R103">
        <v>-4.60030059814453E-2</v>
      </c>
      <c r="S103">
        <v>-4.6773738861083901E-3</v>
      </c>
      <c r="T103">
        <v>0</v>
      </c>
      <c r="U103">
        <v>160.375</v>
      </c>
      <c r="V103">
        <v>-1.0780000000000001</v>
      </c>
      <c r="W103">
        <v>1.0569999999999999</v>
      </c>
      <c r="X103">
        <v>0.67200000000000004</v>
      </c>
      <c r="Y103" t="b">
        <v>1</v>
      </c>
      <c r="Z103" t="s">
        <v>49</v>
      </c>
      <c r="AA103" t="e">
        <f t="shared" si="23"/>
        <v>#VALUE!</v>
      </c>
      <c r="AB103">
        <f t="shared" si="17"/>
        <v>-4.6003005981445302</v>
      </c>
      <c r="AC103">
        <f t="shared" si="24"/>
        <v>27.835300774233161</v>
      </c>
      <c r="AD103" t="e">
        <f t="shared" si="25"/>
        <v>#VALUE!</v>
      </c>
      <c r="AE103" t="e">
        <f t="shared" ca="1" si="26"/>
        <v>#VALUE!</v>
      </c>
      <c r="AG103" s="2">
        <f t="shared" si="31"/>
        <v>3.035230000023148E-2</v>
      </c>
      <c r="AH103" s="2">
        <f t="shared" si="32"/>
        <v>3.1267480000001342</v>
      </c>
      <c r="AI103">
        <v>2913.1250239000001</v>
      </c>
      <c r="AJ103">
        <v>209.69542285714201</v>
      </c>
      <c r="AK103">
        <v>55.888325714285699</v>
      </c>
      <c r="AL103" s="2">
        <f t="shared" si="28"/>
        <v>29.248542857142898</v>
      </c>
      <c r="AM103" s="2">
        <f t="shared" si="19"/>
        <v>40.831286980860611</v>
      </c>
      <c r="AN103" s="2">
        <f t="shared" si="29"/>
        <v>11.582744123717713</v>
      </c>
      <c r="AO103" s="2"/>
    </row>
    <row r="104" spans="1:41" x14ac:dyDescent="0.3">
      <c r="A104">
        <f t="shared" si="20"/>
        <v>0</v>
      </c>
      <c r="B104" s="2">
        <f t="shared" si="21"/>
        <v>15.472700000373152</v>
      </c>
      <c r="C104" s="2" t="e">
        <f t="shared" si="30"/>
        <v>#VALUE!</v>
      </c>
      <c r="D104" s="2">
        <f t="shared" si="22"/>
        <v>1.464110900000378</v>
      </c>
      <c r="E104" s="2"/>
      <c r="F104">
        <v>3223.1394085000002</v>
      </c>
      <c r="G104" t="s">
        <v>37</v>
      </c>
      <c r="H104" t="s">
        <v>37</v>
      </c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>
        <v>0</v>
      </c>
      <c r="O104">
        <v>0</v>
      </c>
      <c r="P104">
        <v>0</v>
      </c>
      <c r="Q104">
        <v>0</v>
      </c>
      <c r="R104">
        <v>-4.0395118713378898E-2</v>
      </c>
      <c r="S104">
        <v>4.8211236000060996E-3</v>
      </c>
      <c r="T104">
        <v>0</v>
      </c>
      <c r="U104">
        <v>160.34200000000001</v>
      </c>
      <c r="V104">
        <v>-1.0780000000000001</v>
      </c>
      <c r="W104">
        <v>1.012</v>
      </c>
      <c r="X104">
        <v>0.66700000000000004</v>
      </c>
      <c r="Y104" t="b">
        <v>1</v>
      </c>
      <c r="Z104" t="s">
        <v>49</v>
      </c>
      <c r="AA104" t="e">
        <f t="shared" si="23"/>
        <v>#VALUE!</v>
      </c>
      <c r="AB104">
        <f t="shared" si="17"/>
        <v>-4.0395118713378899</v>
      </c>
      <c r="AC104">
        <f t="shared" si="24"/>
        <v>27.764121703166534</v>
      </c>
      <c r="AD104" t="e">
        <f t="shared" si="25"/>
        <v>#VALUE!</v>
      </c>
      <c r="AE104" t="e">
        <f t="shared" ca="1" si="26"/>
        <v>#VALUE!</v>
      </c>
      <c r="AG104" s="2">
        <f t="shared" si="31"/>
        <v>3.1561199999941891E-2</v>
      </c>
      <c r="AH104" s="2">
        <f t="shared" si="32"/>
        <v>3.1583092000000761</v>
      </c>
      <c r="AI104">
        <v>2913.1565851</v>
      </c>
      <c r="AJ104">
        <v>210.12970285714201</v>
      </c>
      <c r="AK104">
        <v>56.621165714285702</v>
      </c>
      <c r="AL104" s="2">
        <f t="shared" si="28"/>
        <v>29.981382857142901</v>
      </c>
      <c r="AM104" s="2">
        <f t="shared" si="19"/>
        <v>42.042672434483407</v>
      </c>
      <c r="AN104" s="2">
        <f t="shared" si="29"/>
        <v>12.061289577340506</v>
      </c>
      <c r="AO104" s="2"/>
    </row>
    <row r="105" spans="1:41" x14ac:dyDescent="0.3">
      <c r="A105">
        <f t="shared" si="20"/>
        <v>0</v>
      </c>
      <c r="B105" s="2">
        <f t="shared" si="21"/>
        <v>15.598699999827659</v>
      </c>
      <c r="C105" s="2" t="e">
        <f t="shared" si="30"/>
        <v>#VALUE!</v>
      </c>
      <c r="D105" s="2">
        <f t="shared" si="22"/>
        <v>1.4797096000002057</v>
      </c>
      <c r="E105" s="2"/>
      <c r="F105">
        <v>3223.1550072</v>
      </c>
      <c r="G105" t="s">
        <v>37</v>
      </c>
      <c r="H105" t="s">
        <v>37</v>
      </c>
      <c r="I105" t="s">
        <v>37</v>
      </c>
      <c r="J105" t="s">
        <v>37</v>
      </c>
      <c r="K105" t="s">
        <v>37</v>
      </c>
      <c r="L105" t="s">
        <v>37</v>
      </c>
      <c r="M105" t="s">
        <v>37</v>
      </c>
      <c r="N105">
        <v>0</v>
      </c>
      <c r="O105">
        <v>0</v>
      </c>
      <c r="P105">
        <v>0</v>
      </c>
      <c r="Q105">
        <v>0</v>
      </c>
      <c r="R105">
        <v>-4.0395118713378898E-2</v>
      </c>
      <c r="S105">
        <v>4.8211236000060996E-3</v>
      </c>
      <c r="T105">
        <v>0</v>
      </c>
      <c r="U105">
        <v>160.34200000000001</v>
      </c>
      <c r="V105">
        <v>-0.93</v>
      </c>
      <c r="W105">
        <v>1.012</v>
      </c>
      <c r="X105">
        <v>0.66700000000000004</v>
      </c>
      <c r="Y105" t="b">
        <v>1</v>
      </c>
      <c r="Z105" t="s">
        <v>49</v>
      </c>
      <c r="AA105" t="e">
        <f t="shared" si="23"/>
        <v>#VALUE!</v>
      </c>
      <c r="AB105">
        <f t="shared" si="17"/>
        <v>-4.0395118713378899</v>
      </c>
      <c r="AC105">
        <f t="shared" si="24"/>
        <v>27.701110569339793</v>
      </c>
      <c r="AD105" t="e">
        <f t="shared" si="25"/>
        <v>#VALUE!</v>
      </c>
      <c r="AE105" t="e">
        <f t="shared" ca="1" si="26"/>
        <v>#VALUE!</v>
      </c>
      <c r="AG105" s="2">
        <f t="shared" si="31"/>
        <v>3.1701500000053784E-2</v>
      </c>
      <c r="AH105" s="2">
        <f t="shared" si="32"/>
        <v>3.1900107000001299</v>
      </c>
      <c r="AI105">
        <v>2913.1882866000001</v>
      </c>
      <c r="AJ105">
        <v>210.54922285714201</v>
      </c>
      <c r="AK105">
        <v>57.3068457142857</v>
      </c>
      <c r="AL105" s="2">
        <f t="shared" si="28"/>
        <v>30.667062857142898</v>
      </c>
      <c r="AM105" s="2">
        <f t="shared" si="19"/>
        <v>43.271421449676787</v>
      </c>
      <c r="AN105" s="2">
        <f t="shared" si="29"/>
        <v>12.604358592533888</v>
      </c>
      <c r="AO105" s="2"/>
    </row>
    <row r="106" spans="1:41" x14ac:dyDescent="0.3">
      <c r="A106">
        <f t="shared" si="20"/>
        <v>0</v>
      </c>
      <c r="B106" s="2">
        <f t="shared" si="21"/>
        <v>15.318799999931798</v>
      </c>
      <c r="C106" s="2" t="e">
        <f t="shared" si="30"/>
        <v>#VALUE!</v>
      </c>
      <c r="D106" s="2">
        <f t="shared" si="22"/>
        <v>1.4950284000001375</v>
      </c>
      <c r="E106" s="2"/>
      <c r="F106">
        <v>3223.1703259999999</v>
      </c>
      <c r="G106" t="s">
        <v>37</v>
      </c>
      <c r="H106" t="s">
        <v>37</v>
      </c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>
        <v>0</v>
      </c>
      <c r="O106">
        <v>0</v>
      </c>
      <c r="P106">
        <v>0</v>
      </c>
      <c r="Q106">
        <v>0</v>
      </c>
      <c r="R106">
        <v>-4.0395118713378898E-2</v>
      </c>
      <c r="S106">
        <v>4.8211236000060996E-3</v>
      </c>
      <c r="T106">
        <v>0</v>
      </c>
      <c r="U106">
        <v>160.34200000000001</v>
      </c>
      <c r="V106">
        <v>-0.93</v>
      </c>
      <c r="W106">
        <v>1.012</v>
      </c>
      <c r="X106">
        <v>0.66700000000000004</v>
      </c>
      <c r="Y106" t="b">
        <v>1</v>
      </c>
      <c r="Z106" t="s">
        <v>49</v>
      </c>
      <c r="AA106" t="e">
        <f t="shared" si="23"/>
        <v>#VALUE!</v>
      </c>
      <c r="AB106">
        <f t="shared" si="17"/>
        <v>-4.0395118713378899</v>
      </c>
      <c r="AC106">
        <f t="shared" si="24"/>
        <v>27.639230094885416</v>
      </c>
      <c r="AD106" t="e">
        <f t="shared" si="25"/>
        <v>#VALUE!</v>
      </c>
      <c r="AE106" t="e">
        <f t="shared" ca="1" si="26"/>
        <v>#VALUE!</v>
      </c>
      <c r="AG106" s="2">
        <f t="shared" si="31"/>
        <v>4.5553299999937735E-2</v>
      </c>
      <c r="AH106" s="2">
        <f t="shared" si="32"/>
        <v>3.2355640000000676</v>
      </c>
      <c r="AI106">
        <v>2913.2338399</v>
      </c>
      <c r="AJ106">
        <v>210.96874285714199</v>
      </c>
      <c r="AK106">
        <v>57.940125714285699</v>
      </c>
      <c r="AL106" s="2">
        <f t="shared" si="28"/>
        <v>31.300342857142898</v>
      </c>
      <c r="AM106" s="2">
        <f t="shared" si="19"/>
        <v>45.057678917418066</v>
      </c>
      <c r="AN106" s="2">
        <f t="shared" si="29"/>
        <v>13.757336060275168</v>
      </c>
      <c r="AO106" s="2"/>
    </row>
    <row r="107" spans="1:41" x14ac:dyDescent="0.3">
      <c r="A107">
        <f t="shared" si="20"/>
        <v>0</v>
      </c>
      <c r="B107" s="2">
        <f t="shared" si="21"/>
        <v>16.192699999919569</v>
      </c>
      <c r="C107" s="2" t="e">
        <f t="shared" si="30"/>
        <v>#VALUE!</v>
      </c>
      <c r="D107" s="2">
        <f t="shared" si="22"/>
        <v>1.511221100000057</v>
      </c>
      <c r="E107" s="2"/>
      <c r="F107">
        <v>3223.1865186999999</v>
      </c>
      <c r="G107" t="s">
        <v>37</v>
      </c>
      <c r="H107" t="s">
        <v>37</v>
      </c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>
        <v>0</v>
      </c>
      <c r="O107">
        <v>0</v>
      </c>
      <c r="P107">
        <v>0</v>
      </c>
      <c r="Q107">
        <v>0</v>
      </c>
      <c r="R107">
        <v>-4.0395118713378898E-2</v>
      </c>
      <c r="S107">
        <v>4.8211236000060996E-3</v>
      </c>
      <c r="T107">
        <v>0</v>
      </c>
      <c r="U107">
        <v>160.34200000000001</v>
      </c>
      <c r="V107">
        <v>-0.93</v>
      </c>
      <c r="W107">
        <v>1.012</v>
      </c>
      <c r="X107">
        <v>0.66700000000000004</v>
      </c>
      <c r="Y107" t="b">
        <v>1</v>
      </c>
      <c r="Z107" t="s">
        <v>49</v>
      </c>
      <c r="AA107" t="e">
        <f t="shared" si="23"/>
        <v>#VALUE!</v>
      </c>
      <c r="AB107">
        <f t="shared" si="17"/>
        <v>-4.0395118713378899</v>
      </c>
      <c r="AC107">
        <f t="shared" si="24"/>
        <v>27.573819491006727</v>
      </c>
      <c r="AD107" t="e">
        <f t="shared" si="25"/>
        <v>#VALUE!</v>
      </c>
      <c r="AE107" t="e">
        <f t="shared" ca="1" si="26"/>
        <v>#VALUE!</v>
      </c>
      <c r="AG107" s="2">
        <f t="shared" si="31"/>
        <v>3.1141800000114017E-2</v>
      </c>
      <c r="AH107" s="2">
        <f t="shared" si="32"/>
        <v>3.2667058000001816</v>
      </c>
      <c r="AI107">
        <v>2913.2649817000001</v>
      </c>
      <c r="AJ107">
        <v>211.38682285714199</v>
      </c>
      <c r="AK107">
        <v>58.688085714285698</v>
      </c>
      <c r="AL107" s="2">
        <f t="shared" si="28"/>
        <v>32.0483028571429</v>
      </c>
      <c r="AM107" s="2">
        <f t="shared" si="19"/>
        <v>46.29254607077592</v>
      </c>
      <c r="AN107" s="2">
        <f t="shared" si="29"/>
        <v>14.24424321363302</v>
      </c>
      <c r="AO107" s="2"/>
    </row>
    <row r="108" spans="1:41" x14ac:dyDescent="0.3">
      <c r="A108">
        <f t="shared" si="20"/>
        <v>0</v>
      </c>
      <c r="B108" s="2">
        <f t="shared" si="21"/>
        <v>15.54630000009638</v>
      </c>
      <c r="C108" s="2" t="e">
        <f t="shared" si="30"/>
        <v>#VALUE!</v>
      </c>
      <c r="D108" s="2">
        <f t="shared" si="22"/>
        <v>1.5267674000001534</v>
      </c>
      <c r="E108" s="2"/>
      <c r="F108">
        <v>3223.2020649999999</v>
      </c>
      <c r="G108" t="s">
        <v>37</v>
      </c>
      <c r="H108" t="s">
        <v>37</v>
      </c>
      <c r="I108" t="s">
        <v>37</v>
      </c>
      <c r="J108" t="s">
        <v>37</v>
      </c>
      <c r="K108" t="s">
        <v>37</v>
      </c>
      <c r="L108" t="s">
        <v>37</v>
      </c>
      <c r="M108" t="s">
        <v>37</v>
      </c>
      <c r="N108">
        <v>0</v>
      </c>
      <c r="O108">
        <v>0</v>
      </c>
      <c r="P108">
        <v>0</v>
      </c>
      <c r="Q108">
        <v>0</v>
      </c>
      <c r="R108">
        <v>-6.9509086608886697E-3</v>
      </c>
      <c r="S108">
        <v>6.0779118537902799E-3</v>
      </c>
      <c r="T108">
        <v>0</v>
      </c>
      <c r="U108">
        <v>160.405</v>
      </c>
      <c r="V108">
        <v>-0.69199999999999995</v>
      </c>
      <c r="W108">
        <v>0.65300000000000002</v>
      </c>
      <c r="X108">
        <v>0.66200000000000003</v>
      </c>
      <c r="Y108" t="b">
        <v>1</v>
      </c>
      <c r="Z108" t="s">
        <v>49</v>
      </c>
      <c r="AA108" t="e">
        <f t="shared" si="23"/>
        <v>#VALUE!</v>
      </c>
      <c r="AB108">
        <f t="shared" si="17"/>
        <v>-0.69509086608886694</v>
      </c>
      <c r="AC108">
        <f t="shared" si="24"/>
        <v>27.511020027600956</v>
      </c>
      <c r="AD108" t="e">
        <f t="shared" si="25"/>
        <v>#VALUE!</v>
      </c>
      <c r="AE108" t="e">
        <f t="shared" ca="1" si="26"/>
        <v>#VALUE!</v>
      </c>
      <c r="AG108" s="2">
        <f t="shared" si="31"/>
        <v>3.122510000002876E-2</v>
      </c>
      <c r="AH108" s="2">
        <f t="shared" si="32"/>
        <v>3.2979309000002104</v>
      </c>
      <c r="AI108">
        <v>2913.2962068000002</v>
      </c>
      <c r="AJ108">
        <v>211.816182857142</v>
      </c>
      <c r="AK108">
        <v>60.015285714285703</v>
      </c>
      <c r="AL108" s="2">
        <f t="shared" si="28"/>
        <v>33.375502857142905</v>
      </c>
      <c r="AM108" s="2">
        <f t="shared" si="19"/>
        <v>47.541688416580591</v>
      </c>
      <c r="AN108" s="2">
        <f t="shared" si="29"/>
        <v>14.166185559437686</v>
      </c>
      <c r="AO108" s="2"/>
    </row>
    <row r="109" spans="1:41" x14ac:dyDescent="0.3">
      <c r="A109">
        <f t="shared" si="20"/>
        <v>0</v>
      </c>
      <c r="B109" s="2">
        <f t="shared" si="21"/>
        <v>16.014799999993556</v>
      </c>
      <c r="C109" s="2" t="e">
        <f t="shared" si="30"/>
        <v>#VALUE!</v>
      </c>
      <c r="D109" s="2">
        <f t="shared" si="22"/>
        <v>1.542782200000147</v>
      </c>
      <c r="E109" s="2"/>
      <c r="F109">
        <v>3223.2180797999999</v>
      </c>
      <c r="G109" t="s">
        <v>37</v>
      </c>
      <c r="H109" t="s">
        <v>37</v>
      </c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>
        <v>0</v>
      </c>
      <c r="O109">
        <v>0</v>
      </c>
      <c r="P109">
        <v>0</v>
      </c>
      <c r="Q109">
        <v>0</v>
      </c>
      <c r="R109">
        <v>-6.9509086608886697E-3</v>
      </c>
      <c r="S109">
        <v>6.0779118537902799E-3</v>
      </c>
      <c r="T109">
        <v>0</v>
      </c>
      <c r="U109">
        <v>160.405</v>
      </c>
      <c r="V109">
        <v>-0.69199999999999995</v>
      </c>
      <c r="W109">
        <v>0.65300000000000002</v>
      </c>
      <c r="X109">
        <v>0.66200000000000003</v>
      </c>
      <c r="Y109" t="b">
        <v>1</v>
      </c>
      <c r="Z109" t="s">
        <v>49</v>
      </c>
      <c r="AA109" t="e">
        <f t="shared" si="23"/>
        <v>#VALUE!</v>
      </c>
      <c r="AB109">
        <f t="shared" si="17"/>
        <v>-0.69509086608886694</v>
      </c>
      <c r="AC109">
        <f t="shared" si="24"/>
        <v>27.499888286398722</v>
      </c>
      <c r="AD109" t="e">
        <f t="shared" si="25"/>
        <v>#VALUE!</v>
      </c>
      <c r="AE109" t="e">
        <f t="shared" ca="1" si="26"/>
        <v>#VALUE!</v>
      </c>
      <c r="AG109" s="2">
        <f t="shared" si="31"/>
        <v>1.6460599999845726E-2</v>
      </c>
      <c r="AH109" s="2">
        <f t="shared" si="32"/>
        <v>3.3143915000000561</v>
      </c>
      <c r="AI109">
        <v>2913.3126674</v>
      </c>
      <c r="AJ109">
        <v>212.240622857142</v>
      </c>
      <c r="AK109">
        <v>61.300565714285703</v>
      </c>
      <c r="AL109" s="2">
        <f t="shared" si="28"/>
        <v>34.660782857142905</v>
      </c>
      <c r="AM109" s="2">
        <f t="shared" si="19"/>
        <v>48.20454564803331</v>
      </c>
      <c r="AN109" s="2">
        <f t="shared" si="29"/>
        <v>13.543762790890405</v>
      </c>
      <c r="AO109" s="2"/>
    </row>
    <row r="110" spans="1:41" x14ac:dyDescent="0.3">
      <c r="A110">
        <f t="shared" si="20"/>
        <v>0</v>
      </c>
      <c r="B110" s="2">
        <f t="shared" si="21"/>
        <v>15.179299999999785</v>
      </c>
      <c r="C110" s="2" t="e">
        <f t="shared" si="30"/>
        <v>#VALUE!</v>
      </c>
      <c r="D110" s="2">
        <f t="shared" si="22"/>
        <v>1.5579615000001468</v>
      </c>
      <c r="E110" s="2"/>
      <c r="F110">
        <v>3223.2332590999999</v>
      </c>
      <c r="G110" t="s">
        <v>37</v>
      </c>
      <c r="H110" t="s">
        <v>37</v>
      </c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>
        <v>0</v>
      </c>
      <c r="O110">
        <v>0</v>
      </c>
      <c r="P110">
        <v>0</v>
      </c>
      <c r="Q110">
        <v>0</v>
      </c>
      <c r="R110">
        <v>-6.9509086608886697E-3</v>
      </c>
      <c r="S110">
        <v>6.0779118537902799E-3</v>
      </c>
      <c r="T110">
        <v>0</v>
      </c>
      <c r="U110">
        <v>160.405</v>
      </c>
      <c r="V110">
        <v>-0.69199999999999995</v>
      </c>
      <c r="W110">
        <v>0.65300000000000002</v>
      </c>
      <c r="X110">
        <v>0.66200000000000003</v>
      </c>
      <c r="Y110" t="b">
        <v>1</v>
      </c>
      <c r="Z110" t="s">
        <v>49</v>
      </c>
      <c r="AA110" t="e">
        <f t="shared" si="23"/>
        <v>#VALUE!</v>
      </c>
      <c r="AB110">
        <f t="shared" si="17"/>
        <v>-0.69509086608886694</v>
      </c>
      <c r="AC110">
        <f t="shared" si="24"/>
        <v>27.489337293615101</v>
      </c>
      <c r="AD110" t="e">
        <f t="shared" si="25"/>
        <v>#VALUE!</v>
      </c>
      <c r="AE110" t="e">
        <f t="shared" ca="1" si="26"/>
        <v>#VALUE!</v>
      </c>
      <c r="AG110" s="2">
        <f t="shared" si="31"/>
        <v>4.508159999977579E-2</v>
      </c>
      <c r="AH110" s="2">
        <f t="shared" si="32"/>
        <v>3.3594730999998319</v>
      </c>
      <c r="AI110">
        <v>2913.3577489999998</v>
      </c>
      <c r="AJ110">
        <v>212.665062857142</v>
      </c>
      <c r="AK110">
        <v>62.543925714285699</v>
      </c>
      <c r="AL110" s="2">
        <f t="shared" si="28"/>
        <v>35.904142857142901</v>
      </c>
      <c r="AM110" s="2">
        <f t="shared" si="19"/>
        <v>50.03510871210014</v>
      </c>
      <c r="AN110" s="2">
        <f t="shared" si="29"/>
        <v>14.130965854957239</v>
      </c>
      <c r="AO110" s="2"/>
    </row>
    <row r="111" spans="1:41" x14ac:dyDescent="0.3">
      <c r="A111">
        <f t="shared" si="20"/>
        <v>0</v>
      </c>
      <c r="B111" s="2">
        <f t="shared" si="21"/>
        <v>15.623900000264257</v>
      </c>
      <c r="C111" s="2" t="e">
        <f t="shared" si="30"/>
        <v>#VALUE!</v>
      </c>
      <c r="D111" s="2">
        <f t="shared" si="22"/>
        <v>1.573585400000411</v>
      </c>
      <c r="E111" s="2"/>
      <c r="F111">
        <v>3223.2488830000002</v>
      </c>
      <c r="G111" t="s">
        <v>37</v>
      </c>
      <c r="H111" t="s">
        <v>37</v>
      </c>
      <c r="I111" t="s">
        <v>37</v>
      </c>
      <c r="J111" t="s">
        <v>37</v>
      </c>
      <c r="K111" t="s">
        <v>37</v>
      </c>
      <c r="L111" t="s">
        <v>37</v>
      </c>
      <c r="M111" t="s">
        <v>37</v>
      </c>
      <c r="N111">
        <v>0</v>
      </c>
      <c r="O111">
        <v>0</v>
      </c>
      <c r="P111">
        <v>0</v>
      </c>
      <c r="Q111">
        <v>0</v>
      </c>
      <c r="R111">
        <v>-6.9509086608886697E-3</v>
      </c>
      <c r="S111">
        <v>6.0779118537902799E-3</v>
      </c>
      <c r="T111">
        <v>0</v>
      </c>
      <c r="U111">
        <v>160.405</v>
      </c>
      <c r="V111">
        <v>-0.69199999999999995</v>
      </c>
      <c r="W111">
        <v>0.65300000000000002</v>
      </c>
      <c r="X111">
        <v>0.66200000000000003</v>
      </c>
      <c r="Y111" t="b">
        <v>1</v>
      </c>
      <c r="Z111" t="s">
        <v>49</v>
      </c>
      <c r="AA111" t="e">
        <f t="shared" si="23"/>
        <v>#VALUE!</v>
      </c>
      <c r="AB111">
        <f t="shared" si="17"/>
        <v>-0.69509086608886694</v>
      </c>
      <c r="AC111">
        <f t="shared" si="24"/>
        <v>27.478477263432232</v>
      </c>
      <c r="AD111" t="e">
        <f t="shared" si="25"/>
        <v>#VALUE!</v>
      </c>
      <c r="AE111" t="e">
        <f t="shared" ca="1" si="26"/>
        <v>#VALUE!</v>
      </c>
      <c r="AG111" s="2">
        <f t="shared" si="31"/>
        <v>4.6885300000212737E-2</v>
      </c>
      <c r="AH111" s="2">
        <f t="shared" si="32"/>
        <v>3.4063584000000446</v>
      </c>
      <c r="AI111">
        <v>2913.4046343</v>
      </c>
      <c r="AJ111">
        <v>213.08472</v>
      </c>
      <c r="AK111">
        <v>63.863959999999999</v>
      </c>
      <c r="AL111" s="2">
        <f t="shared" si="28"/>
        <v>37.224177142857201</v>
      </c>
      <c r="AM111" s="2">
        <f t="shared" si="19"/>
        <v>51.96201579560973</v>
      </c>
      <c r="AN111" s="2">
        <f t="shared" si="29"/>
        <v>14.737838652752529</v>
      </c>
      <c r="AO111" s="2"/>
    </row>
    <row r="112" spans="1:41" x14ac:dyDescent="0.3">
      <c r="A112">
        <f t="shared" si="20"/>
        <v>0</v>
      </c>
      <c r="B112" s="2">
        <f t="shared" si="21"/>
        <v>15.666599999804021</v>
      </c>
      <c r="C112" s="2" t="e">
        <f t="shared" si="30"/>
        <v>#VALUE!</v>
      </c>
      <c r="D112" s="2">
        <f t="shared" si="22"/>
        <v>1.589252000000215</v>
      </c>
      <c r="E112" s="2"/>
      <c r="F112">
        <v>3223.2645496</v>
      </c>
      <c r="G112" t="s">
        <v>37</v>
      </c>
      <c r="H112" t="s">
        <v>37</v>
      </c>
      <c r="I112" t="s">
        <v>37</v>
      </c>
      <c r="J112" t="s">
        <v>37</v>
      </c>
      <c r="K112" t="s">
        <v>37</v>
      </c>
      <c r="L112" t="s">
        <v>37</v>
      </c>
      <c r="M112" t="s">
        <v>37</v>
      </c>
      <c r="N112">
        <v>0</v>
      </c>
      <c r="O112">
        <v>0</v>
      </c>
      <c r="P112">
        <v>0</v>
      </c>
      <c r="Q112">
        <v>0</v>
      </c>
      <c r="R112">
        <v>2.3579235076904199E-2</v>
      </c>
      <c r="S112">
        <v>2.0811573028564401E-2</v>
      </c>
      <c r="T112">
        <v>0</v>
      </c>
      <c r="U112">
        <v>160.52099999999999</v>
      </c>
      <c r="V112">
        <v>-0.76</v>
      </c>
      <c r="W112">
        <v>0.32500000000000001</v>
      </c>
      <c r="X112">
        <v>0.65700000000000003</v>
      </c>
      <c r="Y112" t="b">
        <v>1</v>
      </c>
      <c r="Z112" t="s">
        <v>49</v>
      </c>
      <c r="AA112" t="e">
        <f t="shared" si="23"/>
        <v>#VALUE!</v>
      </c>
      <c r="AB112">
        <f t="shared" si="17"/>
        <v>2.3579235076904199</v>
      </c>
      <c r="AC112">
        <f t="shared" si="24"/>
        <v>27.467587552869702</v>
      </c>
      <c r="AD112" t="e">
        <f t="shared" si="25"/>
        <v>#VALUE!</v>
      </c>
      <c r="AE112" t="e">
        <f t="shared" ca="1" si="26"/>
        <v>#VALUE!</v>
      </c>
      <c r="AG112" s="2">
        <f t="shared" si="31"/>
        <v>1.5937699999994948E-2</v>
      </c>
      <c r="AH112" s="2">
        <f t="shared" si="32"/>
        <v>3.4222961000000396</v>
      </c>
      <c r="AI112">
        <v>2913.420572</v>
      </c>
      <c r="AJ112">
        <v>213.49799999999999</v>
      </c>
      <c r="AK112">
        <v>65.028720000000007</v>
      </c>
      <c r="AL112" s="2">
        <f t="shared" si="28"/>
        <v>38.388937142857202</v>
      </c>
      <c r="AM112" s="2">
        <f t="shared" si="19"/>
        <v>52.622290328649562</v>
      </c>
      <c r="AN112" s="2">
        <f t="shared" si="29"/>
        <v>14.23335318579236</v>
      </c>
      <c r="AO112" s="2"/>
    </row>
    <row r="113" spans="1:41" x14ac:dyDescent="0.3">
      <c r="A113">
        <f t="shared" si="20"/>
        <v>0</v>
      </c>
      <c r="B113" s="2">
        <f t="shared" si="21"/>
        <v>14.74740000003294</v>
      </c>
      <c r="C113" s="2" t="e">
        <f t="shared" si="30"/>
        <v>#VALUE!</v>
      </c>
      <c r="D113" s="2">
        <f t="shared" si="22"/>
        <v>1.603999400000248</v>
      </c>
      <c r="E113" s="2"/>
      <c r="F113">
        <v>3223.279297</v>
      </c>
      <c r="G113" t="s">
        <v>37</v>
      </c>
      <c r="H113" t="s">
        <v>37</v>
      </c>
      <c r="I113" t="s">
        <v>37</v>
      </c>
      <c r="J113" t="s">
        <v>37</v>
      </c>
      <c r="K113" t="s">
        <v>37</v>
      </c>
      <c r="L113" t="s">
        <v>37</v>
      </c>
      <c r="M113" t="s">
        <v>37</v>
      </c>
      <c r="N113">
        <v>0</v>
      </c>
      <c r="O113">
        <v>0</v>
      </c>
      <c r="P113">
        <v>0</v>
      </c>
      <c r="Q113">
        <v>0</v>
      </c>
      <c r="R113">
        <v>2.3579235076904199E-2</v>
      </c>
      <c r="S113">
        <v>2.0811573028564401E-2</v>
      </c>
      <c r="T113">
        <v>0</v>
      </c>
      <c r="U113">
        <v>160.52099999999999</v>
      </c>
      <c r="V113">
        <v>-0.76</v>
      </c>
      <c r="W113">
        <v>0.32500000000000001</v>
      </c>
      <c r="X113">
        <v>0.65700000000000003</v>
      </c>
      <c r="Y113" t="b">
        <v>1</v>
      </c>
      <c r="Z113" t="s">
        <v>49</v>
      </c>
      <c r="AA113" t="e">
        <f t="shared" si="23"/>
        <v>#VALUE!</v>
      </c>
      <c r="AB113">
        <f t="shared" si="17"/>
        <v>2.3579235076904199</v>
      </c>
      <c r="AC113">
        <f t="shared" si="24"/>
        <v>27.502360794007092</v>
      </c>
      <c r="AD113" t="e">
        <f t="shared" si="25"/>
        <v>#VALUE!</v>
      </c>
      <c r="AE113" t="e">
        <f t="shared" ca="1" si="26"/>
        <v>#VALUE!</v>
      </c>
      <c r="AG113" s="2">
        <f t="shared" si="31"/>
        <v>3.0014800000117248E-2</v>
      </c>
      <c r="AH113" s="2">
        <f t="shared" si="32"/>
        <v>3.4523109000001568</v>
      </c>
      <c r="AI113">
        <v>2913.4505868000001</v>
      </c>
      <c r="AJ113">
        <v>213.90288000000001</v>
      </c>
      <c r="AK113">
        <v>66.793679999999995</v>
      </c>
      <c r="AL113" s="2">
        <f t="shared" si="28"/>
        <v>40.15389714285719</v>
      </c>
      <c r="AM113" s="2">
        <f t="shared" si="19"/>
        <v>53.872886026900218</v>
      </c>
      <c r="AN113" s="2">
        <f t="shared" si="29"/>
        <v>13.718988884043029</v>
      </c>
      <c r="AO113" s="2"/>
    </row>
    <row r="114" spans="1:41" x14ac:dyDescent="0.3">
      <c r="A114">
        <f t="shared" si="20"/>
        <v>0</v>
      </c>
      <c r="B114" s="2">
        <f t="shared" si="21"/>
        <v>15.88820000006308</v>
      </c>
      <c r="C114" s="2" t="e">
        <f t="shared" si="30"/>
        <v>#VALUE!</v>
      </c>
      <c r="D114" s="2">
        <f t="shared" si="22"/>
        <v>1.6198876000003111</v>
      </c>
      <c r="E114" s="2"/>
      <c r="F114">
        <v>3223.2951852000001</v>
      </c>
      <c r="G114" t="s">
        <v>37</v>
      </c>
      <c r="H114" t="s">
        <v>37</v>
      </c>
      <c r="I114" t="s">
        <v>37</v>
      </c>
      <c r="J114" t="s">
        <v>37</v>
      </c>
      <c r="K114" t="s">
        <v>37</v>
      </c>
      <c r="L114" t="s">
        <v>37</v>
      </c>
      <c r="M114" t="s">
        <v>37</v>
      </c>
      <c r="N114">
        <v>0</v>
      </c>
      <c r="O114">
        <v>0</v>
      </c>
      <c r="P114">
        <v>0</v>
      </c>
      <c r="Q114">
        <v>0</v>
      </c>
      <c r="R114">
        <v>2.3579235076904199E-2</v>
      </c>
      <c r="S114">
        <v>2.0811573028564401E-2</v>
      </c>
      <c r="T114">
        <v>0</v>
      </c>
      <c r="U114">
        <v>160.52099999999999</v>
      </c>
      <c r="V114">
        <v>-0.76</v>
      </c>
      <c r="W114">
        <v>0.32500000000000001</v>
      </c>
      <c r="X114">
        <v>0.65700000000000003</v>
      </c>
      <c r="Y114" t="b">
        <v>1</v>
      </c>
      <c r="Z114" t="s">
        <v>49</v>
      </c>
      <c r="AA114" t="e">
        <f t="shared" si="23"/>
        <v>#VALUE!</v>
      </c>
      <c r="AB114">
        <f t="shared" si="17"/>
        <v>2.3579235076904199</v>
      </c>
      <c r="AC114">
        <f t="shared" si="24"/>
        <v>27.539823954282127</v>
      </c>
      <c r="AD114" t="e">
        <f t="shared" si="25"/>
        <v>#VALUE!</v>
      </c>
      <c r="AE114" t="e">
        <f t="shared" ca="1" si="26"/>
        <v>#VALUE!</v>
      </c>
      <c r="AG114" s="2">
        <f t="shared" si="31"/>
        <v>3.1278200000087963E-2</v>
      </c>
      <c r="AH114" s="2">
        <f t="shared" si="32"/>
        <v>3.4835891000002448</v>
      </c>
      <c r="AI114">
        <v>2913.4818650000002</v>
      </c>
      <c r="AJ114">
        <v>214.29792</v>
      </c>
      <c r="AK114">
        <v>68.537679999999995</v>
      </c>
      <c r="AL114" s="2">
        <f t="shared" si="28"/>
        <v>41.89789714285719</v>
      </c>
      <c r="AM114" s="2">
        <f t="shared" si="19"/>
        <v>55.185894579909693</v>
      </c>
      <c r="AN114" s="2">
        <f t="shared" si="29"/>
        <v>13.287997437052503</v>
      </c>
      <c r="AO114" s="2"/>
    </row>
    <row r="115" spans="1:41" x14ac:dyDescent="0.3">
      <c r="A115">
        <f t="shared" si="20"/>
        <v>0</v>
      </c>
      <c r="B115" s="2">
        <f t="shared" si="21"/>
        <v>16.239099999893369</v>
      </c>
      <c r="C115" s="2" t="e">
        <f t="shared" si="30"/>
        <v>#VALUE!</v>
      </c>
      <c r="D115" s="2">
        <f t="shared" si="22"/>
        <v>1.6361267000002044</v>
      </c>
      <c r="E115" s="2"/>
      <c r="F115">
        <v>3223.3114243</v>
      </c>
      <c r="G115" t="s">
        <v>37</v>
      </c>
      <c r="H115" t="s">
        <v>37</v>
      </c>
      <c r="I115" t="s">
        <v>37</v>
      </c>
      <c r="J115" t="s">
        <v>37</v>
      </c>
      <c r="K115" t="s">
        <v>37</v>
      </c>
      <c r="L115" t="s">
        <v>37</v>
      </c>
      <c r="M115" t="s">
        <v>37</v>
      </c>
      <c r="N115">
        <v>0</v>
      </c>
      <c r="O115">
        <v>0</v>
      </c>
      <c r="P115">
        <v>0</v>
      </c>
      <c r="Q115">
        <v>0</v>
      </c>
      <c r="R115">
        <v>2.3579235076904199E-2</v>
      </c>
      <c r="S115">
        <v>2.0811573028564401E-2</v>
      </c>
      <c r="T115">
        <v>0</v>
      </c>
      <c r="U115">
        <v>160.52099999999999</v>
      </c>
      <c r="V115">
        <v>-0.76</v>
      </c>
      <c r="W115">
        <v>0.32500000000000001</v>
      </c>
      <c r="X115">
        <v>0.65700000000000003</v>
      </c>
      <c r="Y115" t="b">
        <v>1</v>
      </c>
      <c r="Z115" t="s">
        <v>49</v>
      </c>
      <c r="AA115" t="e">
        <f t="shared" si="23"/>
        <v>#VALUE!</v>
      </c>
      <c r="AB115">
        <f t="shared" si="17"/>
        <v>2.3579235076904199</v>
      </c>
      <c r="AC115">
        <f t="shared" si="24"/>
        <v>27.578114509915611</v>
      </c>
      <c r="AD115" t="e">
        <f t="shared" si="25"/>
        <v>#VALUE!</v>
      </c>
      <c r="AE115" t="e">
        <f t="shared" ca="1" si="26"/>
        <v>#VALUE!</v>
      </c>
      <c r="AG115" s="2">
        <f t="shared" si="31"/>
        <v>3.1079799999588431E-2</v>
      </c>
      <c r="AH115" s="2">
        <f t="shared" si="32"/>
        <v>3.5146688999998332</v>
      </c>
      <c r="AI115">
        <v>2913.5129447999998</v>
      </c>
      <c r="AJ115">
        <v>214.69477714285699</v>
      </c>
      <c r="AK115">
        <v>70.131314285714197</v>
      </c>
      <c r="AL115" s="2">
        <f t="shared" si="28"/>
        <v>43.491531428571392</v>
      </c>
      <c r="AM115" s="2">
        <f t="shared" si="19"/>
        <v>56.50029098898473</v>
      </c>
      <c r="AN115" s="2">
        <f t="shared" si="29"/>
        <v>13.008759560413338</v>
      </c>
      <c r="AO115" s="2"/>
    </row>
    <row r="116" spans="1:41" x14ac:dyDescent="0.3">
      <c r="A116">
        <f t="shared" si="20"/>
        <v>0</v>
      </c>
      <c r="B116" s="2">
        <f t="shared" si="21"/>
        <v>15.129700000215962</v>
      </c>
      <c r="C116" s="2" t="e">
        <f t="shared" si="30"/>
        <v>#VALUE!</v>
      </c>
      <c r="D116" s="2">
        <f t="shared" si="22"/>
        <v>1.6512564000004204</v>
      </c>
      <c r="E116" s="2"/>
      <c r="F116">
        <v>3223.3265540000002</v>
      </c>
      <c r="G116" t="s">
        <v>37</v>
      </c>
      <c r="H116" t="s">
        <v>37</v>
      </c>
      <c r="I116" t="s">
        <v>37</v>
      </c>
      <c r="J116" t="s">
        <v>37</v>
      </c>
      <c r="K116" t="s">
        <v>37</v>
      </c>
      <c r="L116" t="s">
        <v>37</v>
      </c>
      <c r="M116" t="s">
        <v>37</v>
      </c>
      <c r="N116">
        <v>0</v>
      </c>
      <c r="O116">
        <v>0</v>
      </c>
      <c r="P116">
        <v>0</v>
      </c>
      <c r="Q116">
        <v>0</v>
      </c>
      <c r="R116">
        <v>2.3579235076904199E-2</v>
      </c>
      <c r="S116">
        <v>2.0811573028564401E-2</v>
      </c>
      <c r="T116">
        <v>0</v>
      </c>
      <c r="U116">
        <v>160.52099999999999</v>
      </c>
      <c r="V116">
        <v>-0.76</v>
      </c>
      <c r="W116">
        <v>0.32500000000000001</v>
      </c>
      <c r="X116">
        <v>0.65700000000000003</v>
      </c>
      <c r="Y116" t="b">
        <v>1</v>
      </c>
      <c r="Z116" t="s">
        <v>49</v>
      </c>
      <c r="AA116" t="e">
        <f t="shared" si="23"/>
        <v>#VALUE!</v>
      </c>
      <c r="AB116">
        <f t="shared" si="17"/>
        <v>2.3579235076904199</v>
      </c>
      <c r="AC116">
        <f t="shared" si="24"/>
        <v>27.613789185210425</v>
      </c>
      <c r="AD116" t="e">
        <f t="shared" si="25"/>
        <v>#VALUE!</v>
      </c>
      <c r="AE116" t="e">
        <f t="shared" ca="1" si="26"/>
        <v>#VALUE!</v>
      </c>
      <c r="AG116" s="2">
        <f t="shared" si="31"/>
        <v>4.6674600000187638E-2</v>
      </c>
      <c r="AH116" s="2">
        <f t="shared" si="32"/>
        <v>3.5613435000000209</v>
      </c>
      <c r="AI116">
        <v>2913.5596194</v>
      </c>
      <c r="AJ116">
        <v>215.07985714285701</v>
      </c>
      <c r="AK116">
        <v>71.206994285714202</v>
      </c>
      <c r="AL116" s="2">
        <f t="shared" si="28"/>
        <v>44.567211428571397</v>
      </c>
      <c r="AM116" s="2">
        <f t="shared" si="19"/>
        <v>58.492049467617605</v>
      </c>
      <c r="AN116" s="2">
        <f t="shared" si="29"/>
        <v>13.924838039046207</v>
      </c>
      <c r="AO116" s="2"/>
    </row>
    <row r="117" spans="1:41" x14ac:dyDescent="0.3">
      <c r="A117">
        <f t="shared" si="20"/>
        <v>0</v>
      </c>
      <c r="B117" s="2">
        <f t="shared" si="21"/>
        <v>15.060499999890453</v>
      </c>
      <c r="C117" s="2" t="e">
        <f t="shared" si="30"/>
        <v>#VALUE!</v>
      </c>
      <c r="D117" s="2">
        <f t="shared" si="22"/>
        <v>1.6663169000003109</v>
      </c>
      <c r="E117" s="2"/>
      <c r="F117">
        <v>3223.3416145000001</v>
      </c>
      <c r="G117" t="s">
        <v>37</v>
      </c>
      <c r="H117" t="s">
        <v>37</v>
      </c>
      <c r="I117" t="s">
        <v>37</v>
      </c>
      <c r="J117" t="s">
        <v>37</v>
      </c>
      <c r="K117" t="s">
        <v>37</v>
      </c>
      <c r="L117" t="s">
        <v>37</v>
      </c>
      <c r="M117" t="s">
        <v>37</v>
      </c>
      <c r="N117">
        <v>0</v>
      </c>
      <c r="O117">
        <v>0</v>
      </c>
      <c r="P117">
        <v>0</v>
      </c>
      <c r="Q117">
        <v>0</v>
      </c>
      <c r="R117">
        <v>5.8673553466796799E-2</v>
      </c>
      <c r="S117">
        <v>1.9395898818969699E-2</v>
      </c>
      <c r="T117">
        <v>0</v>
      </c>
      <c r="U117">
        <v>160.518</v>
      </c>
      <c r="V117">
        <v>-0.94899999999999995</v>
      </c>
      <c r="W117">
        <v>-5.8000000000000003E-2</v>
      </c>
      <c r="X117">
        <v>0.65200000000000002</v>
      </c>
      <c r="Y117" t="b">
        <v>1</v>
      </c>
      <c r="Z117" t="s">
        <v>49</v>
      </c>
      <c r="AA117" t="e">
        <f t="shared" si="23"/>
        <v>#VALUE!</v>
      </c>
      <c r="AB117">
        <f t="shared" si="17"/>
        <v>5.8673553466796795</v>
      </c>
      <c r="AC117">
        <f t="shared" si="24"/>
        <v>27.649300692197738</v>
      </c>
      <c r="AD117" t="e">
        <f t="shared" si="25"/>
        <v>#VALUE!</v>
      </c>
      <c r="AE117" t="e">
        <f t="shared" ca="1" si="26"/>
        <v>#VALUE!</v>
      </c>
      <c r="AG117" s="2">
        <f t="shared" si="31"/>
        <v>1.520280000022467E-2</v>
      </c>
      <c r="AH117" s="2">
        <f t="shared" si="32"/>
        <v>3.5765463000002455</v>
      </c>
      <c r="AI117">
        <v>2913.5748222000002</v>
      </c>
      <c r="AJ117">
        <v>215.47477714285699</v>
      </c>
      <c r="AK117">
        <v>72.240754285714203</v>
      </c>
      <c r="AL117" s="2">
        <f t="shared" si="28"/>
        <v>45.600971428571398</v>
      </c>
      <c r="AM117" s="2">
        <f t="shared" si="19"/>
        <v>59.145351125342252</v>
      </c>
      <c r="AN117" s="2">
        <f t="shared" si="29"/>
        <v>13.544379696770854</v>
      </c>
      <c r="AO117" s="2"/>
    </row>
    <row r="118" spans="1:41" x14ac:dyDescent="0.3">
      <c r="A118">
        <f t="shared" si="20"/>
        <v>0</v>
      </c>
      <c r="B118" s="2">
        <f t="shared" si="21"/>
        <v>15.472799999770359</v>
      </c>
      <c r="C118" s="2" t="e">
        <f t="shared" si="30"/>
        <v>#VALUE!</v>
      </c>
      <c r="D118" s="2">
        <f t="shared" si="22"/>
        <v>1.6817897000000812</v>
      </c>
      <c r="E118" s="2"/>
      <c r="F118">
        <v>3223.3570872999999</v>
      </c>
      <c r="G118" t="s">
        <v>37</v>
      </c>
      <c r="H118" t="s">
        <v>37</v>
      </c>
      <c r="I118" t="s">
        <v>37</v>
      </c>
      <c r="J118" t="s">
        <v>37</v>
      </c>
      <c r="K118" t="s">
        <v>37</v>
      </c>
      <c r="L118" t="s">
        <v>37</v>
      </c>
      <c r="M118" t="s">
        <v>37</v>
      </c>
      <c r="N118">
        <v>0</v>
      </c>
      <c r="O118">
        <v>0</v>
      </c>
      <c r="P118">
        <v>0</v>
      </c>
      <c r="Q118">
        <v>0</v>
      </c>
      <c r="R118">
        <v>5.8673553466796799E-2</v>
      </c>
      <c r="S118">
        <v>1.9395898818969699E-2</v>
      </c>
      <c r="T118">
        <v>0</v>
      </c>
      <c r="U118">
        <v>160.518</v>
      </c>
      <c r="V118">
        <v>-0.94899999999999995</v>
      </c>
      <c r="W118">
        <v>-5.8000000000000003E-2</v>
      </c>
      <c r="X118">
        <v>0.65200000000000002</v>
      </c>
      <c r="Y118" t="b">
        <v>1</v>
      </c>
      <c r="Z118" t="s">
        <v>49</v>
      </c>
      <c r="AA118" t="e">
        <f t="shared" si="23"/>
        <v>#VALUE!</v>
      </c>
      <c r="AB118">
        <f t="shared" si="17"/>
        <v>5.8673553466796795</v>
      </c>
      <c r="AC118">
        <f t="shared" si="24"/>
        <v>27.740085108004497</v>
      </c>
      <c r="AD118" t="e">
        <f t="shared" si="25"/>
        <v>#VALUE!</v>
      </c>
      <c r="AE118" t="e">
        <f t="shared" ca="1" si="26"/>
        <v>#VALUE!</v>
      </c>
      <c r="AG118" s="2">
        <f t="shared" si="31"/>
        <v>6.2050999999883061E-2</v>
      </c>
      <c r="AH118" s="2">
        <f t="shared" si="32"/>
        <v>3.6385973000001286</v>
      </c>
      <c r="AI118">
        <v>2913.6368732000001</v>
      </c>
      <c r="AJ118">
        <v>215.884457142857</v>
      </c>
      <c r="AK118">
        <v>73.258794285714202</v>
      </c>
      <c r="AL118" s="2">
        <f t="shared" si="28"/>
        <v>46.619011428571397</v>
      </c>
      <c r="AM118" s="2">
        <f t="shared" si="19"/>
        <v>61.834502496809051</v>
      </c>
      <c r="AN118" s="2">
        <f t="shared" si="29"/>
        <v>15.215491068237654</v>
      </c>
      <c r="AO118" s="2"/>
    </row>
    <row r="119" spans="1:41" x14ac:dyDescent="0.3">
      <c r="A119">
        <f t="shared" si="20"/>
        <v>0</v>
      </c>
      <c r="B119" s="2">
        <f t="shared" si="21"/>
        <v>15.545300000212592</v>
      </c>
      <c r="C119" s="2" t="e">
        <f t="shared" si="30"/>
        <v>#VALUE!</v>
      </c>
      <c r="D119" s="2">
        <f t="shared" si="22"/>
        <v>1.6973350000002938</v>
      </c>
      <c r="E119" s="2"/>
      <c r="F119">
        <v>3223.3726326000001</v>
      </c>
      <c r="G119" t="s">
        <v>37</v>
      </c>
      <c r="H119" t="s">
        <v>37</v>
      </c>
      <c r="I119" t="s">
        <v>37</v>
      </c>
      <c r="J119" t="s">
        <v>37</v>
      </c>
      <c r="K119" t="s">
        <v>37</v>
      </c>
      <c r="L119" t="s">
        <v>37</v>
      </c>
      <c r="M119" t="s">
        <v>37</v>
      </c>
      <c r="N119">
        <v>0</v>
      </c>
      <c r="O119">
        <v>0</v>
      </c>
      <c r="P119">
        <v>0</v>
      </c>
      <c r="Q119">
        <v>0</v>
      </c>
      <c r="R119">
        <v>5.8673553466796799E-2</v>
      </c>
      <c r="S119">
        <v>1.9395898818969699E-2</v>
      </c>
      <c r="T119">
        <v>0</v>
      </c>
      <c r="U119">
        <v>160.518</v>
      </c>
      <c r="V119">
        <v>-0.94899999999999995</v>
      </c>
      <c r="W119">
        <v>-5.8000000000000003E-2</v>
      </c>
      <c r="X119">
        <v>0.65200000000000002</v>
      </c>
      <c r="Y119" t="b">
        <v>1</v>
      </c>
      <c r="Z119" t="s">
        <v>49</v>
      </c>
      <c r="AA119" t="e">
        <f t="shared" si="23"/>
        <v>#VALUE!</v>
      </c>
      <c r="AB119">
        <f t="shared" si="17"/>
        <v>5.8673553466796795</v>
      </c>
      <c r="AC119">
        <f t="shared" si="24"/>
        <v>27.831294907076483</v>
      </c>
      <c r="AD119" t="e">
        <f t="shared" si="25"/>
        <v>#VALUE!</v>
      </c>
      <c r="AE119" t="e">
        <f t="shared" ca="1" si="26"/>
        <v>#VALUE!</v>
      </c>
      <c r="AG119" s="2">
        <f t="shared" si="31"/>
        <v>1.6072399999757181E-2</v>
      </c>
      <c r="AH119" s="2">
        <f t="shared" si="32"/>
        <v>3.6546696999998858</v>
      </c>
      <c r="AI119">
        <v>2913.6529455999998</v>
      </c>
      <c r="AJ119">
        <v>216.30397714285701</v>
      </c>
      <c r="AK119">
        <v>74.2611142857142</v>
      </c>
      <c r="AL119" s="2">
        <f t="shared" si="28"/>
        <v>47.621331428571395</v>
      </c>
      <c r="AM119" s="2">
        <f t="shared" si="19"/>
        <v>62.536883095320555</v>
      </c>
      <c r="AN119" s="2">
        <f t="shared" si="29"/>
        <v>14.91555166674916</v>
      </c>
      <c r="AO119" s="2"/>
    </row>
    <row r="120" spans="1:41" x14ac:dyDescent="0.3">
      <c r="A120">
        <f t="shared" si="20"/>
        <v>0</v>
      </c>
      <c r="B120" s="2">
        <f t="shared" si="21"/>
        <v>15.240299999732088</v>
      </c>
      <c r="C120" s="2" t="e">
        <f t="shared" si="30"/>
        <v>#VALUE!</v>
      </c>
      <c r="D120" s="2">
        <f t="shared" si="22"/>
        <v>1.7125753000000259</v>
      </c>
      <c r="E120" s="2"/>
      <c r="F120">
        <v>3223.3878728999998</v>
      </c>
      <c r="G120" t="s">
        <v>37</v>
      </c>
      <c r="H120" t="s">
        <v>37</v>
      </c>
      <c r="I120" t="s">
        <v>37</v>
      </c>
      <c r="J120" t="s">
        <v>37</v>
      </c>
      <c r="K120" t="s">
        <v>37</v>
      </c>
      <c r="L120" t="s">
        <v>37</v>
      </c>
      <c r="M120" t="s">
        <v>37</v>
      </c>
      <c r="N120">
        <v>0</v>
      </c>
      <c r="O120">
        <v>0</v>
      </c>
      <c r="P120">
        <v>0</v>
      </c>
      <c r="Q120">
        <v>0</v>
      </c>
      <c r="R120">
        <v>7.2471214294433595E-2</v>
      </c>
      <c r="S120">
        <v>2.9232196807861301E-3</v>
      </c>
      <c r="T120">
        <v>0</v>
      </c>
      <c r="U120">
        <v>160.52500000000001</v>
      </c>
      <c r="V120">
        <v>-0.94899999999999995</v>
      </c>
      <c r="W120">
        <v>-0.35299999999999998</v>
      </c>
      <c r="X120">
        <v>0.64900000000000002</v>
      </c>
      <c r="Y120" t="b">
        <v>1</v>
      </c>
      <c r="Z120" t="s">
        <v>49</v>
      </c>
      <c r="AA120" t="e">
        <f t="shared" si="23"/>
        <v>#VALUE!</v>
      </c>
      <c r="AB120">
        <f t="shared" si="17"/>
        <v>7.247121429443359</v>
      </c>
      <c r="AC120">
        <f t="shared" si="24"/>
        <v>27.920715162764914</v>
      </c>
      <c r="AD120" t="e">
        <f t="shared" si="25"/>
        <v>#VALUE!</v>
      </c>
      <c r="AE120" t="e">
        <f t="shared" ca="1" si="26"/>
        <v>#VALUE!</v>
      </c>
      <c r="AG120" s="2">
        <f t="shared" si="31"/>
        <v>3.0650800000330491E-2</v>
      </c>
      <c r="AH120" s="2">
        <f t="shared" si="32"/>
        <v>3.6853205000002163</v>
      </c>
      <c r="AI120">
        <v>2913.6835964000002</v>
      </c>
      <c r="AJ120">
        <v>216.73812000000001</v>
      </c>
      <c r="AK120">
        <v>75.366308571428505</v>
      </c>
      <c r="AL120" s="2">
        <f t="shared" si="28"/>
        <v>48.7265257142857</v>
      </c>
      <c r="AM120" s="2">
        <f t="shared" si="19"/>
        <v>63.882885390918211</v>
      </c>
      <c r="AN120" s="2">
        <f t="shared" si="29"/>
        <v>15.156359676632512</v>
      </c>
      <c r="AO120" s="2"/>
    </row>
    <row r="121" spans="1:41" x14ac:dyDescent="0.3">
      <c r="A121">
        <f t="shared" si="20"/>
        <v>0</v>
      </c>
      <c r="B121" s="2">
        <f t="shared" si="21"/>
        <v>15.076500000304804</v>
      </c>
      <c r="C121" s="2" t="e">
        <f t="shared" si="30"/>
        <v>#VALUE!</v>
      </c>
      <c r="D121" s="2">
        <f t="shared" si="22"/>
        <v>1.7276518000003307</v>
      </c>
      <c r="E121" s="2"/>
      <c r="F121">
        <v>3223.4029494000001</v>
      </c>
      <c r="G121" t="s">
        <v>37</v>
      </c>
      <c r="H121" t="s">
        <v>37</v>
      </c>
      <c r="I121" t="s">
        <v>37</v>
      </c>
      <c r="J121" t="s">
        <v>37</v>
      </c>
      <c r="K121" t="s">
        <v>37</v>
      </c>
      <c r="L121" t="s">
        <v>37</v>
      </c>
      <c r="M121" t="s">
        <v>37</v>
      </c>
      <c r="N121">
        <v>0</v>
      </c>
      <c r="O121">
        <v>0</v>
      </c>
      <c r="P121">
        <v>0</v>
      </c>
      <c r="Q121">
        <v>0</v>
      </c>
      <c r="R121">
        <v>7.2471214294433595E-2</v>
      </c>
      <c r="S121">
        <v>2.9232196807861301E-3</v>
      </c>
      <c r="T121">
        <v>0</v>
      </c>
      <c r="U121">
        <v>160.52500000000001</v>
      </c>
      <c r="V121">
        <v>-1.1819999999999999</v>
      </c>
      <c r="W121">
        <v>-0.35299999999999998</v>
      </c>
      <c r="X121">
        <v>0.64900000000000002</v>
      </c>
      <c r="Y121" t="b">
        <v>1</v>
      </c>
      <c r="Z121" t="s">
        <v>49</v>
      </c>
      <c r="AA121" t="e">
        <f t="shared" si="23"/>
        <v>#VALUE!</v>
      </c>
      <c r="AB121">
        <f t="shared" si="17"/>
        <v>7.247121429443359</v>
      </c>
      <c r="AC121">
        <f t="shared" si="24"/>
        <v>28.029976388998126</v>
      </c>
      <c r="AD121" t="e">
        <f t="shared" si="25"/>
        <v>#VALUE!</v>
      </c>
      <c r="AE121" t="e">
        <f t="shared" ca="1" si="26"/>
        <v>#VALUE!</v>
      </c>
      <c r="AG121" s="2">
        <f t="shared" si="31"/>
        <v>3.0159599999933562E-2</v>
      </c>
      <c r="AH121" s="2">
        <f t="shared" si="32"/>
        <v>3.7154801000001498</v>
      </c>
      <c r="AI121">
        <v>2913.7137560000001</v>
      </c>
      <c r="AJ121">
        <v>217.19623999999999</v>
      </c>
      <c r="AK121">
        <v>76.613908571428496</v>
      </c>
      <c r="AL121" s="2">
        <f t="shared" si="28"/>
        <v>49.974125714285691</v>
      </c>
      <c r="AM121" s="2">
        <f t="shared" si="19"/>
        <v>65.215565731062625</v>
      </c>
      <c r="AN121" s="2">
        <f t="shared" si="29"/>
        <v>15.241440016776934</v>
      </c>
      <c r="AO121" s="2"/>
    </row>
    <row r="122" spans="1:41" x14ac:dyDescent="0.3">
      <c r="A122">
        <f t="shared" si="20"/>
        <v>0</v>
      </c>
      <c r="B122" s="2">
        <f t="shared" si="21"/>
        <v>15.290399999685178</v>
      </c>
      <c r="C122" s="2" t="e">
        <f t="shared" si="30"/>
        <v>#VALUE!</v>
      </c>
      <c r="D122" s="2">
        <f t="shared" si="22"/>
        <v>1.7429422000000159</v>
      </c>
      <c r="E122" s="2"/>
      <c r="F122">
        <v>3223.4182397999998</v>
      </c>
      <c r="G122" t="s">
        <v>37</v>
      </c>
      <c r="H122" t="s">
        <v>37</v>
      </c>
      <c r="I122" t="s">
        <v>37</v>
      </c>
      <c r="J122" t="s">
        <v>37</v>
      </c>
      <c r="K122" t="s">
        <v>37</v>
      </c>
      <c r="L122" t="s">
        <v>37</v>
      </c>
      <c r="M122" t="s">
        <v>37</v>
      </c>
      <c r="N122">
        <v>0</v>
      </c>
      <c r="O122">
        <v>0</v>
      </c>
      <c r="P122">
        <v>0</v>
      </c>
      <c r="Q122">
        <v>0</v>
      </c>
      <c r="R122">
        <v>7.2471214294433595E-2</v>
      </c>
      <c r="S122">
        <v>2.9232196807861301E-3</v>
      </c>
      <c r="T122">
        <v>0</v>
      </c>
      <c r="U122">
        <v>160.52500000000001</v>
      </c>
      <c r="V122">
        <v>-1.1819999999999999</v>
      </c>
      <c r="W122">
        <v>-0.35299999999999998</v>
      </c>
      <c r="X122">
        <v>0.64900000000000002</v>
      </c>
      <c r="Y122" t="b">
        <v>1</v>
      </c>
      <c r="Z122" t="s">
        <v>49</v>
      </c>
      <c r="AA122" t="e">
        <f t="shared" si="23"/>
        <v>#VALUE!</v>
      </c>
      <c r="AB122">
        <f t="shared" si="17"/>
        <v>7.247121429443359</v>
      </c>
      <c r="AC122">
        <f t="shared" si="24"/>
        <v>28.140787774500605</v>
      </c>
      <c r="AD122" t="e">
        <f t="shared" si="25"/>
        <v>#VALUE!</v>
      </c>
      <c r="AE122" t="e">
        <f t="shared" ca="1" si="26"/>
        <v>#VALUE!</v>
      </c>
      <c r="AG122" s="2">
        <f t="shared" si="31"/>
        <v>3.0825299999833078E-2</v>
      </c>
      <c r="AH122" s="2">
        <f t="shared" si="32"/>
        <v>3.7463053999999829</v>
      </c>
      <c r="AI122">
        <v>2913.7445812999999</v>
      </c>
      <c r="AJ122">
        <v>217.66495999999901</v>
      </c>
      <c r="AK122">
        <v>78.362548571428505</v>
      </c>
      <c r="AL122" s="2">
        <f t="shared" si="28"/>
        <v>51.7227657142857</v>
      </c>
      <c r="AM122" s="2">
        <f t="shared" si="19"/>
        <v>66.585978741240623</v>
      </c>
      <c r="AN122" s="2">
        <f t="shared" si="29"/>
        <v>14.863213026954924</v>
      </c>
      <c r="AO122" s="2"/>
    </row>
    <row r="123" spans="1:41" x14ac:dyDescent="0.3">
      <c r="A123">
        <f t="shared" si="20"/>
        <v>0</v>
      </c>
      <c r="B123" s="2">
        <f t="shared" si="21"/>
        <v>15.343300000040472</v>
      </c>
      <c r="C123" s="2" t="e">
        <f t="shared" si="30"/>
        <v>#VALUE!</v>
      </c>
      <c r="D123" s="2">
        <f t="shared" si="22"/>
        <v>1.7582855000000563</v>
      </c>
      <c r="E123" s="2"/>
      <c r="F123">
        <v>3223.4335830999999</v>
      </c>
      <c r="G123" t="s">
        <v>37</v>
      </c>
      <c r="H123" t="s">
        <v>37</v>
      </c>
      <c r="I123" t="s">
        <v>37</v>
      </c>
      <c r="J123" t="s">
        <v>37</v>
      </c>
      <c r="K123" t="s">
        <v>37</v>
      </c>
      <c r="L123" t="s">
        <v>37</v>
      </c>
      <c r="M123" t="s">
        <v>37</v>
      </c>
      <c r="N123">
        <v>0</v>
      </c>
      <c r="O123">
        <v>0</v>
      </c>
      <c r="P123">
        <v>0</v>
      </c>
      <c r="Q123">
        <v>0</v>
      </c>
      <c r="R123">
        <v>7.2471214294433595E-2</v>
      </c>
      <c r="S123">
        <v>2.9232196807861301E-3</v>
      </c>
      <c r="T123">
        <v>0</v>
      </c>
      <c r="U123">
        <v>160.52500000000001</v>
      </c>
      <c r="V123">
        <v>-1.1819999999999999</v>
      </c>
      <c r="W123">
        <v>-0.35299999999999998</v>
      </c>
      <c r="X123">
        <v>0.64900000000000002</v>
      </c>
      <c r="Y123" t="b">
        <v>1</v>
      </c>
      <c r="Z123" t="s">
        <v>49</v>
      </c>
      <c r="AA123" t="e">
        <f t="shared" si="23"/>
        <v>#VALUE!</v>
      </c>
      <c r="AB123">
        <f t="shared" si="17"/>
        <v>7.247121429443359</v>
      </c>
      <c r="AC123">
        <f t="shared" si="24"/>
        <v>28.251982532729276</v>
      </c>
      <c r="AD123" t="e">
        <f t="shared" si="25"/>
        <v>#VALUE!</v>
      </c>
      <c r="AE123" t="e">
        <f t="shared" ca="1" si="26"/>
        <v>#VALUE!</v>
      </c>
      <c r="AG123" s="2">
        <f t="shared" si="31"/>
        <v>3.0275000000074215E-2</v>
      </c>
      <c r="AH123" s="2">
        <f t="shared" si="32"/>
        <v>3.7765804000000571</v>
      </c>
      <c r="AI123">
        <v>2913.7748563</v>
      </c>
      <c r="AJ123">
        <v>218.14352</v>
      </c>
      <c r="AK123">
        <v>80.090228571428497</v>
      </c>
      <c r="AL123" s="2">
        <f t="shared" si="28"/>
        <v>53.450445714285692</v>
      </c>
      <c r="AM123" s="2">
        <f t="shared" si="19"/>
        <v>67.939977839148085</v>
      </c>
      <c r="AN123" s="2">
        <f t="shared" si="29"/>
        <v>14.489532124862393</v>
      </c>
      <c r="AO123" s="2"/>
    </row>
    <row r="124" spans="1:41" x14ac:dyDescent="0.3">
      <c r="A124">
        <f t="shared" si="20"/>
        <v>0</v>
      </c>
      <c r="B124" s="2">
        <f t="shared" si="21"/>
        <v>15.710699999999633</v>
      </c>
      <c r="C124" s="2" t="e">
        <f t="shared" si="30"/>
        <v>#VALUE!</v>
      </c>
      <c r="D124" s="2">
        <f t="shared" si="22"/>
        <v>1.773996200000056</v>
      </c>
      <c r="E124" s="2"/>
      <c r="F124">
        <v>3223.4492937999999</v>
      </c>
      <c r="G124" t="s">
        <v>37</v>
      </c>
      <c r="H124" t="s">
        <v>37</v>
      </c>
      <c r="I124" t="s">
        <v>37</v>
      </c>
      <c r="J124" t="s">
        <v>37</v>
      </c>
      <c r="K124" t="s">
        <v>37</v>
      </c>
      <c r="L124" t="s">
        <v>37</v>
      </c>
      <c r="M124" t="s">
        <v>37</v>
      </c>
      <c r="N124">
        <v>0</v>
      </c>
      <c r="O124">
        <v>0</v>
      </c>
      <c r="P124">
        <v>0</v>
      </c>
      <c r="Q124">
        <v>0</v>
      </c>
      <c r="R124">
        <v>7.2471214294433595E-2</v>
      </c>
      <c r="S124">
        <v>2.9232196807861301E-3</v>
      </c>
      <c r="T124">
        <v>0</v>
      </c>
      <c r="U124">
        <v>160.52500000000001</v>
      </c>
      <c r="V124">
        <v>-1.1819999999999999</v>
      </c>
      <c r="W124">
        <v>-0.35299999999999998</v>
      </c>
      <c r="X124">
        <v>0.64900000000000002</v>
      </c>
      <c r="Y124" t="b">
        <v>1</v>
      </c>
      <c r="Z124" t="s">
        <v>49</v>
      </c>
      <c r="AA124" t="e">
        <f t="shared" si="23"/>
        <v>#VALUE!</v>
      </c>
      <c r="AB124">
        <f t="shared" si="17"/>
        <v>7.247121429443359</v>
      </c>
      <c r="AC124">
        <f t="shared" si="24"/>
        <v>28.365839883370828</v>
      </c>
      <c r="AD124" t="e">
        <f t="shared" si="25"/>
        <v>#VALUE!</v>
      </c>
      <c r="AE124" t="e">
        <f t="shared" ca="1" si="26"/>
        <v>#VALUE!</v>
      </c>
      <c r="AG124" s="2">
        <f t="shared" si="31"/>
        <v>4.6968999999990046E-2</v>
      </c>
      <c r="AH124" s="2">
        <f t="shared" si="32"/>
        <v>3.8235494000000472</v>
      </c>
      <c r="AI124">
        <v>2913.8218253</v>
      </c>
      <c r="AJ124">
        <v>218.62556000000001</v>
      </c>
      <c r="AK124">
        <v>81.160068571428496</v>
      </c>
      <c r="AL124" s="2">
        <f t="shared" si="28"/>
        <v>54.520285714285691</v>
      </c>
      <c r="AM124" s="2">
        <f t="shared" si="19"/>
        <v>70.056075825251469</v>
      </c>
      <c r="AN124" s="2">
        <f t="shared" si="29"/>
        <v>15.535790110965777</v>
      </c>
      <c r="AO124" s="2"/>
    </row>
    <row r="125" spans="1:41" x14ac:dyDescent="0.3">
      <c r="A125">
        <f t="shared" si="20"/>
        <v>0</v>
      </c>
      <c r="B125" s="2">
        <f t="shared" si="21"/>
        <v>15.761900000143214</v>
      </c>
      <c r="C125" s="2" t="e">
        <f t="shared" si="30"/>
        <v>#VALUE!</v>
      </c>
      <c r="D125" s="2">
        <f t="shared" si="22"/>
        <v>1.7897581000001992</v>
      </c>
      <c r="E125" s="2"/>
      <c r="F125">
        <v>3223.4650557</v>
      </c>
      <c r="G125" t="s">
        <v>37</v>
      </c>
      <c r="H125" t="s">
        <v>37</v>
      </c>
      <c r="I125" t="s">
        <v>37</v>
      </c>
      <c r="J125" t="s">
        <v>37</v>
      </c>
      <c r="K125" t="s">
        <v>37</v>
      </c>
      <c r="L125" t="s">
        <v>37</v>
      </c>
      <c r="M125" t="s">
        <v>37</v>
      </c>
      <c r="N125">
        <v>0</v>
      </c>
      <c r="O125">
        <v>0</v>
      </c>
      <c r="P125">
        <v>0</v>
      </c>
      <c r="Q125">
        <v>0</v>
      </c>
      <c r="R125">
        <v>0.103549057006835</v>
      </c>
      <c r="S125">
        <v>-4.6982784271240204E-3</v>
      </c>
      <c r="T125">
        <v>0</v>
      </c>
      <c r="U125">
        <v>160.49</v>
      </c>
      <c r="V125">
        <v>-1.347</v>
      </c>
      <c r="W125">
        <v>-0.27200000000000002</v>
      </c>
      <c r="X125">
        <v>0.64400000000000002</v>
      </c>
      <c r="Y125" t="b">
        <v>1</v>
      </c>
      <c r="Z125" t="s">
        <v>49</v>
      </c>
      <c r="AA125" t="e">
        <f t="shared" si="23"/>
        <v>#VALUE!</v>
      </c>
      <c r="AB125">
        <f t="shared" si="17"/>
        <v>10.354905700683501</v>
      </c>
      <c r="AC125">
        <f t="shared" si="24"/>
        <v>28.480068286630608</v>
      </c>
      <c r="AD125" t="e">
        <f t="shared" si="25"/>
        <v>#VALUE!</v>
      </c>
      <c r="AE125" t="e">
        <f t="shared" ca="1" si="26"/>
        <v>#VALUE!</v>
      </c>
      <c r="AG125" s="2">
        <f t="shared" si="31"/>
        <v>3.2409800000095856E-2</v>
      </c>
      <c r="AH125" s="2">
        <f t="shared" si="32"/>
        <v>3.855959200000143</v>
      </c>
      <c r="AI125">
        <v>2913.8542351000001</v>
      </c>
      <c r="AJ125">
        <v>219.121039999999</v>
      </c>
      <c r="AK125">
        <v>82.344588571428503</v>
      </c>
      <c r="AL125" s="2">
        <f t="shared" si="28"/>
        <v>55.704805714285698</v>
      </c>
      <c r="AM125" s="2">
        <f t="shared" si="19"/>
        <v>71.527005124267149</v>
      </c>
      <c r="AN125" s="2">
        <f t="shared" si="29"/>
        <v>15.822199409981451</v>
      </c>
      <c r="AO125" s="2"/>
    </row>
    <row r="126" spans="1:41" x14ac:dyDescent="0.3">
      <c r="A126">
        <f t="shared" si="20"/>
        <v>0</v>
      </c>
      <c r="B126" s="2">
        <f t="shared" si="21"/>
        <v>15.258400000220718</v>
      </c>
      <c r="C126" s="2" t="e">
        <f t="shared" si="30"/>
        <v>#VALUE!</v>
      </c>
      <c r="D126" s="2">
        <f t="shared" si="22"/>
        <v>1.8050165000004199</v>
      </c>
      <c r="E126" s="2"/>
      <c r="F126">
        <v>3223.4803141000002</v>
      </c>
      <c r="G126" t="s">
        <v>37</v>
      </c>
      <c r="H126" t="s">
        <v>37</v>
      </c>
      <c r="I126" t="s">
        <v>37</v>
      </c>
      <c r="J126" t="s">
        <v>37</v>
      </c>
      <c r="K126" t="s">
        <v>37</v>
      </c>
      <c r="L126" t="s">
        <v>37</v>
      </c>
      <c r="M126" t="s">
        <v>37</v>
      </c>
      <c r="N126">
        <v>0</v>
      </c>
      <c r="O126">
        <v>0</v>
      </c>
      <c r="P126">
        <v>0</v>
      </c>
      <c r="Q126">
        <v>0</v>
      </c>
      <c r="R126">
        <v>0.103549057006835</v>
      </c>
      <c r="S126">
        <v>-4.6982784271240204E-3</v>
      </c>
      <c r="T126">
        <v>0</v>
      </c>
      <c r="U126">
        <v>160.49</v>
      </c>
      <c r="V126">
        <v>-1.347</v>
      </c>
      <c r="W126">
        <v>-0.27200000000000002</v>
      </c>
      <c r="X126">
        <v>0.64400000000000002</v>
      </c>
      <c r="Y126" t="b">
        <v>1</v>
      </c>
      <c r="Z126" t="s">
        <v>49</v>
      </c>
      <c r="AA126" t="e">
        <f t="shared" si="23"/>
        <v>#VALUE!</v>
      </c>
      <c r="AB126">
        <f t="shared" si="17"/>
        <v>10.354905700683501</v>
      </c>
      <c r="AC126">
        <f t="shared" si="24"/>
        <v>28.638067579776202</v>
      </c>
      <c r="AD126" t="e">
        <f t="shared" si="25"/>
        <v>#VALUE!</v>
      </c>
      <c r="AE126" t="e">
        <f t="shared" ca="1" si="26"/>
        <v>#VALUE!</v>
      </c>
      <c r="AG126" s="2">
        <f t="shared" si="31"/>
        <v>3.1456799999887153E-2</v>
      </c>
      <c r="AH126" s="2">
        <f t="shared" si="32"/>
        <v>3.8874160000000302</v>
      </c>
      <c r="AI126">
        <v>2913.8856919</v>
      </c>
      <c r="AJ126">
        <v>219.62495999999999</v>
      </c>
      <c r="AK126">
        <v>83.722188571428603</v>
      </c>
      <c r="AL126" s="2">
        <f t="shared" si="28"/>
        <v>57.082405714285798</v>
      </c>
      <c r="AM126" s="2">
        <f t="shared" si="19"/>
        <v>72.962925480169957</v>
      </c>
      <c r="AN126" s="2">
        <f t="shared" si="29"/>
        <v>15.880519765884159</v>
      </c>
      <c r="AO126" s="2"/>
    </row>
    <row r="127" spans="1:41" x14ac:dyDescent="0.3">
      <c r="A127">
        <f t="shared" si="20"/>
        <v>0</v>
      </c>
      <c r="B127" s="2">
        <f t="shared" si="21"/>
        <v>15.041599999676691</v>
      </c>
      <c r="C127" s="2" t="e">
        <f t="shared" si="30"/>
        <v>#VALUE!</v>
      </c>
      <c r="D127" s="2">
        <f t="shared" si="22"/>
        <v>1.8200581000000966</v>
      </c>
      <c r="E127" s="2"/>
      <c r="F127">
        <v>3223.4953556999999</v>
      </c>
      <c r="G127" t="s">
        <v>37</v>
      </c>
      <c r="H127" t="s">
        <v>37</v>
      </c>
      <c r="I127" t="s">
        <v>37</v>
      </c>
      <c r="J127" t="s">
        <v>37</v>
      </c>
      <c r="K127" t="s">
        <v>37</v>
      </c>
      <c r="L127" t="s">
        <v>37</v>
      </c>
      <c r="M127" t="s">
        <v>37</v>
      </c>
      <c r="N127">
        <v>0</v>
      </c>
      <c r="O127">
        <v>0</v>
      </c>
      <c r="P127">
        <v>0</v>
      </c>
      <c r="Q127">
        <v>0</v>
      </c>
      <c r="R127">
        <v>0.103549057006835</v>
      </c>
      <c r="S127">
        <v>-4.6982784271240204E-3</v>
      </c>
      <c r="T127">
        <v>0</v>
      </c>
      <c r="U127">
        <v>160.49</v>
      </c>
      <c r="V127">
        <v>-1.347</v>
      </c>
      <c r="W127">
        <v>-0.27200000000000002</v>
      </c>
      <c r="X127">
        <v>0.64400000000000002</v>
      </c>
      <c r="Y127" t="b">
        <v>1</v>
      </c>
      <c r="Z127" t="s">
        <v>49</v>
      </c>
      <c r="AA127" t="e">
        <f t="shared" si="23"/>
        <v>#VALUE!</v>
      </c>
      <c r="AB127">
        <f t="shared" si="17"/>
        <v>10.354905700683501</v>
      </c>
      <c r="AC127">
        <f t="shared" si="24"/>
        <v>28.793821929360256</v>
      </c>
      <c r="AD127" t="e">
        <f t="shared" si="25"/>
        <v>#VALUE!</v>
      </c>
      <c r="AE127" t="e">
        <f t="shared" ca="1" si="26"/>
        <v>#VALUE!</v>
      </c>
      <c r="AG127" s="2">
        <f t="shared" si="31"/>
        <v>3.1433900000138237E-2</v>
      </c>
      <c r="AH127" s="2">
        <f t="shared" si="32"/>
        <v>3.9188499000001684</v>
      </c>
      <c r="AI127">
        <v>2913.9171258000001</v>
      </c>
      <c r="AJ127">
        <v>220.16734285714199</v>
      </c>
      <c r="AK127">
        <v>85.257914285714193</v>
      </c>
      <c r="AL127" s="2">
        <f t="shared" si="28"/>
        <v>58.618131428571388</v>
      </c>
      <c r="AM127" s="2">
        <f t="shared" si="19"/>
        <v>74.405774336334233</v>
      </c>
      <c r="AN127" s="2">
        <f t="shared" si="29"/>
        <v>15.787642907762844</v>
      </c>
      <c r="AO127" s="2"/>
    </row>
    <row r="128" spans="1:41" x14ac:dyDescent="0.3">
      <c r="A128">
        <f t="shared" si="20"/>
        <v>0</v>
      </c>
      <c r="B128" s="2">
        <f t="shared" si="21"/>
        <v>15.78460000018822</v>
      </c>
      <c r="C128" s="2" t="e">
        <f t="shared" si="30"/>
        <v>#VALUE!</v>
      </c>
      <c r="D128" s="2">
        <f t="shared" si="22"/>
        <v>1.8358427000002848</v>
      </c>
      <c r="E128" s="2"/>
      <c r="F128">
        <v>3223.5111403000001</v>
      </c>
      <c r="G128" t="s">
        <v>37</v>
      </c>
      <c r="H128" t="s">
        <v>37</v>
      </c>
      <c r="I128" t="s">
        <v>37</v>
      </c>
      <c r="J128" t="s">
        <v>37</v>
      </c>
      <c r="K128" t="s">
        <v>37</v>
      </c>
      <c r="L128" t="s">
        <v>37</v>
      </c>
      <c r="M128" t="s">
        <v>37</v>
      </c>
      <c r="N128">
        <v>0</v>
      </c>
      <c r="O128">
        <v>0</v>
      </c>
      <c r="P128">
        <v>0</v>
      </c>
      <c r="Q128">
        <v>0</v>
      </c>
      <c r="R128">
        <v>0.103549057006835</v>
      </c>
      <c r="S128">
        <v>-4.6982784271240204E-3</v>
      </c>
      <c r="T128">
        <v>0</v>
      </c>
      <c r="U128">
        <v>160.49</v>
      </c>
      <c r="V128">
        <v>-1.347</v>
      </c>
      <c r="W128">
        <v>-0.27200000000000002</v>
      </c>
      <c r="X128">
        <v>0.64400000000000002</v>
      </c>
      <c r="Y128" t="b">
        <v>1</v>
      </c>
      <c r="Z128" t="s">
        <v>49</v>
      </c>
      <c r="AA128" t="e">
        <f t="shared" si="23"/>
        <v>#VALUE!</v>
      </c>
      <c r="AB128">
        <f t="shared" si="17"/>
        <v>10.354905700683501</v>
      </c>
      <c r="AC128">
        <f t="shared" si="24"/>
        <v>28.957269973885214</v>
      </c>
      <c r="AD128" t="e">
        <f t="shared" si="25"/>
        <v>#VALUE!</v>
      </c>
      <c r="AE128" t="e">
        <f t="shared" ca="1" si="26"/>
        <v>#VALUE!</v>
      </c>
      <c r="AG128" s="2">
        <f t="shared" si="31"/>
        <v>4.684289999977409E-2</v>
      </c>
      <c r="AH128" s="2">
        <f t="shared" si="32"/>
        <v>3.9656927999999425</v>
      </c>
      <c r="AI128">
        <v>2913.9639686999999</v>
      </c>
      <c r="AJ128">
        <v>220.71956571428501</v>
      </c>
      <c r="AK128">
        <v>86.777919999999995</v>
      </c>
      <c r="AL128" s="2">
        <f t="shared" si="28"/>
        <v>60.13813714285719</v>
      </c>
      <c r="AM128" s="2">
        <f t="shared" si="19"/>
        <v>76.570413820236325</v>
      </c>
      <c r="AN128" s="2">
        <f t="shared" si="29"/>
        <v>16.432276677379136</v>
      </c>
      <c r="AO128" s="2"/>
    </row>
    <row r="129" spans="1:41" x14ac:dyDescent="0.3">
      <c r="A129">
        <f t="shared" si="20"/>
        <v>0</v>
      </c>
      <c r="B129" s="2">
        <f t="shared" si="21"/>
        <v>14.950400000088848</v>
      </c>
      <c r="C129" s="2" t="e">
        <f t="shared" si="30"/>
        <v>#VALUE!</v>
      </c>
      <c r="D129" s="2">
        <f t="shared" si="22"/>
        <v>1.8507931000003737</v>
      </c>
      <c r="E129" s="2"/>
      <c r="F129">
        <v>3223.5260907000002</v>
      </c>
      <c r="G129" t="s">
        <v>37</v>
      </c>
      <c r="H129" t="s">
        <v>37</v>
      </c>
      <c r="I129" t="s">
        <v>37</v>
      </c>
      <c r="J129" t="s">
        <v>37</v>
      </c>
      <c r="K129" t="s">
        <v>37</v>
      </c>
      <c r="L129" t="s">
        <v>37</v>
      </c>
      <c r="M129" t="s">
        <v>37</v>
      </c>
      <c r="N129">
        <v>0</v>
      </c>
      <c r="O129">
        <v>0</v>
      </c>
      <c r="P129">
        <v>0</v>
      </c>
      <c r="Q129">
        <v>0</v>
      </c>
      <c r="R129">
        <v>0.14323474121093699</v>
      </c>
      <c r="S129">
        <v>6.9930620193481398E-3</v>
      </c>
      <c r="T129">
        <v>0</v>
      </c>
      <c r="U129">
        <v>160.52699999999999</v>
      </c>
      <c r="V129">
        <v>-1.347</v>
      </c>
      <c r="W129">
        <v>7.4999999999999997E-2</v>
      </c>
      <c r="X129">
        <v>0.64</v>
      </c>
      <c r="Y129" t="b">
        <v>1</v>
      </c>
      <c r="Z129" t="s">
        <v>49</v>
      </c>
      <c r="AA129" t="e">
        <f t="shared" si="23"/>
        <v>#VALUE!</v>
      </c>
      <c r="AB129">
        <f t="shared" si="17"/>
        <v>14.3234741210937</v>
      </c>
      <c r="AC129">
        <f t="shared" si="24"/>
        <v>29.112079956073632</v>
      </c>
      <c r="AD129" t="e">
        <f t="shared" si="25"/>
        <v>#VALUE!</v>
      </c>
      <c r="AE129" t="e">
        <f t="shared" ca="1" si="26"/>
        <v>#VALUE!</v>
      </c>
      <c r="AG129" s="2">
        <f t="shared" si="31"/>
        <v>3.1211800000164658E-2</v>
      </c>
      <c r="AH129" s="2">
        <f t="shared" si="32"/>
        <v>3.9969046000001072</v>
      </c>
      <c r="AI129">
        <v>2913.9951805000001</v>
      </c>
      <c r="AJ129">
        <v>221.281628571428</v>
      </c>
      <c r="AK129">
        <v>88.287445714285695</v>
      </c>
      <c r="AL129" s="2">
        <f t="shared" si="28"/>
        <v>61.64766285714289</v>
      </c>
      <c r="AM129" s="2">
        <f t="shared" si="19"/>
        <v>78.022177968275088</v>
      </c>
      <c r="AN129" s="2">
        <f t="shared" si="29"/>
        <v>16.374515111132197</v>
      </c>
      <c r="AO129" s="2"/>
    </row>
    <row r="130" spans="1:41" x14ac:dyDescent="0.3">
      <c r="A130">
        <f t="shared" si="20"/>
        <v>0</v>
      </c>
      <c r="B130" s="2">
        <f t="shared" si="21"/>
        <v>16.183299999738665</v>
      </c>
      <c r="C130" s="2" t="e">
        <f t="shared" si="30"/>
        <v>#VALUE!</v>
      </c>
      <c r="D130" s="2">
        <f t="shared" si="22"/>
        <v>1.8669764000001123</v>
      </c>
      <c r="E130" s="2"/>
      <c r="F130">
        <v>3223.5422739999999</v>
      </c>
      <c r="G130" t="s">
        <v>37</v>
      </c>
      <c r="H130" t="s">
        <v>37</v>
      </c>
      <c r="I130" t="s">
        <v>37</v>
      </c>
      <c r="J130" t="s">
        <v>37</v>
      </c>
      <c r="K130" t="s">
        <v>37</v>
      </c>
      <c r="L130" t="s">
        <v>37</v>
      </c>
      <c r="M130" t="s">
        <v>37</v>
      </c>
      <c r="N130">
        <v>0</v>
      </c>
      <c r="O130">
        <v>0</v>
      </c>
      <c r="P130">
        <v>0</v>
      </c>
      <c r="Q130">
        <v>0</v>
      </c>
      <c r="R130">
        <v>0.14323474121093699</v>
      </c>
      <c r="S130">
        <v>6.9930620193481398E-3</v>
      </c>
      <c r="T130">
        <v>0</v>
      </c>
      <c r="U130">
        <v>160.52699999999999</v>
      </c>
      <c r="V130">
        <v>-1.347</v>
      </c>
      <c r="W130">
        <v>7.4999999999999997E-2</v>
      </c>
      <c r="X130">
        <v>0.64</v>
      </c>
      <c r="Y130" t="b">
        <v>1</v>
      </c>
      <c r="Z130" t="s">
        <v>49</v>
      </c>
      <c r="AA130" t="e">
        <f t="shared" si="23"/>
        <v>#VALUE!</v>
      </c>
      <c r="AB130">
        <f t="shared" si="17"/>
        <v>14.3234741210937</v>
      </c>
      <c r="AC130">
        <f t="shared" si="24"/>
        <v>29.343881034813784</v>
      </c>
      <c r="AD130" t="e">
        <f t="shared" si="25"/>
        <v>#VALUE!</v>
      </c>
      <c r="AE130" t="e">
        <f t="shared" ca="1" si="26"/>
        <v>#VALUE!</v>
      </c>
      <c r="AG130" s="2">
        <f t="shared" si="31"/>
        <v>1.6124899999795161E-2</v>
      </c>
      <c r="AH130" s="2">
        <f t="shared" si="32"/>
        <v>4.0130294999999023</v>
      </c>
      <c r="AI130">
        <v>2914.0113053999999</v>
      </c>
      <c r="AJ130">
        <v>221.85353142857099</v>
      </c>
      <c r="AK130">
        <v>89.786491428571395</v>
      </c>
      <c r="AL130" s="2">
        <f t="shared" si="28"/>
        <v>63.14670857142859</v>
      </c>
      <c r="AM130" s="2">
        <f t="shared" si="19"/>
        <v>78.775110780468594</v>
      </c>
      <c r="AN130" s="2">
        <f t="shared" si="29"/>
        <v>15.628402209040004</v>
      </c>
      <c r="AO130" s="2"/>
    </row>
    <row r="131" spans="1:41" x14ac:dyDescent="0.3">
      <c r="A131">
        <f t="shared" si="20"/>
        <v>0</v>
      </c>
      <c r="B131" s="2">
        <f t="shared" si="21"/>
        <v>15.676900000016758</v>
      </c>
      <c r="C131" s="2" t="e">
        <f t="shared" si="30"/>
        <v>#VALUE!</v>
      </c>
      <c r="D131" s="2">
        <f t="shared" si="22"/>
        <v>1.8826533000001291</v>
      </c>
      <c r="E131" s="2"/>
      <c r="F131">
        <v>3223.5579508999999</v>
      </c>
      <c r="G131" t="s">
        <v>37</v>
      </c>
      <c r="H131" t="s">
        <v>37</v>
      </c>
      <c r="I131" t="s">
        <v>37</v>
      </c>
      <c r="J131" t="s">
        <v>37</v>
      </c>
      <c r="K131" t="s">
        <v>37</v>
      </c>
      <c r="L131" t="s">
        <v>37</v>
      </c>
      <c r="M131" t="s">
        <v>37</v>
      </c>
      <c r="N131">
        <v>0</v>
      </c>
      <c r="O131">
        <v>0</v>
      </c>
      <c r="P131">
        <v>0</v>
      </c>
      <c r="Q131">
        <v>0</v>
      </c>
      <c r="R131">
        <v>0.14323474121093699</v>
      </c>
      <c r="S131">
        <v>6.9930620193481398E-3</v>
      </c>
      <c r="T131">
        <v>0</v>
      </c>
      <c r="U131">
        <v>160.52699999999999</v>
      </c>
      <c r="V131">
        <v>-1.347</v>
      </c>
      <c r="W131">
        <v>7.4999999999999997E-2</v>
      </c>
      <c r="X131">
        <v>0.64</v>
      </c>
      <c r="Y131" t="b">
        <v>1</v>
      </c>
      <c r="Z131" t="s">
        <v>49</v>
      </c>
      <c r="AA131" t="e">
        <f t="shared" si="23"/>
        <v>#VALUE!</v>
      </c>
      <c r="AB131">
        <f t="shared" si="17"/>
        <v>14.3234741210937</v>
      </c>
      <c r="AC131">
        <f t="shared" si="24"/>
        <v>29.568428706262999</v>
      </c>
      <c r="AD131" t="e">
        <f t="shared" si="25"/>
        <v>#VALUE!</v>
      </c>
      <c r="AE131" t="e">
        <f t="shared" ca="1" si="26"/>
        <v>#VALUE!</v>
      </c>
      <c r="AG131" s="2">
        <f t="shared" si="31"/>
        <v>3.2036000000061904E-2</v>
      </c>
      <c r="AH131" s="2">
        <f t="shared" si="32"/>
        <v>4.0450654999999642</v>
      </c>
      <c r="AI131">
        <v>2914.0433413999999</v>
      </c>
      <c r="AJ131">
        <v>222.43673142857099</v>
      </c>
      <c r="AK131">
        <v>91.398891428571403</v>
      </c>
      <c r="AL131" s="2">
        <f t="shared" si="28"/>
        <v>64.759108571428598</v>
      </c>
      <c r="AM131" s="2">
        <f t="shared" si="19"/>
        <v>80.276792803911306</v>
      </c>
      <c r="AN131" s="2">
        <f t="shared" si="29"/>
        <v>15.517684232482708</v>
      </c>
      <c r="AO131" s="2"/>
    </row>
    <row r="132" spans="1:41" x14ac:dyDescent="0.3">
      <c r="A132">
        <f t="shared" si="20"/>
        <v>0</v>
      </c>
      <c r="B132" s="2">
        <f t="shared" si="21"/>
        <v>14.639999999872089</v>
      </c>
      <c r="C132" s="2" t="e">
        <f t="shared" si="30"/>
        <v>#VALUE!</v>
      </c>
      <c r="D132" s="2">
        <f t="shared" si="22"/>
        <v>1.8972933000000012</v>
      </c>
      <c r="E132" s="2"/>
      <c r="F132">
        <v>3223.5725908999998</v>
      </c>
      <c r="G132" t="s">
        <v>37</v>
      </c>
      <c r="H132" t="s">
        <v>37</v>
      </c>
      <c r="I132" t="s">
        <v>37</v>
      </c>
      <c r="J132" t="s">
        <v>37</v>
      </c>
      <c r="K132" t="s">
        <v>37</v>
      </c>
      <c r="L132" t="s">
        <v>37</v>
      </c>
      <c r="M132" t="s">
        <v>37</v>
      </c>
      <c r="N132">
        <v>0</v>
      </c>
      <c r="O132">
        <v>0</v>
      </c>
      <c r="P132">
        <v>0</v>
      </c>
      <c r="Q132">
        <v>0</v>
      </c>
      <c r="R132">
        <v>0.14323474121093699</v>
      </c>
      <c r="S132">
        <v>6.9930620193481398E-3</v>
      </c>
      <c r="T132">
        <v>0</v>
      </c>
      <c r="U132">
        <v>160.52699999999999</v>
      </c>
      <c r="V132">
        <v>-1.347</v>
      </c>
      <c r="W132">
        <v>7.4999999999999997E-2</v>
      </c>
      <c r="X132">
        <v>0.64</v>
      </c>
      <c r="Y132" t="b">
        <v>1</v>
      </c>
      <c r="Z132" t="s">
        <v>49</v>
      </c>
      <c r="AA132" t="e">
        <f t="shared" si="23"/>
        <v>#VALUE!</v>
      </c>
      <c r="AB132">
        <f t="shared" si="17"/>
        <v>14.3234741210937</v>
      </c>
      <c r="AC132">
        <f t="shared" si="24"/>
        <v>29.778124367393978</v>
      </c>
      <c r="AD132" t="e">
        <f t="shared" si="25"/>
        <v>#VALUE!</v>
      </c>
      <c r="AE132" t="e">
        <f t="shared" ca="1" si="26"/>
        <v>#VALUE!</v>
      </c>
      <c r="AG132" s="2">
        <f t="shared" si="31"/>
        <v>3.084530000023733E-2</v>
      </c>
      <c r="AH132" s="2">
        <f t="shared" si="32"/>
        <v>4.0759108000002016</v>
      </c>
      <c r="AI132">
        <v>2914.0741867000002</v>
      </c>
      <c r="AJ132">
        <v>223.016451428571</v>
      </c>
      <c r="AK132">
        <v>92.833731428571397</v>
      </c>
      <c r="AL132" s="2">
        <f t="shared" si="28"/>
        <v>66.193948571428592</v>
      </c>
      <c r="AM132" s="2">
        <f t="shared" si="19"/>
        <v>81.729849099343284</v>
      </c>
      <c r="AN132" s="2">
        <f t="shared" si="29"/>
        <v>15.535900527914691</v>
      </c>
    </row>
    <row r="133" spans="1:41" x14ac:dyDescent="0.3">
      <c r="A133">
        <f t="shared" si="20"/>
        <v>0</v>
      </c>
      <c r="B133" s="2">
        <f t="shared" si="21"/>
        <v>16.033600000355364</v>
      </c>
      <c r="C133" s="2" t="e">
        <f t="shared" si="30"/>
        <v>#VALUE!</v>
      </c>
      <c r="D133" s="2">
        <f t="shared" si="22"/>
        <v>1.9133269000003565</v>
      </c>
      <c r="E133" s="2"/>
      <c r="F133">
        <v>3223.5886245000002</v>
      </c>
      <c r="G133" t="s">
        <v>37</v>
      </c>
      <c r="H133" t="s">
        <v>37</v>
      </c>
      <c r="I133" t="s">
        <v>37</v>
      </c>
      <c r="J133" t="s">
        <v>37</v>
      </c>
      <c r="K133" t="s">
        <v>37</v>
      </c>
      <c r="L133" t="s">
        <v>37</v>
      </c>
      <c r="M133" t="s">
        <v>37</v>
      </c>
      <c r="N133">
        <v>0</v>
      </c>
      <c r="O133">
        <v>0</v>
      </c>
      <c r="P133">
        <v>0</v>
      </c>
      <c r="Q133">
        <v>0</v>
      </c>
      <c r="R133">
        <v>0.14323474121093699</v>
      </c>
      <c r="S133">
        <v>6.9930620193481398E-3</v>
      </c>
      <c r="T133">
        <v>0</v>
      </c>
      <c r="U133">
        <v>160.52699999999999</v>
      </c>
      <c r="V133">
        <v>-1.347</v>
      </c>
      <c r="W133">
        <v>7.4999999999999997E-2</v>
      </c>
      <c r="X133">
        <v>0.64</v>
      </c>
      <c r="Y133" t="b">
        <v>1</v>
      </c>
      <c r="Z133" t="s">
        <v>49</v>
      </c>
      <c r="AA133" t="e">
        <f t="shared" si="23"/>
        <v>#VALUE!</v>
      </c>
      <c r="AB133">
        <f t="shared" si="17"/>
        <v>14.3234741210937</v>
      </c>
      <c r="AC133">
        <f t="shared" si="24"/>
        <v>30.007781222067038</v>
      </c>
      <c r="AD133" t="e">
        <f t="shared" si="25"/>
        <v>#VALUE!</v>
      </c>
      <c r="AE133" t="e">
        <f t="shared" ca="1" si="26"/>
        <v>#VALUE!</v>
      </c>
      <c r="AG133" s="2">
        <f t="shared" si="31"/>
        <v>3.1039299999974901E-2</v>
      </c>
      <c r="AH133" s="2">
        <f t="shared" si="32"/>
        <v>4.1069501000001765</v>
      </c>
      <c r="AI133">
        <v>2914.1052260000001</v>
      </c>
      <c r="AJ133">
        <v>223.59965142857101</v>
      </c>
      <c r="AK133">
        <v>94.425171428571403</v>
      </c>
      <c r="AL133" s="2">
        <f t="shared" si="28"/>
        <v>67.785388571428598</v>
      </c>
      <c r="AM133" s="2">
        <f t="shared" si="19"/>
        <v>83.19904400268112</v>
      </c>
      <c r="AN133" s="2">
        <f t="shared" si="29"/>
        <v>15.413655431252522</v>
      </c>
    </row>
    <row r="134" spans="1:41" x14ac:dyDescent="0.3">
      <c r="A134">
        <f t="shared" si="20"/>
        <v>0</v>
      </c>
      <c r="B134" s="2">
        <f t="shared" si="21"/>
        <v>16.273100000034901</v>
      </c>
      <c r="C134" s="2" t="e">
        <f t="shared" si="30"/>
        <v>#VALUE!</v>
      </c>
      <c r="D134" s="2">
        <f t="shared" si="22"/>
        <v>1.9296000000003914</v>
      </c>
      <c r="E134" s="2"/>
      <c r="F134">
        <v>3223.6048976000002</v>
      </c>
      <c r="G134" t="s">
        <v>37</v>
      </c>
      <c r="H134" t="s">
        <v>37</v>
      </c>
      <c r="I134" t="s">
        <v>37</v>
      </c>
      <c r="J134" t="s">
        <v>37</v>
      </c>
      <c r="K134" t="s">
        <v>37</v>
      </c>
      <c r="L134" t="s">
        <v>37</v>
      </c>
      <c r="M134" t="s">
        <v>37</v>
      </c>
      <c r="N134">
        <v>0</v>
      </c>
      <c r="O134">
        <v>0</v>
      </c>
      <c r="P134">
        <v>0</v>
      </c>
      <c r="Q134">
        <v>0</v>
      </c>
      <c r="R134">
        <v>0.151130340576171</v>
      </c>
      <c r="S134">
        <v>2.4142173767089801E-2</v>
      </c>
      <c r="T134">
        <v>0</v>
      </c>
      <c r="U134">
        <v>160.72999999999999</v>
      </c>
      <c r="V134">
        <v>-1.0880000000000001</v>
      </c>
      <c r="W134">
        <v>0.217</v>
      </c>
      <c r="X134">
        <v>0.63900000000000001</v>
      </c>
      <c r="Y134" t="b">
        <v>1</v>
      </c>
      <c r="Z134" t="s">
        <v>49</v>
      </c>
      <c r="AA134" t="e">
        <f t="shared" si="23"/>
        <v>#VALUE!</v>
      </c>
      <c r="AB134">
        <f t="shared" si="17"/>
        <v>15.113034057617099</v>
      </c>
      <c r="AC134">
        <f t="shared" si="24"/>
        <v>30.240868548787507</v>
      </c>
      <c r="AD134" t="e">
        <f t="shared" si="25"/>
        <v>#VALUE!</v>
      </c>
      <c r="AE134" t="e">
        <f t="shared" ca="1" si="26"/>
        <v>#VALUE!</v>
      </c>
      <c r="AG134" s="2">
        <f t="shared" si="31"/>
        <v>3.1718199999886565E-2</v>
      </c>
      <c r="AH134" s="2">
        <f t="shared" si="32"/>
        <v>4.138668300000063</v>
      </c>
      <c r="AI134">
        <v>2914.1369442</v>
      </c>
      <c r="AJ134">
        <v>224.18285142857101</v>
      </c>
      <c r="AK134">
        <v>96.000891428571407</v>
      </c>
      <c r="AL134" s="2">
        <f t="shared" si="28"/>
        <v>69.361108571428602</v>
      </c>
      <c r="AM134" s="2">
        <f t="shared" si="19"/>
        <v>84.707506362379306</v>
      </c>
      <c r="AN134" s="2">
        <f t="shared" si="29"/>
        <v>15.346397790950704</v>
      </c>
    </row>
    <row r="135" spans="1:41" x14ac:dyDescent="0.3">
      <c r="A135">
        <f t="shared" si="20"/>
        <v>0</v>
      </c>
      <c r="B135" s="2">
        <f t="shared" si="21"/>
        <v>15.604899999743793</v>
      </c>
      <c r="C135" s="2" t="e">
        <f t="shared" si="30"/>
        <v>#VALUE!</v>
      </c>
      <c r="D135" s="2">
        <f t="shared" si="22"/>
        <v>1.9452049000001352</v>
      </c>
      <c r="E135" s="2"/>
      <c r="F135">
        <v>3223.6205024999999</v>
      </c>
      <c r="G135" t="s">
        <v>37</v>
      </c>
      <c r="H135" t="s">
        <v>37</v>
      </c>
      <c r="I135" t="s">
        <v>37</v>
      </c>
      <c r="J135" t="s">
        <v>37</v>
      </c>
      <c r="K135" t="s">
        <v>37</v>
      </c>
      <c r="L135" t="s">
        <v>37</v>
      </c>
      <c r="M135" t="s">
        <v>37</v>
      </c>
      <c r="N135">
        <v>0</v>
      </c>
      <c r="O135">
        <v>0</v>
      </c>
      <c r="P135">
        <v>0</v>
      </c>
      <c r="Q135">
        <v>0</v>
      </c>
      <c r="R135">
        <v>0.151130340576171</v>
      </c>
      <c r="S135">
        <v>2.4142173767089801E-2</v>
      </c>
      <c r="T135">
        <v>0</v>
      </c>
      <c r="U135">
        <v>160.72999999999999</v>
      </c>
      <c r="V135">
        <v>-1.0880000000000001</v>
      </c>
      <c r="W135">
        <v>0.217</v>
      </c>
      <c r="X135">
        <v>0.63900000000000001</v>
      </c>
      <c r="Y135" t="b">
        <v>1</v>
      </c>
      <c r="Z135" t="s">
        <v>49</v>
      </c>
      <c r="AA135" t="e">
        <f t="shared" si="23"/>
        <v>#VALUE!</v>
      </c>
      <c r="AB135">
        <f t="shared" ref="AB135:AB198" si="33">R135*100</f>
        <v>15.113034057617099</v>
      </c>
      <c r="AC135">
        <f t="shared" si="24"/>
        <v>30.476705933949344</v>
      </c>
      <c r="AD135" t="e">
        <f t="shared" si="25"/>
        <v>#VALUE!</v>
      </c>
      <c r="AE135" t="e">
        <f t="shared" ca="1" si="26"/>
        <v>#VALUE!</v>
      </c>
      <c r="AG135" s="2">
        <f t="shared" si="31"/>
        <v>3.0619199999819102E-2</v>
      </c>
      <c r="AH135" s="2">
        <f t="shared" si="32"/>
        <v>4.1692874999998821</v>
      </c>
      <c r="AI135">
        <v>2914.1675633999998</v>
      </c>
      <c r="AJ135">
        <v>224.76113142857099</v>
      </c>
      <c r="AK135">
        <v>97.566131428571396</v>
      </c>
      <c r="AL135" s="2">
        <f t="shared" si="28"/>
        <v>70.926348571428591</v>
      </c>
      <c r="AM135" s="2">
        <f t="shared" ref="AM135:AM198" si="34">IF(AH135&lt;$AM$3,0,$AM$1*((AH135-$AM$3)-$AM$2+($AM$2*(EXP(-1*(AH135-$AM$3)/$AM$2)))))</f>
        <v>86.170428103698285</v>
      </c>
      <c r="AN135" s="2">
        <f t="shared" si="29"/>
        <v>15.244079532269694</v>
      </c>
    </row>
    <row r="136" spans="1:41" x14ac:dyDescent="0.3">
      <c r="A136">
        <f t="shared" ref="A136:A199" si="35">N136*100</f>
        <v>0</v>
      </c>
      <c r="B136" s="2">
        <f t="shared" ref="B136:B199" si="36">(F136-F135)*1000</f>
        <v>15.434899999945628</v>
      </c>
      <c r="C136" s="2" t="e">
        <f t="shared" si="30"/>
        <v>#VALUE!</v>
      </c>
      <c r="D136" s="2">
        <f t="shared" ref="D136:D199" si="37">F136-$F$7</f>
        <v>1.9606398000000809</v>
      </c>
      <c r="E136" s="2"/>
      <c r="F136">
        <v>3223.6359373999999</v>
      </c>
      <c r="G136" t="s">
        <v>37</v>
      </c>
      <c r="H136" t="s">
        <v>37</v>
      </c>
      <c r="I136" t="s">
        <v>37</v>
      </c>
      <c r="J136" t="s">
        <v>37</v>
      </c>
      <c r="K136" t="s">
        <v>37</v>
      </c>
      <c r="L136" t="s">
        <v>37</v>
      </c>
      <c r="M136" t="s">
        <v>37</v>
      </c>
      <c r="N136">
        <v>0</v>
      </c>
      <c r="O136">
        <v>0</v>
      </c>
      <c r="P136">
        <v>0</v>
      </c>
      <c r="Q136">
        <v>0</v>
      </c>
      <c r="R136">
        <v>0.151130340576171</v>
      </c>
      <c r="S136">
        <v>2.4142173767089801E-2</v>
      </c>
      <c r="T136">
        <v>0</v>
      </c>
      <c r="U136">
        <v>160.72999999999999</v>
      </c>
      <c r="V136">
        <v>-1.0880000000000001</v>
      </c>
      <c r="W136">
        <v>0.217</v>
      </c>
      <c r="X136">
        <v>0.63900000000000001</v>
      </c>
      <c r="Y136" t="b">
        <v>1</v>
      </c>
      <c r="Z136" t="s">
        <v>49</v>
      </c>
      <c r="AA136" t="e">
        <f t="shared" ref="AA136:AA199" si="38">$K$4+($AA$4/$K$3*(K136-$K$4))</f>
        <v>#VALUE!</v>
      </c>
      <c r="AB136">
        <f t="shared" si="33"/>
        <v>15.113034057617099</v>
      </c>
      <c r="AC136">
        <f t="shared" ref="AC136:AC178" si="39">AC135+(AB135*(D136-D135))</f>
        <v>30.709974103324438</v>
      </c>
      <c r="AD136" t="e">
        <f t="shared" ref="AD136:AD199" si="40">IF((L136-L135)/(D136-D135)&lt;100,IF((L136-L135)/(D136-D135)&gt;(-1*20),(L136-L135)/(D136-D135),AD135))</f>
        <v>#VALUE!</v>
      </c>
      <c r="AE136" t="e">
        <f t="shared" ref="AE136:AE199" ca="1" si="41">IF(ROW(AD136)-ROW($AD$7)+1&gt;=$AE$6, AVERAGE(OFFSET(AD136, 0, 0, $AE$6, 1)), NA())</f>
        <v>#VALUE!</v>
      </c>
      <c r="AG136" s="2">
        <f t="shared" si="31"/>
        <v>4.6349300000201765E-2</v>
      </c>
      <c r="AH136" s="2">
        <f t="shared" si="32"/>
        <v>4.2156368000000839</v>
      </c>
      <c r="AI136">
        <v>2914.2139127</v>
      </c>
      <c r="AJ136">
        <v>225.34925142857099</v>
      </c>
      <c r="AK136">
        <v>99.115651428571397</v>
      </c>
      <c r="AL136" s="2">
        <f t="shared" ref="AL136:AL199" si="42">AK136-$AK$4</f>
        <v>72.475868571428592</v>
      </c>
      <c r="AM136" s="2">
        <f t="shared" si="34"/>
        <v>88.397229476793328</v>
      </c>
      <c r="AN136" s="2">
        <f t="shared" ref="AN136:AN199" si="43">ABS(AM136-AL136)</f>
        <v>15.921360905364736</v>
      </c>
    </row>
    <row r="137" spans="1:41" x14ac:dyDescent="0.3">
      <c r="A137">
        <f t="shared" si="35"/>
        <v>0</v>
      </c>
      <c r="B137" s="2">
        <f t="shared" si="36"/>
        <v>15.332700000271871</v>
      </c>
      <c r="C137" s="2" t="e">
        <f t="shared" ref="C137:C200" si="44">L137-L136</f>
        <v>#VALUE!</v>
      </c>
      <c r="D137" s="2">
        <f t="shared" si="37"/>
        <v>1.9759725000003527</v>
      </c>
      <c r="E137" s="2"/>
      <c r="F137">
        <v>3223.6512701000001</v>
      </c>
      <c r="G137" t="s">
        <v>37</v>
      </c>
      <c r="H137" t="s">
        <v>37</v>
      </c>
      <c r="I137" t="s">
        <v>37</v>
      </c>
      <c r="J137" t="s">
        <v>37</v>
      </c>
      <c r="K137" t="s">
        <v>37</v>
      </c>
      <c r="L137" t="s">
        <v>37</v>
      </c>
      <c r="M137" t="s">
        <v>37</v>
      </c>
      <c r="N137">
        <v>0</v>
      </c>
      <c r="O137">
        <v>0</v>
      </c>
      <c r="P137">
        <v>0</v>
      </c>
      <c r="Q137">
        <v>0</v>
      </c>
      <c r="R137">
        <v>0.151130340576171</v>
      </c>
      <c r="S137">
        <v>2.4142173767089801E-2</v>
      </c>
      <c r="T137">
        <v>0</v>
      </c>
      <c r="U137">
        <v>160.72999999999999</v>
      </c>
      <c r="V137">
        <v>-0.66700000000000004</v>
      </c>
      <c r="W137">
        <v>0.217</v>
      </c>
      <c r="X137">
        <v>0.63900000000000001</v>
      </c>
      <c r="Y137" t="b">
        <v>1</v>
      </c>
      <c r="Z137" t="s">
        <v>49</v>
      </c>
      <c r="AA137" t="e">
        <f t="shared" si="38"/>
        <v>#VALUE!</v>
      </c>
      <c r="AB137">
        <f t="shared" si="33"/>
        <v>15.113034057617099</v>
      </c>
      <c r="AC137">
        <f t="shared" si="39"/>
        <v>30.941697720623772</v>
      </c>
      <c r="AD137" t="e">
        <f t="shared" si="40"/>
        <v>#VALUE!</v>
      </c>
      <c r="AE137" t="e">
        <f t="shared" ca="1" si="41"/>
        <v>#VALUE!</v>
      </c>
      <c r="AG137" s="2">
        <f t="shared" si="31"/>
        <v>3.1269499999780237E-2</v>
      </c>
      <c r="AH137" s="2">
        <f t="shared" si="32"/>
        <v>4.2469062999998641</v>
      </c>
      <c r="AI137">
        <v>2914.2451821999998</v>
      </c>
      <c r="AJ137">
        <v>225.953931428571</v>
      </c>
      <c r="AK137">
        <v>101.048811428571</v>
      </c>
      <c r="AL137" s="2">
        <f t="shared" si="42"/>
        <v>74.409028571428195</v>
      </c>
      <c r="AM137" s="2">
        <f t="shared" si="34"/>
        <v>89.907764435530282</v>
      </c>
      <c r="AN137" s="2">
        <f t="shared" si="43"/>
        <v>15.498735864102088</v>
      </c>
    </row>
    <row r="138" spans="1:41" x14ac:dyDescent="0.3">
      <c r="A138">
        <f t="shared" si="35"/>
        <v>0</v>
      </c>
      <c r="B138" s="2">
        <f t="shared" si="36"/>
        <v>15.455299999757699</v>
      </c>
      <c r="C138" s="2" t="e">
        <f t="shared" si="44"/>
        <v>#VALUE!</v>
      </c>
      <c r="D138" s="2">
        <f t="shared" si="37"/>
        <v>1.9914278000001104</v>
      </c>
      <c r="E138" s="2"/>
      <c r="F138">
        <v>3223.6667253999999</v>
      </c>
      <c r="G138" t="s">
        <v>37</v>
      </c>
      <c r="H138" t="s">
        <v>37</v>
      </c>
      <c r="I138" t="s">
        <v>37</v>
      </c>
      <c r="J138" t="s">
        <v>37</v>
      </c>
      <c r="K138" t="s">
        <v>37</v>
      </c>
      <c r="L138" t="s">
        <v>37</v>
      </c>
      <c r="M138" t="s">
        <v>37</v>
      </c>
      <c r="N138">
        <v>0</v>
      </c>
      <c r="O138">
        <v>0</v>
      </c>
      <c r="P138">
        <v>0</v>
      </c>
      <c r="Q138">
        <v>0</v>
      </c>
      <c r="R138">
        <v>0.122195846557617</v>
      </c>
      <c r="S138">
        <v>2.1064065933227499E-2</v>
      </c>
      <c r="T138">
        <v>0</v>
      </c>
      <c r="U138">
        <v>160.89099999999999</v>
      </c>
      <c r="V138">
        <v>-0.66700000000000004</v>
      </c>
      <c r="W138">
        <v>5.5E-2</v>
      </c>
      <c r="X138">
        <v>0.63900000000000001</v>
      </c>
      <c r="Y138" t="b">
        <v>1</v>
      </c>
      <c r="Z138" t="s">
        <v>49</v>
      </c>
      <c r="AA138" t="e">
        <f t="shared" si="38"/>
        <v>#VALUE!</v>
      </c>
      <c r="AB138">
        <f t="shared" si="33"/>
        <v>12.2195846557617</v>
      </c>
      <c r="AC138">
        <f t="shared" si="39"/>
        <v>31.1752741958908</v>
      </c>
      <c r="AD138" t="e">
        <f t="shared" si="40"/>
        <v>#VALUE!</v>
      </c>
      <c r="AE138" t="e">
        <f t="shared" ca="1" si="41"/>
        <v>#VALUE!</v>
      </c>
      <c r="AG138" s="2">
        <f t="shared" si="31"/>
        <v>3.0868100000134291E-2</v>
      </c>
      <c r="AH138" s="2">
        <f t="shared" si="32"/>
        <v>4.2777743999999984</v>
      </c>
      <c r="AI138">
        <v>2914.2760503</v>
      </c>
      <c r="AJ138">
        <v>226.58981142857101</v>
      </c>
      <c r="AK138">
        <v>102.71825142857099</v>
      </c>
      <c r="AL138" s="2">
        <f t="shared" si="42"/>
        <v>76.078468571428189</v>
      </c>
      <c r="AM138" s="2">
        <f t="shared" si="34"/>
        <v>91.405284353525445</v>
      </c>
      <c r="AN138" s="2">
        <f t="shared" si="43"/>
        <v>15.326815782097256</v>
      </c>
    </row>
    <row r="139" spans="1:41" x14ac:dyDescent="0.3">
      <c r="A139">
        <f t="shared" si="35"/>
        <v>0</v>
      </c>
      <c r="B139" s="2">
        <f t="shared" si="36"/>
        <v>15.548200000012002</v>
      </c>
      <c r="C139" s="2" t="e">
        <f t="shared" si="44"/>
        <v>#VALUE!</v>
      </c>
      <c r="D139" s="2">
        <f t="shared" si="37"/>
        <v>2.0069760000001224</v>
      </c>
      <c r="E139" s="2"/>
      <c r="F139">
        <v>3223.6822735999999</v>
      </c>
      <c r="G139" t="s">
        <v>37</v>
      </c>
      <c r="H139" t="s">
        <v>37</v>
      </c>
      <c r="I139" t="s">
        <v>37</v>
      </c>
      <c r="J139" t="s">
        <v>37</v>
      </c>
      <c r="K139" t="s">
        <v>37</v>
      </c>
      <c r="L139" t="s">
        <v>37</v>
      </c>
      <c r="M139" t="s">
        <v>37</v>
      </c>
      <c r="N139">
        <v>0</v>
      </c>
      <c r="O139">
        <v>0</v>
      </c>
      <c r="P139">
        <v>0</v>
      </c>
      <c r="Q139">
        <v>0</v>
      </c>
      <c r="R139">
        <v>0.122195846557617</v>
      </c>
      <c r="S139">
        <v>2.1064065933227499E-2</v>
      </c>
      <c r="T139">
        <v>0</v>
      </c>
      <c r="U139">
        <v>160.89099999999999</v>
      </c>
      <c r="V139">
        <v>-0.66700000000000004</v>
      </c>
      <c r="W139">
        <v>5.5E-2</v>
      </c>
      <c r="X139">
        <v>0.63900000000000001</v>
      </c>
      <c r="Y139" t="b">
        <v>1</v>
      </c>
      <c r="Z139" t="s">
        <v>49</v>
      </c>
      <c r="AA139" t="e">
        <f t="shared" si="38"/>
        <v>#VALUE!</v>
      </c>
      <c r="AB139">
        <f t="shared" si="33"/>
        <v>12.2195846557617</v>
      </c>
      <c r="AC139">
        <f t="shared" si="39"/>
        <v>31.365266742035661</v>
      </c>
      <c r="AD139" t="e">
        <f t="shared" si="40"/>
        <v>#VALUE!</v>
      </c>
      <c r="AE139" t="e">
        <f t="shared" ca="1" si="41"/>
        <v>#VALUE!</v>
      </c>
      <c r="AG139" s="2">
        <f t="shared" si="31"/>
        <v>3.132450000020981E-2</v>
      </c>
      <c r="AH139" s="2">
        <f t="shared" si="32"/>
        <v>4.3090989000002082</v>
      </c>
      <c r="AI139">
        <v>2914.3073748000002</v>
      </c>
      <c r="AJ139">
        <v>227.236971428571</v>
      </c>
      <c r="AK139">
        <v>104.210131428571</v>
      </c>
      <c r="AL139" s="2">
        <f t="shared" si="42"/>
        <v>77.570348571428198</v>
      </c>
      <c r="AM139" s="2">
        <f t="shared" si="34"/>
        <v>92.93131348392096</v>
      </c>
      <c r="AN139" s="2">
        <f t="shared" si="43"/>
        <v>15.360964912492761</v>
      </c>
    </row>
    <row r="140" spans="1:41" x14ac:dyDescent="0.3">
      <c r="A140">
        <f t="shared" si="35"/>
        <v>0</v>
      </c>
      <c r="B140" s="2">
        <f t="shared" si="36"/>
        <v>15.730000000075961</v>
      </c>
      <c r="C140" s="2" t="e">
        <f t="shared" si="44"/>
        <v>#VALUE!</v>
      </c>
      <c r="D140" s="2">
        <f t="shared" si="37"/>
        <v>2.0227060000001984</v>
      </c>
      <c r="E140" s="2"/>
      <c r="F140">
        <v>3223.6980036</v>
      </c>
      <c r="G140" t="s">
        <v>37</v>
      </c>
      <c r="H140" t="s">
        <v>37</v>
      </c>
      <c r="I140" t="s">
        <v>37</v>
      </c>
      <c r="J140" t="s">
        <v>37</v>
      </c>
      <c r="K140" t="s">
        <v>37</v>
      </c>
      <c r="L140" t="s">
        <v>37</v>
      </c>
      <c r="M140" t="s">
        <v>37</v>
      </c>
      <c r="N140">
        <v>0</v>
      </c>
      <c r="O140">
        <v>0</v>
      </c>
      <c r="P140">
        <v>0</v>
      </c>
      <c r="Q140">
        <v>0</v>
      </c>
      <c r="R140">
        <v>0.122195846557617</v>
      </c>
      <c r="S140">
        <v>2.1064065933227499E-2</v>
      </c>
      <c r="T140">
        <v>0</v>
      </c>
      <c r="U140">
        <v>160.89099999999999</v>
      </c>
      <c r="V140">
        <v>-0.66700000000000004</v>
      </c>
      <c r="W140">
        <v>5.5E-2</v>
      </c>
      <c r="X140">
        <v>0.63900000000000001</v>
      </c>
      <c r="Y140" t="b">
        <v>1</v>
      </c>
      <c r="Z140" t="s">
        <v>49</v>
      </c>
      <c r="AA140" t="e">
        <f t="shared" si="38"/>
        <v>#VALUE!</v>
      </c>
      <c r="AB140">
        <f t="shared" si="33"/>
        <v>12.2195846557617</v>
      </c>
      <c r="AC140">
        <f t="shared" si="39"/>
        <v>31.55748080867172</v>
      </c>
      <c r="AD140" t="e">
        <f t="shared" si="40"/>
        <v>#VALUE!</v>
      </c>
      <c r="AE140" t="e">
        <f t="shared" ca="1" si="41"/>
        <v>#VALUE!</v>
      </c>
      <c r="AG140" s="2">
        <f t="shared" si="31"/>
        <v>3.1285600000046543E-2</v>
      </c>
      <c r="AH140" s="2">
        <f t="shared" si="32"/>
        <v>4.3403845000002548</v>
      </c>
      <c r="AI140">
        <v>2914.3386604000002</v>
      </c>
      <c r="AJ140">
        <v>227.862994285714</v>
      </c>
      <c r="AK140">
        <v>105.609617142857</v>
      </c>
      <c r="AL140" s="2">
        <f t="shared" si="42"/>
        <v>78.969834285714199</v>
      </c>
      <c r="AM140" s="2">
        <f t="shared" si="34"/>
        <v>94.461743436496064</v>
      </c>
      <c r="AN140" s="2">
        <f t="shared" si="43"/>
        <v>15.491909150781865</v>
      </c>
    </row>
    <row r="141" spans="1:41" x14ac:dyDescent="0.3">
      <c r="A141">
        <f t="shared" si="35"/>
        <v>0</v>
      </c>
      <c r="B141" s="2">
        <f t="shared" si="36"/>
        <v>15.337799999997515</v>
      </c>
      <c r="C141" s="2" t="e">
        <f t="shared" si="44"/>
        <v>#VALUE!</v>
      </c>
      <c r="D141" s="2">
        <f t="shared" si="37"/>
        <v>2.0380438000001959</v>
      </c>
      <c r="E141" s="2"/>
      <c r="F141">
        <v>3223.7133414</v>
      </c>
      <c r="G141" t="s">
        <v>37</v>
      </c>
      <c r="H141" t="s">
        <v>37</v>
      </c>
      <c r="I141" t="s">
        <v>37</v>
      </c>
      <c r="J141" t="s">
        <v>37</v>
      </c>
      <c r="K141" t="s">
        <v>37</v>
      </c>
      <c r="L141" t="s">
        <v>37</v>
      </c>
      <c r="M141" t="s">
        <v>37</v>
      </c>
      <c r="N141">
        <v>0</v>
      </c>
      <c r="O141">
        <v>0</v>
      </c>
      <c r="P141">
        <v>0</v>
      </c>
      <c r="Q141">
        <v>0</v>
      </c>
      <c r="R141">
        <v>0.122195846557617</v>
      </c>
      <c r="S141">
        <v>2.1064065933227499E-2</v>
      </c>
      <c r="T141">
        <v>0</v>
      </c>
      <c r="U141">
        <v>160.89099999999999</v>
      </c>
      <c r="V141">
        <v>-0.66700000000000004</v>
      </c>
      <c r="W141">
        <v>5.5E-2</v>
      </c>
      <c r="X141">
        <v>0.63900000000000001</v>
      </c>
      <c r="Y141" t="b">
        <v>1</v>
      </c>
      <c r="Z141" t="s">
        <v>49</v>
      </c>
      <c r="AA141" t="e">
        <f t="shared" si="38"/>
        <v>#VALUE!</v>
      </c>
      <c r="AB141">
        <f t="shared" si="33"/>
        <v>12.2195846557617</v>
      </c>
      <c r="AC141">
        <f t="shared" si="39"/>
        <v>31.744902354204832</v>
      </c>
      <c r="AD141" t="e">
        <f t="shared" si="40"/>
        <v>#VALUE!</v>
      </c>
      <c r="AE141" t="e">
        <f t="shared" ca="1" si="41"/>
        <v>#VALUE!</v>
      </c>
      <c r="AG141" s="2">
        <f t="shared" si="31"/>
        <v>3.0655499999738822E-2</v>
      </c>
      <c r="AH141" s="2">
        <f t="shared" si="32"/>
        <v>4.3710399999999936</v>
      </c>
      <c r="AI141">
        <v>2914.3693158999999</v>
      </c>
      <c r="AJ141">
        <v>228.49899428571399</v>
      </c>
      <c r="AK141">
        <v>107.064817142857</v>
      </c>
      <c r="AL141" s="2">
        <f t="shared" si="42"/>
        <v>80.42503428571419</v>
      </c>
      <c r="AM141" s="2">
        <f t="shared" si="34"/>
        <v>95.967352001096572</v>
      </c>
      <c r="AN141" s="2">
        <f t="shared" si="43"/>
        <v>15.542317715382381</v>
      </c>
    </row>
    <row r="142" spans="1:41" x14ac:dyDescent="0.3">
      <c r="A142">
        <f t="shared" si="35"/>
        <v>0</v>
      </c>
      <c r="B142" s="2">
        <f t="shared" si="36"/>
        <v>14.986900000167225</v>
      </c>
      <c r="C142" s="2" t="e">
        <f t="shared" si="44"/>
        <v>#VALUE!</v>
      </c>
      <c r="D142" s="2">
        <f t="shared" si="37"/>
        <v>2.0530307000003631</v>
      </c>
      <c r="E142" s="2"/>
      <c r="F142">
        <v>3223.7283283000002</v>
      </c>
      <c r="G142" t="s">
        <v>37</v>
      </c>
      <c r="H142" t="s">
        <v>37</v>
      </c>
      <c r="I142" t="s">
        <v>37</v>
      </c>
      <c r="J142" t="s">
        <v>37</v>
      </c>
      <c r="K142" t="s">
        <v>37</v>
      </c>
      <c r="L142" t="s">
        <v>37</v>
      </c>
      <c r="M142" t="s">
        <v>37</v>
      </c>
      <c r="N142">
        <v>0</v>
      </c>
      <c r="O142">
        <v>0</v>
      </c>
      <c r="P142">
        <v>0</v>
      </c>
      <c r="Q142">
        <v>0</v>
      </c>
      <c r="R142">
        <v>8.62357711791992E-2</v>
      </c>
      <c r="S142">
        <v>2.1158702850341798E-2</v>
      </c>
      <c r="T142">
        <v>0</v>
      </c>
      <c r="U142">
        <v>160.74600000000001</v>
      </c>
      <c r="V142">
        <v>-0.36399999999999999</v>
      </c>
      <c r="W142">
        <v>-0.14000000000000001</v>
      </c>
      <c r="X142">
        <v>0.64</v>
      </c>
      <c r="Y142" t="b">
        <v>1</v>
      </c>
      <c r="Z142" t="s">
        <v>49</v>
      </c>
      <c r="AA142" t="e">
        <f t="shared" si="38"/>
        <v>#VALUE!</v>
      </c>
      <c r="AB142">
        <f t="shared" si="33"/>
        <v>8.6235771179199201</v>
      </c>
      <c r="AC142">
        <f t="shared" si="39"/>
        <v>31.928036047484312</v>
      </c>
      <c r="AD142" t="e">
        <f t="shared" si="40"/>
        <v>#VALUE!</v>
      </c>
      <c r="AE142" t="e">
        <f t="shared" ca="1" si="41"/>
        <v>#VALUE!</v>
      </c>
      <c r="AG142" s="2">
        <f t="shared" si="31"/>
        <v>4.6094100000118488E-2</v>
      </c>
      <c r="AH142" s="2">
        <f t="shared" si="32"/>
        <v>4.4171341000001121</v>
      </c>
      <c r="AI142">
        <v>2914.4154100000001</v>
      </c>
      <c r="AJ142">
        <v>229.13007428571399</v>
      </c>
      <c r="AK142">
        <v>108.546217142857</v>
      </c>
      <c r="AL142" s="2">
        <f t="shared" si="42"/>
        <v>81.906434285714198</v>
      </c>
      <c r="AM142" s="2">
        <f t="shared" si="34"/>
        <v>98.242176527774944</v>
      </c>
      <c r="AN142" s="2">
        <f t="shared" si="43"/>
        <v>16.335742242060746</v>
      </c>
    </row>
    <row r="143" spans="1:41" x14ac:dyDescent="0.3">
      <c r="A143">
        <f t="shared" si="35"/>
        <v>0</v>
      </c>
      <c r="B143" s="2">
        <f t="shared" si="36"/>
        <v>15.454899999895133</v>
      </c>
      <c r="C143" s="2" t="e">
        <f t="shared" si="44"/>
        <v>#VALUE!</v>
      </c>
      <c r="D143" s="2">
        <f t="shared" si="37"/>
        <v>2.0684856000002583</v>
      </c>
      <c r="E143" s="2"/>
      <c r="F143">
        <v>3223.7437832000001</v>
      </c>
      <c r="G143" t="s">
        <v>37</v>
      </c>
      <c r="H143" t="s">
        <v>37</v>
      </c>
      <c r="I143" t="s">
        <v>37</v>
      </c>
      <c r="J143" t="s">
        <v>37</v>
      </c>
      <c r="K143" t="s">
        <v>37</v>
      </c>
      <c r="L143" t="s">
        <v>37</v>
      </c>
      <c r="M143" t="s">
        <v>37</v>
      </c>
      <c r="N143">
        <v>0</v>
      </c>
      <c r="O143">
        <v>0</v>
      </c>
      <c r="P143">
        <v>0</v>
      </c>
      <c r="Q143">
        <v>0</v>
      </c>
      <c r="R143">
        <v>8.62357711791992E-2</v>
      </c>
      <c r="S143">
        <v>2.1158702850341798E-2</v>
      </c>
      <c r="T143">
        <v>0</v>
      </c>
      <c r="U143">
        <v>160.74600000000001</v>
      </c>
      <c r="V143">
        <v>-0.36399999999999999</v>
      </c>
      <c r="W143">
        <v>-0.14000000000000001</v>
      </c>
      <c r="X143">
        <v>0.64</v>
      </c>
      <c r="Y143" t="b">
        <v>1</v>
      </c>
      <c r="Z143" t="s">
        <v>49</v>
      </c>
      <c r="AA143" t="e">
        <f t="shared" si="38"/>
        <v>#VALUE!</v>
      </c>
      <c r="AB143">
        <f t="shared" si="33"/>
        <v>8.6235771179199201</v>
      </c>
      <c r="AC143">
        <f t="shared" si="39"/>
        <v>32.06131256948315</v>
      </c>
      <c r="AD143" t="e">
        <f t="shared" si="40"/>
        <v>#VALUE!</v>
      </c>
      <c r="AE143" t="e">
        <f t="shared" ca="1" si="41"/>
        <v>#VALUE!</v>
      </c>
      <c r="AG143" s="2">
        <f t="shared" si="31"/>
        <v>3.0475999999907799E-2</v>
      </c>
      <c r="AH143" s="2">
        <f t="shared" si="32"/>
        <v>4.4476101000000199</v>
      </c>
      <c r="AI143">
        <v>2914.445886</v>
      </c>
      <c r="AJ143">
        <v>229.77939428571401</v>
      </c>
      <c r="AK143">
        <v>110.137057142857</v>
      </c>
      <c r="AL143" s="2">
        <f t="shared" si="42"/>
        <v>83.497274285714198</v>
      </c>
      <c r="AM143" s="2">
        <f t="shared" si="34"/>
        <v>99.753316932148238</v>
      </c>
      <c r="AN143" s="2">
        <f t="shared" si="43"/>
        <v>16.25604264643404</v>
      </c>
    </row>
    <row r="144" spans="1:41" x14ac:dyDescent="0.3">
      <c r="A144">
        <f t="shared" si="35"/>
        <v>0</v>
      </c>
      <c r="B144" s="2">
        <f t="shared" si="36"/>
        <v>15.189899999768386</v>
      </c>
      <c r="C144" s="2" t="e">
        <f t="shared" si="44"/>
        <v>#VALUE!</v>
      </c>
      <c r="D144" s="2">
        <f t="shared" si="37"/>
        <v>2.0836755000000267</v>
      </c>
      <c r="E144" s="2"/>
      <c r="F144">
        <v>3223.7589730999998</v>
      </c>
      <c r="G144" t="s">
        <v>37</v>
      </c>
      <c r="H144" t="s">
        <v>37</v>
      </c>
      <c r="I144" t="s">
        <v>37</v>
      </c>
      <c r="J144" t="s">
        <v>37</v>
      </c>
      <c r="K144" t="s">
        <v>37</v>
      </c>
      <c r="L144" t="s">
        <v>37</v>
      </c>
      <c r="M144" t="s">
        <v>37</v>
      </c>
      <c r="N144">
        <v>0</v>
      </c>
      <c r="O144">
        <v>0</v>
      </c>
      <c r="P144">
        <v>0</v>
      </c>
      <c r="Q144">
        <v>0</v>
      </c>
      <c r="R144">
        <v>8.62357711791992E-2</v>
      </c>
      <c r="S144">
        <v>2.1158702850341798E-2</v>
      </c>
      <c r="T144">
        <v>0</v>
      </c>
      <c r="U144">
        <v>160.74600000000001</v>
      </c>
      <c r="V144">
        <v>-0.36399999999999999</v>
      </c>
      <c r="W144">
        <v>-0.14000000000000001</v>
      </c>
      <c r="X144">
        <v>0.64</v>
      </c>
      <c r="Y144" t="b">
        <v>1</v>
      </c>
      <c r="Z144" t="s">
        <v>49</v>
      </c>
      <c r="AA144" t="e">
        <f t="shared" si="38"/>
        <v>#VALUE!</v>
      </c>
      <c r="AB144">
        <f t="shared" si="33"/>
        <v>8.6235771179199201</v>
      </c>
      <c r="AC144">
        <f t="shared" si="39"/>
        <v>32.192303843544643</v>
      </c>
      <c r="AD144" t="e">
        <f t="shared" si="40"/>
        <v>#VALUE!</v>
      </c>
      <c r="AE144" t="e">
        <f t="shared" ca="1" si="41"/>
        <v>#VALUE!</v>
      </c>
      <c r="AG144" s="2">
        <f t="shared" si="31"/>
        <v>3.1737899999825459E-2</v>
      </c>
      <c r="AH144" s="2">
        <f t="shared" si="32"/>
        <v>4.4793479999998453</v>
      </c>
      <c r="AI144">
        <v>2914.4776238999998</v>
      </c>
      <c r="AJ144">
        <v>230.44491428571399</v>
      </c>
      <c r="AK144">
        <v>112.34381714285701</v>
      </c>
      <c r="AL144" s="2">
        <f t="shared" si="42"/>
        <v>85.704034285714201</v>
      </c>
      <c r="AM144" s="2">
        <f t="shared" si="34"/>
        <v>101.33291714752843</v>
      </c>
      <c r="AN144" s="2">
        <f t="shared" si="43"/>
        <v>15.628882861814233</v>
      </c>
    </row>
    <row r="145" spans="1:40" x14ac:dyDescent="0.3">
      <c r="A145">
        <f t="shared" si="35"/>
        <v>0</v>
      </c>
      <c r="B145" s="2">
        <f t="shared" si="36"/>
        <v>15.420700000049692</v>
      </c>
      <c r="C145" s="2" t="e">
        <f t="shared" si="44"/>
        <v>#VALUE!</v>
      </c>
      <c r="D145" s="2">
        <f t="shared" si="37"/>
        <v>2.0990962000000764</v>
      </c>
      <c r="E145" s="2"/>
      <c r="F145">
        <v>3223.7743937999999</v>
      </c>
      <c r="G145" t="s">
        <v>37</v>
      </c>
      <c r="H145" t="s">
        <v>37</v>
      </c>
      <c r="I145" t="s">
        <v>37</v>
      </c>
      <c r="J145" t="s">
        <v>37</v>
      </c>
      <c r="K145" t="s">
        <v>37</v>
      </c>
      <c r="L145" t="s">
        <v>37</v>
      </c>
      <c r="M145" t="s">
        <v>37</v>
      </c>
      <c r="N145">
        <v>0</v>
      </c>
      <c r="O145">
        <v>0</v>
      </c>
      <c r="P145">
        <v>0</v>
      </c>
      <c r="Q145">
        <v>0</v>
      </c>
      <c r="R145">
        <v>8.62357711791992E-2</v>
      </c>
      <c r="S145">
        <v>2.1158702850341798E-2</v>
      </c>
      <c r="T145">
        <v>0</v>
      </c>
      <c r="U145">
        <v>160.74600000000001</v>
      </c>
      <c r="V145">
        <v>-0.36399999999999999</v>
      </c>
      <c r="W145">
        <v>-0.14000000000000001</v>
      </c>
      <c r="X145">
        <v>0.64</v>
      </c>
      <c r="Y145" t="b">
        <v>1</v>
      </c>
      <c r="Z145" t="s">
        <v>49</v>
      </c>
      <c r="AA145" t="e">
        <f t="shared" si="38"/>
        <v>#VALUE!</v>
      </c>
      <c r="AB145">
        <f t="shared" si="33"/>
        <v>8.6235771179199201</v>
      </c>
      <c r="AC145">
        <f t="shared" si="39"/>
        <v>32.325285439207377</v>
      </c>
      <c r="AD145" t="e">
        <f t="shared" si="40"/>
        <v>#VALUE!</v>
      </c>
      <c r="AE145" t="e">
        <f t="shared" ca="1" si="41"/>
        <v>#VALUE!</v>
      </c>
      <c r="AG145" s="2">
        <f t="shared" si="31"/>
        <v>3.0533900000136782E-2</v>
      </c>
      <c r="AH145" s="2">
        <f t="shared" si="32"/>
        <v>4.5098818999999821</v>
      </c>
      <c r="AI145">
        <v>2914.5081577999999</v>
      </c>
      <c r="AJ145">
        <v>231.10073142857101</v>
      </c>
      <c r="AK145">
        <v>114.400542857142</v>
      </c>
      <c r="AL145" s="2">
        <f t="shared" si="42"/>
        <v>87.760759999999195</v>
      </c>
      <c r="AM145" s="2">
        <f t="shared" si="34"/>
        <v>102.85817133958653</v>
      </c>
      <c r="AN145" s="2">
        <f t="shared" si="43"/>
        <v>15.097411339587339</v>
      </c>
    </row>
    <row r="146" spans="1:40" x14ac:dyDescent="0.3">
      <c r="A146">
        <f t="shared" si="35"/>
        <v>0</v>
      </c>
      <c r="B146" s="2">
        <f t="shared" si="36"/>
        <v>15.032700000119803</v>
      </c>
      <c r="C146" s="2" t="e">
        <f t="shared" si="44"/>
        <v>#VALUE!</v>
      </c>
      <c r="D146" s="2">
        <f t="shared" si="37"/>
        <v>2.1141289000001962</v>
      </c>
      <c r="E146" s="2"/>
      <c r="F146">
        <v>3223.7894265</v>
      </c>
      <c r="G146" t="s">
        <v>37</v>
      </c>
      <c r="H146" t="s">
        <v>37</v>
      </c>
      <c r="I146" t="s">
        <v>37</v>
      </c>
      <c r="J146" t="s">
        <v>37</v>
      </c>
      <c r="K146" t="s">
        <v>37</v>
      </c>
      <c r="L146" t="s">
        <v>37</v>
      </c>
      <c r="M146" t="s">
        <v>37</v>
      </c>
      <c r="N146">
        <v>0</v>
      </c>
      <c r="O146">
        <v>0</v>
      </c>
      <c r="P146">
        <v>0</v>
      </c>
      <c r="Q146">
        <v>0</v>
      </c>
      <c r="R146">
        <v>6.5997406005859294E-2</v>
      </c>
      <c r="S146">
        <v>-1.2998143196105901E-2</v>
      </c>
      <c r="T146">
        <v>0</v>
      </c>
      <c r="U146">
        <v>160.71299999999999</v>
      </c>
      <c r="V146">
        <v>3.0000000000000001E-3</v>
      </c>
      <c r="W146">
        <v>-0.24</v>
      </c>
      <c r="X146">
        <v>0.64200000000000002</v>
      </c>
      <c r="Y146" t="b">
        <v>1</v>
      </c>
      <c r="Z146" t="s">
        <v>50</v>
      </c>
      <c r="AA146" t="e">
        <f t="shared" si="38"/>
        <v>#VALUE!</v>
      </c>
      <c r="AB146">
        <f t="shared" si="33"/>
        <v>6.5997406005859292</v>
      </c>
      <c r="AC146">
        <f t="shared" si="39"/>
        <v>32.454921086948964</v>
      </c>
      <c r="AD146" t="e">
        <f t="shared" si="40"/>
        <v>#VALUE!</v>
      </c>
      <c r="AE146" t="e">
        <f t="shared" ca="1" si="41"/>
        <v>#VALUE!</v>
      </c>
      <c r="AG146" s="2">
        <f t="shared" si="31"/>
        <v>1.5798500000073545E-2</v>
      </c>
      <c r="AH146" s="2">
        <f t="shared" si="32"/>
        <v>4.5256804000000557</v>
      </c>
      <c r="AI146">
        <v>2914.5239563</v>
      </c>
      <c r="AJ146">
        <v>231.73257142857099</v>
      </c>
      <c r="AK146">
        <v>116.278182857142</v>
      </c>
      <c r="AL146" s="2">
        <f t="shared" si="42"/>
        <v>89.638399999999194</v>
      </c>
      <c r="AM146" s="2">
        <f t="shared" si="34"/>
        <v>103.64946802676536</v>
      </c>
      <c r="AN146" s="2">
        <f t="shared" si="43"/>
        <v>14.011068026766168</v>
      </c>
    </row>
    <row r="147" spans="1:40" x14ac:dyDescent="0.3">
      <c r="A147">
        <f t="shared" si="35"/>
        <v>0</v>
      </c>
      <c r="B147" s="2">
        <f t="shared" si="36"/>
        <v>15.519500000209518</v>
      </c>
      <c r="C147" s="2" t="e">
        <f t="shared" si="44"/>
        <v>#VALUE!</v>
      </c>
      <c r="D147" s="2">
        <f t="shared" si="37"/>
        <v>2.1296484000004057</v>
      </c>
      <c r="E147" s="2"/>
      <c r="F147">
        <v>3223.8049460000002</v>
      </c>
      <c r="G147" t="s">
        <v>37</v>
      </c>
      <c r="H147" t="s">
        <v>37</v>
      </c>
      <c r="I147" t="s">
        <v>37</v>
      </c>
      <c r="J147" t="s">
        <v>37</v>
      </c>
      <c r="K147" t="s">
        <v>37</v>
      </c>
      <c r="L147" t="s">
        <v>37</v>
      </c>
      <c r="M147" t="s">
        <v>37</v>
      </c>
      <c r="N147">
        <v>0</v>
      </c>
      <c r="O147">
        <v>0</v>
      </c>
      <c r="P147">
        <v>0</v>
      </c>
      <c r="Q147">
        <v>0</v>
      </c>
      <c r="R147">
        <v>6.5997406005859294E-2</v>
      </c>
      <c r="S147">
        <v>-1.2998143196105901E-2</v>
      </c>
      <c r="T147">
        <v>0</v>
      </c>
      <c r="U147">
        <v>160.71299999999999</v>
      </c>
      <c r="V147">
        <v>3.0000000000000001E-3</v>
      </c>
      <c r="W147">
        <v>-0.24</v>
      </c>
      <c r="X147">
        <v>0.64200000000000002</v>
      </c>
      <c r="Y147" t="b">
        <v>1</v>
      </c>
      <c r="Z147" t="s">
        <v>50</v>
      </c>
      <c r="AA147" t="e">
        <f t="shared" si="38"/>
        <v>#VALUE!</v>
      </c>
      <c r="AB147">
        <f t="shared" si="33"/>
        <v>6.5997406005859292</v>
      </c>
      <c r="AC147">
        <f t="shared" si="39"/>
        <v>32.557345761201141</v>
      </c>
      <c r="AD147" t="e">
        <f t="shared" si="40"/>
        <v>#VALUE!</v>
      </c>
      <c r="AE147" t="e">
        <f t="shared" ca="1" si="41"/>
        <v>#VALUE!</v>
      </c>
      <c r="AG147" s="2">
        <f t="shared" si="31"/>
        <v>3.2164600000214705E-2</v>
      </c>
      <c r="AH147" s="2">
        <f t="shared" si="32"/>
        <v>4.5578450000002704</v>
      </c>
      <c r="AI147">
        <v>2914.5561209000002</v>
      </c>
      <c r="AJ147">
        <v>232.36497142857101</v>
      </c>
      <c r="AK147">
        <v>117.63382285714199</v>
      </c>
      <c r="AL147" s="2">
        <f t="shared" si="42"/>
        <v>90.994039999999188</v>
      </c>
      <c r="AM147" s="2">
        <f t="shared" si="34"/>
        <v>105.26489037754581</v>
      </c>
      <c r="AN147" s="2">
        <f t="shared" si="43"/>
        <v>14.270850377546623</v>
      </c>
    </row>
    <row r="148" spans="1:40" x14ac:dyDescent="0.3">
      <c r="A148">
        <f t="shared" si="35"/>
        <v>0</v>
      </c>
      <c r="B148" s="2">
        <f t="shared" si="36"/>
        <v>15.72360000000117</v>
      </c>
      <c r="C148" s="2" t="e">
        <f t="shared" si="44"/>
        <v>#VALUE!</v>
      </c>
      <c r="D148" s="2">
        <f t="shared" si="37"/>
        <v>2.1453720000004068</v>
      </c>
      <c r="E148" s="2"/>
      <c r="F148">
        <v>3223.8206696000002</v>
      </c>
      <c r="G148" t="s">
        <v>37</v>
      </c>
      <c r="H148" t="s">
        <v>37</v>
      </c>
      <c r="I148" t="s">
        <v>37</v>
      </c>
      <c r="J148" t="s">
        <v>37</v>
      </c>
      <c r="K148" t="s">
        <v>37</v>
      </c>
      <c r="L148" t="s">
        <v>37</v>
      </c>
      <c r="M148" t="s">
        <v>37</v>
      </c>
      <c r="N148">
        <v>0</v>
      </c>
      <c r="O148">
        <v>0</v>
      </c>
      <c r="P148">
        <v>0</v>
      </c>
      <c r="Q148">
        <v>0</v>
      </c>
      <c r="R148">
        <v>6.5997406005859294E-2</v>
      </c>
      <c r="S148">
        <v>-1.2998143196105901E-2</v>
      </c>
      <c r="T148">
        <v>0</v>
      </c>
      <c r="U148">
        <v>160.71299999999999</v>
      </c>
      <c r="V148">
        <v>3.0000000000000001E-3</v>
      </c>
      <c r="W148">
        <v>-0.24</v>
      </c>
      <c r="X148">
        <v>0.64200000000000002</v>
      </c>
      <c r="Y148" t="b">
        <v>1</v>
      </c>
      <c r="Z148" t="s">
        <v>50</v>
      </c>
      <c r="AA148" t="e">
        <f t="shared" si="38"/>
        <v>#VALUE!</v>
      </c>
      <c r="AB148">
        <f t="shared" si="33"/>
        <v>6.5997406005859292</v>
      </c>
      <c r="AC148">
        <f t="shared" si="39"/>
        <v>32.66111744250852</v>
      </c>
      <c r="AD148" t="e">
        <f t="shared" si="40"/>
        <v>#VALUE!</v>
      </c>
      <c r="AE148" t="e">
        <f t="shared" ca="1" si="41"/>
        <v>#VALUE!</v>
      </c>
      <c r="AG148" s="2">
        <f t="shared" si="31"/>
        <v>3.1662599999890517E-2</v>
      </c>
      <c r="AH148" s="2">
        <f t="shared" si="32"/>
        <v>4.5895076000001609</v>
      </c>
      <c r="AI148">
        <v>2914.5877835000001</v>
      </c>
      <c r="AJ148">
        <v>233.01718857142799</v>
      </c>
      <c r="AK148">
        <v>119.64862857142801</v>
      </c>
      <c r="AL148" s="2">
        <f t="shared" si="42"/>
        <v>93.008845714285201</v>
      </c>
      <c r="AM148" s="2">
        <f t="shared" si="34"/>
        <v>106.86078228884449</v>
      </c>
      <c r="AN148" s="2">
        <f t="shared" si="43"/>
        <v>13.851936574559289</v>
      </c>
    </row>
    <row r="149" spans="1:40" x14ac:dyDescent="0.3">
      <c r="A149">
        <f t="shared" si="35"/>
        <v>0</v>
      </c>
      <c r="B149" s="2">
        <f t="shared" si="36"/>
        <v>15.484099999866885</v>
      </c>
      <c r="C149" s="2" t="e">
        <f t="shared" si="44"/>
        <v>#VALUE!</v>
      </c>
      <c r="D149" s="2">
        <f t="shared" si="37"/>
        <v>2.1608561000002737</v>
      </c>
      <c r="E149" s="2"/>
      <c r="F149">
        <v>3223.8361537000001</v>
      </c>
      <c r="G149" t="s">
        <v>37</v>
      </c>
      <c r="H149" t="s">
        <v>37</v>
      </c>
      <c r="I149" t="s">
        <v>37</v>
      </c>
      <c r="J149" t="s">
        <v>37</v>
      </c>
      <c r="K149" t="s">
        <v>37</v>
      </c>
      <c r="L149" t="s">
        <v>37</v>
      </c>
      <c r="M149" t="s">
        <v>37</v>
      </c>
      <c r="N149">
        <v>0</v>
      </c>
      <c r="O149">
        <v>0</v>
      </c>
      <c r="P149">
        <v>0</v>
      </c>
      <c r="Q149">
        <v>0</v>
      </c>
      <c r="R149">
        <v>6.5997406005859294E-2</v>
      </c>
      <c r="S149">
        <v>-1.2998143196105901E-2</v>
      </c>
      <c r="T149">
        <v>0</v>
      </c>
      <c r="U149">
        <v>160.71299999999999</v>
      </c>
      <c r="V149">
        <v>3.0000000000000001E-3</v>
      </c>
      <c r="W149">
        <v>-0.24</v>
      </c>
      <c r="X149">
        <v>0.64200000000000002</v>
      </c>
      <c r="Y149" t="b">
        <v>1</v>
      </c>
      <c r="Z149" t="s">
        <v>50</v>
      </c>
      <c r="AA149" t="e">
        <f t="shared" si="38"/>
        <v>#VALUE!</v>
      </c>
      <c r="AB149">
        <f t="shared" si="33"/>
        <v>6.5997406005859292</v>
      </c>
      <c r="AC149">
        <f t="shared" si="39"/>
        <v>32.763308485941174</v>
      </c>
      <c r="AD149" t="e">
        <f t="shared" si="40"/>
        <v>#VALUE!</v>
      </c>
      <c r="AE149" t="e">
        <f t="shared" ca="1" si="41"/>
        <v>#VALUE!</v>
      </c>
      <c r="AG149" s="2">
        <f t="shared" si="31"/>
        <v>4.5625299999755953E-2</v>
      </c>
      <c r="AH149" s="2">
        <f t="shared" si="32"/>
        <v>4.6351328999999168</v>
      </c>
      <c r="AI149">
        <v>2914.6334087999999</v>
      </c>
      <c r="AJ149">
        <v>233.679108571428</v>
      </c>
      <c r="AK149">
        <v>121.766308571428</v>
      </c>
      <c r="AL149" s="2">
        <f t="shared" si="42"/>
        <v>95.126525714285194</v>
      </c>
      <c r="AM149" s="2">
        <f t="shared" si="34"/>
        <v>109.17015831025076</v>
      </c>
      <c r="AN149" s="2">
        <f t="shared" si="43"/>
        <v>14.043632595965562</v>
      </c>
    </row>
    <row r="150" spans="1:40" x14ac:dyDescent="0.3">
      <c r="A150">
        <f t="shared" si="35"/>
        <v>0</v>
      </c>
      <c r="B150" s="2">
        <f t="shared" si="36"/>
        <v>15.346199999839882</v>
      </c>
      <c r="C150" s="2" t="e">
        <f t="shared" si="44"/>
        <v>#VALUE!</v>
      </c>
      <c r="D150" s="2">
        <f t="shared" si="37"/>
        <v>2.1762023000001136</v>
      </c>
      <c r="E150" s="2"/>
      <c r="F150">
        <v>3223.8514998999999</v>
      </c>
      <c r="G150" t="s">
        <v>37</v>
      </c>
      <c r="H150" t="s">
        <v>37</v>
      </c>
      <c r="I150" t="s">
        <v>37</v>
      </c>
      <c r="J150" t="s">
        <v>37</v>
      </c>
      <c r="K150" t="s">
        <v>37</v>
      </c>
      <c r="L150" t="s">
        <v>37</v>
      </c>
      <c r="M150" t="s">
        <v>37</v>
      </c>
      <c r="N150">
        <v>0</v>
      </c>
      <c r="O150">
        <v>0</v>
      </c>
      <c r="P150">
        <v>0</v>
      </c>
      <c r="Q150">
        <v>0</v>
      </c>
      <c r="R150">
        <v>6.5997406005859294E-2</v>
      </c>
      <c r="S150">
        <v>-1.2998143196105901E-2</v>
      </c>
      <c r="T150">
        <v>0</v>
      </c>
      <c r="U150">
        <v>160.71299999999999</v>
      </c>
      <c r="V150">
        <v>3.0000000000000001E-3</v>
      </c>
      <c r="W150">
        <v>-0.24</v>
      </c>
      <c r="X150">
        <v>0.64200000000000002</v>
      </c>
      <c r="Y150" t="b">
        <v>1</v>
      </c>
      <c r="Z150" t="s">
        <v>50</v>
      </c>
      <c r="AA150" t="e">
        <f t="shared" si="38"/>
        <v>#VALUE!</v>
      </c>
      <c r="AB150">
        <f t="shared" si="33"/>
        <v>6.5997406005859292</v>
      </c>
      <c r="AC150">
        <f t="shared" si="39"/>
        <v>32.864589425144828</v>
      </c>
      <c r="AD150" t="e">
        <f t="shared" si="40"/>
        <v>#VALUE!</v>
      </c>
      <c r="AE150" t="e">
        <f t="shared" ca="1" si="41"/>
        <v>#VALUE!</v>
      </c>
      <c r="AG150" s="2">
        <f t="shared" si="31"/>
        <v>3.1574600000112696E-2</v>
      </c>
      <c r="AH150" s="2">
        <f t="shared" si="32"/>
        <v>4.6667075000000295</v>
      </c>
      <c r="AI150">
        <v>2914.6649834</v>
      </c>
      <c r="AJ150">
        <v>234.33886857142801</v>
      </c>
      <c r="AK150">
        <v>123.565548571428</v>
      </c>
      <c r="AL150" s="2">
        <f t="shared" si="42"/>
        <v>96.925765714285191</v>
      </c>
      <c r="AM150" s="2">
        <f t="shared" si="34"/>
        <v>110.77493216133357</v>
      </c>
      <c r="AN150" s="2">
        <f t="shared" si="43"/>
        <v>13.849166447048376</v>
      </c>
    </row>
    <row r="151" spans="1:40" x14ac:dyDescent="0.3">
      <c r="A151">
        <f t="shared" si="35"/>
        <v>0</v>
      </c>
      <c r="B151" s="2">
        <f t="shared" si="36"/>
        <v>15.128699999877426</v>
      </c>
      <c r="C151" s="2" t="e">
        <f t="shared" si="44"/>
        <v>#VALUE!</v>
      </c>
      <c r="D151" s="2">
        <f t="shared" si="37"/>
        <v>2.191330999999991</v>
      </c>
      <c r="E151" s="2"/>
      <c r="F151">
        <v>3223.8666285999998</v>
      </c>
      <c r="G151" t="s">
        <v>37</v>
      </c>
      <c r="H151" t="s">
        <v>37</v>
      </c>
      <c r="I151" t="s">
        <v>37</v>
      </c>
      <c r="J151" t="s">
        <v>37</v>
      </c>
      <c r="K151" t="s">
        <v>37</v>
      </c>
      <c r="L151" t="s">
        <v>37</v>
      </c>
      <c r="M151" t="s">
        <v>37</v>
      </c>
      <c r="N151">
        <v>0</v>
      </c>
      <c r="O151">
        <v>0</v>
      </c>
      <c r="P151">
        <v>0</v>
      </c>
      <c r="Q151">
        <v>0</v>
      </c>
      <c r="R151">
        <v>3.3278076171874997E-2</v>
      </c>
      <c r="S151">
        <v>-3.2042823791503902E-2</v>
      </c>
      <c r="T151">
        <v>0</v>
      </c>
      <c r="U151">
        <v>160.78</v>
      </c>
      <c r="V151">
        <v>0.48599999999999999</v>
      </c>
      <c r="W151">
        <v>0.24299999999999999</v>
      </c>
      <c r="X151">
        <v>0.64400000000000002</v>
      </c>
      <c r="Y151" t="b">
        <v>1</v>
      </c>
      <c r="Z151" t="s">
        <v>50</v>
      </c>
      <c r="AA151" t="e">
        <f t="shared" si="38"/>
        <v>#VALUE!</v>
      </c>
      <c r="AB151">
        <f t="shared" si="33"/>
        <v>3.3278076171874997</v>
      </c>
      <c r="AC151">
        <f t="shared" si="39"/>
        <v>32.964434920768106</v>
      </c>
      <c r="AD151" t="e">
        <f t="shared" si="40"/>
        <v>#VALUE!</v>
      </c>
      <c r="AE151" t="e">
        <f t="shared" ca="1" si="41"/>
        <v>#VALUE!</v>
      </c>
      <c r="AG151" s="2">
        <f t="shared" si="31"/>
        <v>3.0609500000082335E-2</v>
      </c>
      <c r="AH151" s="2">
        <f t="shared" si="32"/>
        <v>4.6973170000001119</v>
      </c>
      <c r="AI151">
        <v>2914.6955929000001</v>
      </c>
      <c r="AJ151">
        <v>235.000028571428</v>
      </c>
      <c r="AK151">
        <v>125.12978857142799</v>
      </c>
      <c r="AL151" s="2">
        <f t="shared" si="42"/>
        <v>98.490005714285189</v>
      </c>
      <c r="AM151" s="2">
        <f t="shared" si="34"/>
        <v>112.33570212717322</v>
      </c>
      <c r="AN151" s="2">
        <f t="shared" si="43"/>
        <v>13.845696412888032</v>
      </c>
    </row>
    <row r="152" spans="1:40" x14ac:dyDescent="0.3">
      <c r="A152">
        <f t="shared" si="35"/>
        <v>0</v>
      </c>
      <c r="B152" s="2">
        <f t="shared" si="36"/>
        <v>15.243700000155513</v>
      </c>
      <c r="C152" s="2" t="e">
        <f t="shared" si="44"/>
        <v>#VALUE!</v>
      </c>
      <c r="D152" s="2">
        <f t="shared" si="37"/>
        <v>2.2065747000001465</v>
      </c>
      <c r="E152" s="2"/>
      <c r="F152">
        <v>3223.8818722999999</v>
      </c>
      <c r="G152" t="s">
        <v>37</v>
      </c>
      <c r="H152" t="s">
        <v>37</v>
      </c>
      <c r="I152" t="s">
        <v>37</v>
      </c>
      <c r="J152" t="s">
        <v>37</v>
      </c>
      <c r="K152" t="s">
        <v>37</v>
      </c>
      <c r="L152" t="s">
        <v>37</v>
      </c>
      <c r="M152" t="s">
        <v>37</v>
      </c>
      <c r="N152">
        <v>0</v>
      </c>
      <c r="O152">
        <v>0</v>
      </c>
      <c r="P152">
        <v>0</v>
      </c>
      <c r="Q152">
        <v>0</v>
      </c>
      <c r="R152">
        <v>3.3278076171874997E-2</v>
      </c>
      <c r="S152">
        <v>-3.2042823791503902E-2</v>
      </c>
      <c r="T152">
        <v>0</v>
      </c>
      <c r="U152">
        <v>160.78</v>
      </c>
      <c r="V152">
        <v>0.48599999999999999</v>
      </c>
      <c r="W152">
        <v>0.24299999999999999</v>
      </c>
      <c r="X152">
        <v>0.64400000000000002</v>
      </c>
      <c r="Y152" t="b">
        <v>1</v>
      </c>
      <c r="Z152" t="s">
        <v>50</v>
      </c>
      <c r="AA152" t="e">
        <f t="shared" si="38"/>
        <v>#VALUE!</v>
      </c>
      <c r="AB152">
        <f t="shared" si="33"/>
        <v>3.3278076171874997</v>
      </c>
      <c r="AC152">
        <f t="shared" si="39"/>
        <v>33.015163021742744</v>
      </c>
      <c r="AD152" t="e">
        <f t="shared" si="40"/>
        <v>#VALUE!</v>
      </c>
      <c r="AE152" t="e">
        <f t="shared" ca="1" si="41"/>
        <v>#VALUE!</v>
      </c>
      <c r="AG152" s="2">
        <f t="shared" si="31"/>
        <v>3.0613500000072236E-2</v>
      </c>
      <c r="AH152" s="2">
        <f t="shared" si="32"/>
        <v>4.7279305000001841</v>
      </c>
      <c r="AI152">
        <v>2914.7262064000001</v>
      </c>
      <c r="AJ152">
        <v>235.63748571428499</v>
      </c>
      <c r="AK152">
        <v>126.504462857142</v>
      </c>
      <c r="AL152" s="2">
        <f t="shared" si="42"/>
        <v>99.864679999999197</v>
      </c>
      <c r="AM152" s="2">
        <f t="shared" si="34"/>
        <v>113.90156375986227</v>
      </c>
      <c r="AN152" s="2">
        <f t="shared" si="43"/>
        <v>14.036883759863073</v>
      </c>
    </row>
    <row r="153" spans="1:40" x14ac:dyDescent="0.3">
      <c r="A153">
        <f t="shared" si="35"/>
        <v>0</v>
      </c>
      <c r="B153" s="2">
        <f t="shared" si="36"/>
        <v>15.756700000110868</v>
      </c>
      <c r="C153" s="2" t="e">
        <f t="shared" si="44"/>
        <v>#VALUE!</v>
      </c>
      <c r="D153" s="2">
        <f t="shared" si="37"/>
        <v>2.2223314000002574</v>
      </c>
      <c r="E153" s="2"/>
      <c r="F153">
        <v>3223.8976290000001</v>
      </c>
      <c r="G153" t="s">
        <v>37</v>
      </c>
      <c r="H153" t="s">
        <v>37</v>
      </c>
      <c r="I153" t="s">
        <v>37</v>
      </c>
      <c r="J153" t="s">
        <v>37</v>
      </c>
      <c r="K153" t="s">
        <v>37</v>
      </c>
      <c r="L153" t="s">
        <v>37</v>
      </c>
      <c r="M153" t="s">
        <v>37</v>
      </c>
      <c r="N153">
        <v>0</v>
      </c>
      <c r="O153">
        <v>0</v>
      </c>
      <c r="P153">
        <v>0</v>
      </c>
      <c r="Q153">
        <v>0</v>
      </c>
      <c r="R153">
        <v>3.3278076171874997E-2</v>
      </c>
      <c r="S153">
        <v>-3.2042823791503902E-2</v>
      </c>
      <c r="T153">
        <v>0</v>
      </c>
      <c r="U153">
        <v>160.78</v>
      </c>
      <c r="V153">
        <v>0.48599999999999999</v>
      </c>
      <c r="W153">
        <v>0.24299999999999999</v>
      </c>
      <c r="X153">
        <v>0.64400000000000002</v>
      </c>
      <c r="Y153" t="b">
        <v>1</v>
      </c>
      <c r="Z153" t="s">
        <v>50</v>
      </c>
      <c r="AA153" t="e">
        <f t="shared" si="38"/>
        <v>#VALUE!</v>
      </c>
      <c r="AB153">
        <f t="shared" si="33"/>
        <v>3.3278076171874997</v>
      </c>
      <c r="AC153">
        <f t="shared" si="39"/>
        <v>33.067598288024854</v>
      </c>
      <c r="AD153" t="e">
        <f t="shared" si="40"/>
        <v>#VALUE!</v>
      </c>
      <c r="AE153" t="e">
        <f t="shared" ca="1" si="41"/>
        <v>#VALUE!</v>
      </c>
      <c r="AG153" s="2">
        <f t="shared" si="31"/>
        <v>3.1810899999982212E-2</v>
      </c>
      <c r="AH153" s="2">
        <f t="shared" si="32"/>
        <v>4.7597414000001663</v>
      </c>
      <c r="AI153">
        <v>2914.7580173000001</v>
      </c>
      <c r="AJ153">
        <v>236.287542857142</v>
      </c>
      <c r="AK153">
        <v>128.35941714285701</v>
      </c>
      <c r="AL153" s="2">
        <f t="shared" si="42"/>
        <v>101.71963428571421</v>
      </c>
      <c r="AM153" s="2">
        <f t="shared" si="34"/>
        <v>115.53376445800946</v>
      </c>
      <c r="AN153" s="2">
        <f t="shared" si="43"/>
        <v>13.814130172295251</v>
      </c>
    </row>
    <row r="154" spans="1:40" x14ac:dyDescent="0.3">
      <c r="A154">
        <f t="shared" si="35"/>
        <v>0</v>
      </c>
      <c r="B154" s="2">
        <f t="shared" si="36"/>
        <v>15.407999999752064</v>
      </c>
      <c r="C154" s="2" t="e">
        <f t="shared" si="44"/>
        <v>#VALUE!</v>
      </c>
      <c r="D154" s="2">
        <f t="shared" si="37"/>
        <v>2.2377394000000095</v>
      </c>
      <c r="E154" s="2"/>
      <c r="F154">
        <v>3223.9130369999998</v>
      </c>
      <c r="G154" t="s">
        <v>37</v>
      </c>
      <c r="H154" t="s">
        <v>37</v>
      </c>
      <c r="I154" t="s">
        <v>37</v>
      </c>
      <c r="J154" t="s">
        <v>37</v>
      </c>
      <c r="K154" t="s">
        <v>37</v>
      </c>
      <c r="L154" t="s">
        <v>37</v>
      </c>
      <c r="M154" t="s">
        <v>37</v>
      </c>
      <c r="N154">
        <v>0</v>
      </c>
      <c r="O154">
        <v>0</v>
      </c>
      <c r="P154">
        <v>0</v>
      </c>
      <c r="Q154">
        <v>0</v>
      </c>
      <c r="R154">
        <v>3.3278076171874997E-2</v>
      </c>
      <c r="S154">
        <v>-3.2042823791503902E-2</v>
      </c>
      <c r="T154">
        <v>0</v>
      </c>
      <c r="U154">
        <v>160.78</v>
      </c>
      <c r="V154">
        <v>0.48599999999999999</v>
      </c>
      <c r="W154">
        <v>0.24299999999999999</v>
      </c>
      <c r="X154">
        <v>0.64400000000000002</v>
      </c>
      <c r="Y154" t="b">
        <v>1</v>
      </c>
      <c r="Z154" t="s">
        <v>50</v>
      </c>
      <c r="AA154" t="e">
        <f t="shared" si="38"/>
        <v>#VALUE!</v>
      </c>
      <c r="AB154">
        <f t="shared" si="33"/>
        <v>3.3278076171874997</v>
      </c>
      <c r="AC154">
        <f t="shared" si="39"/>
        <v>33.118873147789657</v>
      </c>
      <c r="AD154" t="e">
        <f t="shared" si="40"/>
        <v>#VALUE!</v>
      </c>
      <c r="AE154" t="e">
        <f t="shared" ca="1" si="41"/>
        <v>#VALUE!</v>
      </c>
      <c r="AG154" s="2">
        <f t="shared" ref="AG154:AG208" si="45">AI154-AI153</f>
        <v>3.1113099999856786E-2</v>
      </c>
      <c r="AH154" s="2">
        <f t="shared" ref="AH154:AH208" si="46">AI154-$AI$7</f>
        <v>4.7908545000000231</v>
      </c>
      <c r="AI154">
        <v>2914.7891304</v>
      </c>
      <c r="AJ154">
        <v>236.95451999999901</v>
      </c>
      <c r="AK154">
        <v>130.50661142857101</v>
      </c>
      <c r="AL154" s="2">
        <f t="shared" si="42"/>
        <v>103.8668285714282</v>
      </c>
      <c r="AM154" s="2">
        <f t="shared" si="34"/>
        <v>117.13509875385068</v>
      </c>
      <c r="AN154" s="2">
        <f t="shared" si="43"/>
        <v>13.268270182422484</v>
      </c>
    </row>
    <row r="155" spans="1:40" x14ac:dyDescent="0.3">
      <c r="A155">
        <f t="shared" si="35"/>
        <v>0</v>
      </c>
      <c r="B155" s="2">
        <f t="shared" si="36"/>
        <v>15.212900000278751</v>
      </c>
      <c r="C155" s="2" t="e">
        <f t="shared" si="44"/>
        <v>#VALUE!</v>
      </c>
      <c r="D155" s="2">
        <f t="shared" si="37"/>
        <v>2.2529523000002882</v>
      </c>
      <c r="E155" s="2"/>
      <c r="F155">
        <v>3223.9282499000001</v>
      </c>
      <c r="G155" t="s">
        <v>37</v>
      </c>
      <c r="H155" t="s">
        <v>37</v>
      </c>
      <c r="I155" t="s">
        <v>37</v>
      </c>
      <c r="J155" t="s">
        <v>37</v>
      </c>
      <c r="K155" t="s">
        <v>37</v>
      </c>
      <c r="L155" t="s">
        <v>37</v>
      </c>
      <c r="M155" t="s">
        <v>37</v>
      </c>
      <c r="N155">
        <v>0</v>
      </c>
      <c r="O155">
        <v>0</v>
      </c>
      <c r="P155">
        <v>0</v>
      </c>
      <c r="Q155">
        <v>0</v>
      </c>
      <c r="R155">
        <v>-6.7436850070953303E-4</v>
      </c>
      <c r="S155">
        <v>-2.9145898818969701E-2</v>
      </c>
      <c r="T155">
        <v>0</v>
      </c>
      <c r="U155">
        <v>160.77799999999999</v>
      </c>
      <c r="V155">
        <v>1.147</v>
      </c>
      <c r="W155">
        <v>0.95299999999999996</v>
      </c>
      <c r="X155">
        <v>0.64800000000000002</v>
      </c>
      <c r="Y155" t="b">
        <v>1</v>
      </c>
      <c r="Z155" t="s">
        <v>50</v>
      </c>
      <c r="AA155" t="e">
        <f t="shared" si="38"/>
        <v>#VALUE!</v>
      </c>
      <c r="AB155">
        <f t="shared" si="33"/>
        <v>-6.7436850070953305E-2</v>
      </c>
      <c r="AC155">
        <f t="shared" si="39"/>
        <v>33.169498752290096</v>
      </c>
      <c r="AD155" t="e">
        <f t="shared" si="40"/>
        <v>#VALUE!</v>
      </c>
      <c r="AE155" t="e">
        <f t="shared" ca="1" si="41"/>
        <v>#VALUE!</v>
      </c>
      <c r="AG155" s="2">
        <f t="shared" si="45"/>
        <v>4.6360499999991589E-2</v>
      </c>
      <c r="AH155" s="2">
        <f t="shared" si="46"/>
        <v>4.8372150000000147</v>
      </c>
      <c r="AI155">
        <v>2914.8354909</v>
      </c>
      <c r="AJ155">
        <v>237.63133714285701</v>
      </c>
      <c r="AK155">
        <v>132.64856571428501</v>
      </c>
      <c r="AL155" s="2">
        <f t="shared" si="42"/>
        <v>106.00878285714221</v>
      </c>
      <c r="AM155" s="2">
        <f t="shared" si="34"/>
        <v>119.53007106060276</v>
      </c>
      <c r="AN155" s="2">
        <f t="shared" si="43"/>
        <v>13.521288203460557</v>
      </c>
    </row>
    <row r="156" spans="1:40" x14ac:dyDescent="0.3">
      <c r="A156">
        <f t="shared" si="35"/>
        <v>0</v>
      </c>
      <c r="B156" s="2">
        <f t="shared" si="36"/>
        <v>15.505099999700178</v>
      </c>
      <c r="C156" s="2" t="e">
        <f t="shared" si="44"/>
        <v>#VALUE!</v>
      </c>
      <c r="D156" s="2">
        <f t="shared" si="37"/>
        <v>2.2684573999999884</v>
      </c>
      <c r="E156" s="2"/>
      <c r="F156">
        <v>3223.9437549999998</v>
      </c>
      <c r="G156" t="s">
        <v>37</v>
      </c>
      <c r="H156" t="s">
        <v>37</v>
      </c>
      <c r="I156" t="s">
        <v>37</v>
      </c>
      <c r="J156" t="s">
        <v>37</v>
      </c>
      <c r="K156" t="s">
        <v>37</v>
      </c>
      <c r="L156" t="s">
        <v>37</v>
      </c>
      <c r="M156" t="s">
        <v>37</v>
      </c>
      <c r="N156">
        <v>0</v>
      </c>
      <c r="O156">
        <v>0</v>
      </c>
      <c r="P156">
        <v>0</v>
      </c>
      <c r="Q156">
        <v>0</v>
      </c>
      <c r="R156">
        <v>-6.7436850070953303E-4</v>
      </c>
      <c r="S156">
        <v>-2.9145898818969701E-2</v>
      </c>
      <c r="T156">
        <v>0</v>
      </c>
      <c r="U156">
        <v>160.77799999999999</v>
      </c>
      <c r="V156">
        <v>1.147</v>
      </c>
      <c r="W156">
        <v>0.95299999999999996</v>
      </c>
      <c r="X156">
        <v>0.64800000000000002</v>
      </c>
      <c r="Y156" t="b">
        <v>1</v>
      </c>
      <c r="Z156" t="s">
        <v>50</v>
      </c>
      <c r="AA156" t="e">
        <f t="shared" si="38"/>
        <v>#VALUE!</v>
      </c>
      <c r="AB156">
        <f t="shared" si="33"/>
        <v>-6.7436850070953305E-2</v>
      </c>
      <c r="AC156">
        <f t="shared" si="39"/>
        <v>33.168453137186084</v>
      </c>
      <c r="AD156" t="e">
        <f t="shared" si="40"/>
        <v>#VALUE!</v>
      </c>
      <c r="AE156" t="e">
        <f t="shared" ca="1" si="41"/>
        <v>#VALUE!</v>
      </c>
      <c r="AG156" s="2">
        <f t="shared" si="45"/>
        <v>3.1684000000041124E-2</v>
      </c>
      <c r="AH156" s="2">
        <f t="shared" si="46"/>
        <v>4.8688990000000558</v>
      </c>
      <c r="AI156">
        <v>2914.8671749</v>
      </c>
      <c r="AJ156">
        <v>238.31161714285699</v>
      </c>
      <c r="AK156">
        <v>134.65620571428499</v>
      </c>
      <c r="AL156" s="2">
        <f t="shared" si="42"/>
        <v>108.01642285714219</v>
      </c>
      <c r="AM156" s="2">
        <f t="shared" si="34"/>
        <v>121.17285535180829</v>
      </c>
      <c r="AN156" s="2">
        <f t="shared" si="43"/>
        <v>13.156432494666106</v>
      </c>
    </row>
    <row r="157" spans="1:40" x14ac:dyDescent="0.3">
      <c r="A157">
        <f t="shared" si="35"/>
        <v>0</v>
      </c>
      <c r="B157" s="2">
        <f t="shared" si="36"/>
        <v>15.545600000223203</v>
      </c>
      <c r="C157" s="2" t="e">
        <f t="shared" si="44"/>
        <v>#VALUE!</v>
      </c>
      <c r="D157" s="2">
        <f t="shared" si="37"/>
        <v>2.2840030000002116</v>
      </c>
      <c r="E157" s="2"/>
      <c r="F157">
        <v>3223.9593006</v>
      </c>
      <c r="G157" t="s">
        <v>37</v>
      </c>
      <c r="H157" t="s">
        <v>37</v>
      </c>
      <c r="I157" t="s">
        <v>37</v>
      </c>
      <c r="J157" t="s">
        <v>37</v>
      </c>
      <c r="K157" t="s">
        <v>37</v>
      </c>
      <c r="L157" t="s">
        <v>37</v>
      </c>
      <c r="M157" t="s">
        <v>37</v>
      </c>
      <c r="N157">
        <v>0</v>
      </c>
      <c r="O157">
        <v>0</v>
      </c>
      <c r="P157">
        <v>0</v>
      </c>
      <c r="Q157">
        <v>0</v>
      </c>
      <c r="R157">
        <v>-6.7436850070953303E-4</v>
      </c>
      <c r="S157">
        <v>-2.9145898818969701E-2</v>
      </c>
      <c r="T157">
        <v>0</v>
      </c>
      <c r="U157">
        <v>160.77799999999999</v>
      </c>
      <c r="V157">
        <v>1.147</v>
      </c>
      <c r="W157">
        <v>0.95299999999999996</v>
      </c>
      <c r="X157">
        <v>0.64800000000000002</v>
      </c>
      <c r="Y157" t="b">
        <v>1</v>
      </c>
      <c r="Z157" t="s">
        <v>50</v>
      </c>
      <c r="AA157" t="e">
        <f t="shared" si="38"/>
        <v>#VALUE!</v>
      </c>
      <c r="AB157">
        <f t="shared" si="33"/>
        <v>-6.7436850070953305E-2</v>
      </c>
      <c r="AC157">
        <f t="shared" si="39"/>
        <v>33.167404790889606</v>
      </c>
      <c r="AD157" t="e">
        <f t="shared" si="40"/>
        <v>#VALUE!</v>
      </c>
      <c r="AE157" t="e">
        <f t="shared" ca="1" si="41"/>
        <v>#VALUE!</v>
      </c>
      <c r="AG157" s="2">
        <f t="shared" si="45"/>
        <v>3.115139999999883E-2</v>
      </c>
      <c r="AH157" s="2">
        <f t="shared" si="46"/>
        <v>4.9000504000000547</v>
      </c>
      <c r="AI157">
        <v>2914.8983263</v>
      </c>
      <c r="AJ157">
        <v>239.00665714285699</v>
      </c>
      <c r="AK157">
        <v>136.65860571428499</v>
      </c>
      <c r="AL157" s="2">
        <f t="shared" si="42"/>
        <v>110.01882285714218</v>
      </c>
      <c r="AM157" s="2">
        <f t="shared" si="34"/>
        <v>122.79267938949705</v>
      </c>
      <c r="AN157" s="2">
        <f t="shared" si="43"/>
        <v>12.77385653235487</v>
      </c>
    </row>
    <row r="158" spans="1:40" x14ac:dyDescent="0.3">
      <c r="A158">
        <f t="shared" si="35"/>
        <v>0</v>
      </c>
      <c r="B158" s="2">
        <f t="shared" si="36"/>
        <v>2.8772000000572007</v>
      </c>
      <c r="C158" s="2" t="e">
        <f t="shared" si="44"/>
        <v>#VALUE!</v>
      </c>
      <c r="D158" s="2">
        <f t="shared" si="37"/>
        <v>2.2868802000002688</v>
      </c>
      <c r="E158" s="2"/>
      <c r="F158">
        <v>3223.9621778000001</v>
      </c>
      <c r="G158" t="s">
        <v>37</v>
      </c>
      <c r="H158" t="s">
        <v>37</v>
      </c>
      <c r="I158" t="s">
        <v>37</v>
      </c>
      <c r="J158" t="s">
        <v>37</v>
      </c>
      <c r="K158" t="s">
        <v>37</v>
      </c>
      <c r="L158" t="s">
        <v>37</v>
      </c>
      <c r="M158" t="s">
        <v>37</v>
      </c>
      <c r="N158">
        <v>0</v>
      </c>
      <c r="O158">
        <v>0</v>
      </c>
      <c r="P158">
        <v>0</v>
      </c>
      <c r="Q158">
        <v>0</v>
      </c>
      <c r="R158">
        <v>-6.7436850070953303E-4</v>
      </c>
      <c r="S158">
        <v>-2.9145898818969701E-2</v>
      </c>
      <c r="T158">
        <v>0</v>
      </c>
      <c r="U158">
        <v>160.77799999999999</v>
      </c>
      <c r="V158">
        <v>1.147</v>
      </c>
      <c r="W158">
        <v>0.95299999999999996</v>
      </c>
      <c r="X158">
        <v>0.64800000000000002</v>
      </c>
      <c r="Y158" t="b">
        <v>1</v>
      </c>
      <c r="Z158" t="s">
        <v>50</v>
      </c>
      <c r="AA158" t="e">
        <f t="shared" si="38"/>
        <v>#VALUE!</v>
      </c>
      <c r="AB158">
        <f t="shared" si="33"/>
        <v>-6.7436850070953305E-2</v>
      </c>
      <c r="AC158">
        <f t="shared" si="39"/>
        <v>33.167210761584577</v>
      </c>
      <c r="AD158" t="e">
        <f t="shared" si="40"/>
        <v>#VALUE!</v>
      </c>
      <c r="AE158" t="e">
        <f t="shared" ca="1" si="41"/>
        <v>#VALUE!</v>
      </c>
      <c r="AG158" s="2">
        <f t="shared" si="45"/>
        <v>3.0990899999778776E-2</v>
      </c>
      <c r="AH158" s="2">
        <f t="shared" si="46"/>
        <v>4.9310412999998334</v>
      </c>
      <c r="AI158">
        <v>2914.9293171999998</v>
      </c>
      <c r="AJ158">
        <v>239.690057142857</v>
      </c>
      <c r="AK158">
        <v>138.277365714285</v>
      </c>
      <c r="AL158" s="2">
        <f t="shared" si="42"/>
        <v>111.63758285714219</v>
      </c>
      <c r="AM158" s="2">
        <f t="shared" si="34"/>
        <v>124.40866067367594</v>
      </c>
      <c r="AN158" s="2">
        <f t="shared" si="43"/>
        <v>12.771077816533747</v>
      </c>
    </row>
    <row r="159" spans="1:40" x14ac:dyDescent="0.3">
      <c r="A159">
        <f t="shared" si="35"/>
        <v>0</v>
      </c>
      <c r="B159" s="2">
        <f t="shared" si="36"/>
        <v>12.668599999869912</v>
      </c>
      <c r="C159" s="2" t="e">
        <f t="shared" si="44"/>
        <v>#VALUE!</v>
      </c>
      <c r="D159" s="2">
        <f t="shared" si="37"/>
        <v>2.2995488000001387</v>
      </c>
      <c r="E159" s="2"/>
      <c r="F159">
        <v>3223.9748463999999</v>
      </c>
      <c r="G159" t="s">
        <v>37</v>
      </c>
      <c r="H159" t="s">
        <v>37</v>
      </c>
      <c r="I159" t="s">
        <v>37</v>
      </c>
      <c r="J159" t="s">
        <v>37</v>
      </c>
      <c r="K159" t="s">
        <v>37</v>
      </c>
      <c r="L159" t="s">
        <v>37</v>
      </c>
      <c r="M159" t="s">
        <v>37</v>
      </c>
      <c r="N159">
        <v>0</v>
      </c>
      <c r="O159">
        <v>0</v>
      </c>
      <c r="P159">
        <v>0</v>
      </c>
      <c r="Q159">
        <v>0</v>
      </c>
      <c r="R159">
        <v>-6.7436850070953303E-4</v>
      </c>
      <c r="S159">
        <v>-2.9145898818969701E-2</v>
      </c>
      <c r="T159">
        <v>0</v>
      </c>
      <c r="U159">
        <v>160.77799999999999</v>
      </c>
      <c r="V159">
        <v>1.59</v>
      </c>
      <c r="W159">
        <v>0.95299999999999996</v>
      </c>
      <c r="X159">
        <v>0.64800000000000002</v>
      </c>
      <c r="Y159" t="b">
        <v>1</v>
      </c>
      <c r="Z159" t="s">
        <v>50</v>
      </c>
      <c r="AA159" t="e">
        <f t="shared" si="38"/>
        <v>#VALUE!</v>
      </c>
      <c r="AB159">
        <f t="shared" si="33"/>
        <v>-6.7436850070953305E-2</v>
      </c>
      <c r="AC159">
        <f t="shared" si="39"/>
        <v>33.166356431105775</v>
      </c>
      <c r="AD159" t="e">
        <f t="shared" si="40"/>
        <v>#VALUE!</v>
      </c>
      <c r="AE159" t="e">
        <f t="shared" ca="1" si="41"/>
        <v>#VALUE!</v>
      </c>
      <c r="AG159" s="2">
        <f t="shared" si="45"/>
        <v>3.1660000000101718E-2</v>
      </c>
      <c r="AH159" s="2">
        <f t="shared" si="46"/>
        <v>4.9627012999999351</v>
      </c>
      <c r="AI159">
        <v>2914.9609771999999</v>
      </c>
      <c r="AJ159">
        <v>240.391337142857</v>
      </c>
      <c r="AK159">
        <v>140.30596571428501</v>
      </c>
      <c r="AL159" s="2">
        <f t="shared" si="42"/>
        <v>113.6661828571422</v>
      </c>
      <c r="AM159" s="2">
        <f t="shared" si="34"/>
        <v>126.06409176574266</v>
      </c>
      <c r="AN159" s="2">
        <f t="shared" si="43"/>
        <v>12.397908908600456</v>
      </c>
    </row>
    <row r="160" spans="1:40" x14ac:dyDescent="0.3">
      <c r="A160">
        <f t="shared" si="35"/>
        <v>0</v>
      </c>
      <c r="B160" s="2">
        <f t="shared" si="36"/>
        <v>15.371999999842956</v>
      </c>
      <c r="C160" s="2" t="e">
        <f t="shared" si="44"/>
        <v>#VALUE!</v>
      </c>
      <c r="D160" s="2">
        <f t="shared" si="37"/>
        <v>2.3149207999999817</v>
      </c>
      <c r="E160" s="2"/>
      <c r="F160">
        <v>3223.9902183999998</v>
      </c>
      <c r="G160" t="s">
        <v>37</v>
      </c>
      <c r="H160" t="s">
        <v>37</v>
      </c>
      <c r="I160" t="s">
        <v>37</v>
      </c>
      <c r="J160" t="s">
        <v>37</v>
      </c>
      <c r="K160" t="s">
        <v>37</v>
      </c>
      <c r="L160" t="s">
        <v>37</v>
      </c>
      <c r="M160" t="s">
        <v>37</v>
      </c>
      <c r="N160">
        <v>0</v>
      </c>
      <c r="O160">
        <v>0</v>
      </c>
      <c r="P160">
        <v>0</v>
      </c>
      <c r="Q160">
        <v>0</v>
      </c>
      <c r="R160">
        <v>-1.63144931793212E-2</v>
      </c>
      <c r="S160">
        <v>-3.54174308776855E-2</v>
      </c>
      <c r="T160">
        <v>0</v>
      </c>
      <c r="U160">
        <v>160.77000000000001</v>
      </c>
      <c r="V160">
        <v>1.59</v>
      </c>
      <c r="W160">
        <v>1.2569999999999999</v>
      </c>
      <c r="X160">
        <v>0.65100000000000002</v>
      </c>
      <c r="Y160" t="b">
        <v>1</v>
      </c>
      <c r="Z160" t="s">
        <v>50</v>
      </c>
      <c r="AA160" t="e">
        <f t="shared" si="38"/>
        <v>#VALUE!</v>
      </c>
      <c r="AB160">
        <f t="shared" si="33"/>
        <v>-1.6314493179321199</v>
      </c>
      <c r="AC160">
        <f t="shared" si="39"/>
        <v>33.165319791846493</v>
      </c>
      <c r="AD160" t="e">
        <f t="shared" si="40"/>
        <v>#VALUE!</v>
      </c>
      <c r="AE160" t="e">
        <f t="shared" ca="1" si="41"/>
        <v>#VALUE!</v>
      </c>
      <c r="AG160" s="2">
        <f t="shared" si="45"/>
        <v>3.0683800000133488E-2</v>
      </c>
      <c r="AH160" s="2">
        <f t="shared" si="46"/>
        <v>4.9933851000000686</v>
      </c>
      <c r="AI160">
        <v>2914.991661</v>
      </c>
      <c r="AJ160">
        <v>241.09261714285699</v>
      </c>
      <c r="AK160">
        <v>142.318845714285</v>
      </c>
      <c r="AL160" s="2">
        <f t="shared" si="42"/>
        <v>115.6790628571422</v>
      </c>
      <c r="AM160" s="2">
        <f t="shared" si="34"/>
        <v>127.67280461259843</v>
      </c>
      <c r="AN160" s="2">
        <f t="shared" si="43"/>
        <v>11.993741755456227</v>
      </c>
    </row>
    <row r="161" spans="1:40" x14ac:dyDescent="0.3">
      <c r="A161">
        <f t="shared" si="35"/>
        <v>0</v>
      </c>
      <c r="B161" s="2">
        <f t="shared" si="36"/>
        <v>15.121500000077504</v>
      </c>
      <c r="C161" s="2" t="e">
        <f t="shared" si="44"/>
        <v>#VALUE!</v>
      </c>
      <c r="D161" s="2">
        <f t="shared" si="37"/>
        <v>2.3300423000000592</v>
      </c>
      <c r="E161" s="2"/>
      <c r="F161">
        <v>3224.0053398999999</v>
      </c>
      <c r="G161" t="s">
        <v>37</v>
      </c>
      <c r="H161" t="s">
        <v>37</v>
      </c>
      <c r="I161" t="s">
        <v>37</v>
      </c>
      <c r="J161" t="s">
        <v>37</v>
      </c>
      <c r="K161" t="s">
        <v>37</v>
      </c>
      <c r="L161" t="s">
        <v>37</v>
      </c>
      <c r="M161" t="s">
        <v>37</v>
      </c>
      <c r="N161">
        <v>0</v>
      </c>
      <c r="O161">
        <v>0</v>
      </c>
      <c r="P161">
        <v>0</v>
      </c>
      <c r="Q161">
        <v>0</v>
      </c>
      <c r="R161">
        <v>-1.63144931793212E-2</v>
      </c>
      <c r="S161">
        <v>-3.54174308776855E-2</v>
      </c>
      <c r="T161">
        <v>0</v>
      </c>
      <c r="U161">
        <v>160.77000000000001</v>
      </c>
      <c r="V161">
        <v>1.59</v>
      </c>
      <c r="W161">
        <v>1.2569999999999999</v>
      </c>
      <c r="X161">
        <v>0.65100000000000002</v>
      </c>
      <c r="Y161" t="b">
        <v>1</v>
      </c>
      <c r="Z161" t="s">
        <v>50</v>
      </c>
      <c r="AA161" t="e">
        <f t="shared" si="38"/>
        <v>#VALUE!</v>
      </c>
      <c r="AB161">
        <f t="shared" si="33"/>
        <v>-1.6314493179321199</v>
      </c>
      <c r="AC161">
        <f t="shared" si="39"/>
        <v>33.140649830985254</v>
      </c>
      <c r="AD161" t="e">
        <f t="shared" si="40"/>
        <v>#VALUE!</v>
      </c>
      <c r="AE161" t="e">
        <f t="shared" ca="1" si="41"/>
        <v>#VALUE!</v>
      </c>
      <c r="AG161" s="2">
        <f t="shared" si="45"/>
        <v>3.1052400000135094E-2</v>
      </c>
      <c r="AH161" s="2">
        <f t="shared" si="46"/>
        <v>5.0244375000002037</v>
      </c>
      <c r="AI161">
        <v>2915.0227134000002</v>
      </c>
      <c r="AJ161">
        <v>241.78405714285699</v>
      </c>
      <c r="AK161">
        <v>144.321245714285</v>
      </c>
      <c r="AL161" s="2">
        <f t="shared" si="42"/>
        <v>117.68146285714219</v>
      </c>
      <c r="AM161" s="2">
        <f t="shared" si="34"/>
        <v>129.30510501703054</v>
      </c>
      <c r="AN161" s="2">
        <f t="shared" si="43"/>
        <v>11.623642159888348</v>
      </c>
    </row>
    <row r="162" spans="1:40" x14ac:dyDescent="0.3">
      <c r="A162">
        <f t="shared" si="35"/>
        <v>0</v>
      </c>
      <c r="B162" s="2">
        <f t="shared" si="36"/>
        <v>15.420000000176515</v>
      </c>
      <c r="C162" s="2" t="e">
        <f t="shared" si="44"/>
        <v>#VALUE!</v>
      </c>
      <c r="D162" s="2">
        <f t="shared" si="37"/>
        <v>2.3454623000002357</v>
      </c>
      <c r="E162" s="2"/>
      <c r="F162">
        <v>3224.0207599</v>
      </c>
      <c r="G162" t="s">
        <v>37</v>
      </c>
      <c r="H162" t="s">
        <v>37</v>
      </c>
      <c r="I162" t="s">
        <v>37</v>
      </c>
      <c r="J162" t="s">
        <v>37</v>
      </c>
      <c r="K162" t="s">
        <v>37</v>
      </c>
      <c r="L162" t="s">
        <v>37</v>
      </c>
      <c r="M162" t="s">
        <v>37</v>
      </c>
      <c r="N162">
        <v>0</v>
      </c>
      <c r="O162">
        <v>0</v>
      </c>
      <c r="P162">
        <v>0</v>
      </c>
      <c r="Q162">
        <v>0</v>
      </c>
      <c r="R162">
        <v>-1.63144931793212E-2</v>
      </c>
      <c r="S162">
        <v>-3.54174308776855E-2</v>
      </c>
      <c r="T162">
        <v>0</v>
      </c>
      <c r="U162">
        <v>160.77000000000001</v>
      </c>
      <c r="V162">
        <v>1.59</v>
      </c>
      <c r="W162">
        <v>1.2569999999999999</v>
      </c>
      <c r="X162">
        <v>0.65100000000000002</v>
      </c>
      <c r="Y162" t="b">
        <v>1</v>
      </c>
      <c r="Z162" t="s">
        <v>50</v>
      </c>
      <c r="AA162" t="e">
        <f t="shared" si="38"/>
        <v>#VALUE!</v>
      </c>
      <c r="AB162">
        <f t="shared" si="33"/>
        <v>-1.6314493179321199</v>
      </c>
      <c r="AC162">
        <f t="shared" si="39"/>
        <v>33.115492882502451</v>
      </c>
      <c r="AD162" t="e">
        <f t="shared" si="40"/>
        <v>#VALUE!</v>
      </c>
      <c r="AE162" t="e">
        <f t="shared" ca="1" si="41"/>
        <v>#VALUE!</v>
      </c>
      <c r="AG162" s="2">
        <f t="shared" si="45"/>
        <v>3.2001199999740493E-2</v>
      </c>
      <c r="AH162" s="2">
        <f t="shared" si="46"/>
        <v>5.0564386999999442</v>
      </c>
      <c r="AI162">
        <v>2915.0547145999999</v>
      </c>
      <c r="AJ162">
        <v>242.46877714285699</v>
      </c>
      <c r="AK162">
        <v>145.91904571428501</v>
      </c>
      <c r="AL162" s="2">
        <f t="shared" si="42"/>
        <v>119.2792628571422</v>
      </c>
      <c r="AM162" s="2">
        <f t="shared" si="34"/>
        <v>130.99169148748769</v>
      </c>
      <c r="AN162" s="2">
        <f t="shared" si="43"/>
        <v>11.712428630345485</v>
      </c>
    </row>
    <row r="163" spans="1:40" x14ac:dyDescent="0.3">
      <c r="A163">
        <f t="shared" si="35"/>
        <v>0</v>
      </c>
      <c r="B163" s="2">
        <f t="shared" si="36"/>
        <v>16.074699999990116</v>
      </c>
      <c r="C163" s="2" t="e">
        <f t="shared" si="44"/>
        <v>#VALUE!</v>
      </c>
      <c r="D163" s="2">
        <f t="shared" si="37"/>
        <v>2.3615370000002258</v>
      </c>
      <c r="E163" s="2"/>
      <c r="F163">
        <v>3224.0368346</v>
      </c>
      <c r="G163" t="s">
        <v>37</v>
      </c>
      <c r="H163" t="s">
        <v>37</v>
      </c>
      <c r="I163" t="s">
        <v>37</v>
      </c>
      <c r="J163" t="s">
        <v>37</v>
      </c>
      <c r="K163" t="s">
        <v>37</v>
      </c>
      <c r="L163" t="s">
        <v>37</v>
      </c>
      <c r="M163" t="s">
        <v>37</v>
      </c>
      <c r="N163">
        <v>0</v>
      </c>
      <c r="O163">
        <v>0</v>
      </c>
      <c r="P163">
        <v>0</v>
      </c>
      <c r="Q163">
        <v>0</v>
      </c>
      <c r="R163">
        <v>-1.63144931793212E-2</v>
      </c>
      <c r="S163">
        <v>-3.54174308776855E-2</v>
      </c>
      <c r="T163">
        <v>0</v>
      </c>
      <c r="U163">
        <v>160.77000000000001</v>
      </c>
      <c r="V163">
        <v>1.6990000000000001</v>
      </c>
      <c r="W163">
        <v>1.2569999999999999</v>
      </c>
      <c r="X163">
        <v>0.65100000000000002</v>
      </c>
      <c r="Y163" t="b">
        <v>1</v>
      </c>
      <c r="Z163" t="s">
        <v>50</v>
      </c>
      <c r="AA163" t="e">
        <f t="shared" si="38"/>
        <v>#VALUE!</v>
      </c>
      <c r="AB163">
        <f t="shared" si="33"/>
        <v>-1.6314493179321199</v>
      </c>
      <c r="AC163">
        <f t="shared" si="39"/>
        <v>33.089267824151506</v>
      </c>
      <c r="AD163" t="e">
        <f t="shared" si="40"/>
        <v>#VALUE!</v>
      </c>
      <c r="AE163" t="e">
        <f t="shared" ca="1" si="41"/>
        <v>#VALUE!</v>
      </c>
      <c r="AG163" s="2">
        <f t="shared" si="45"/>
        <v>3.1291600000258768E-2</v>
      </c>
      <c r="AH163" s="2">
        <f t="shared" si="46"/>
        <v>5.087730300000203</v>
      </c>
      <c r="AI163">
        <v>2915.0860062000002</v>
      </c>
      <c r="AJ163">
        <v>243.133817142857</v>
      </c>
      <c r="AK163">
        <v>147.553525714285</v>
      </c>
      <c r="AL163" s="2">
        <f t="shared" si="42"/>
        <v>120.9137428571422</v>
      </c>
      <c r="AM163" s="2">
        <f t="shared" si="34"/>
        <v>132.64513658928604</v>
      </c>
      <c r="AN163" s="2">
        <f t="shared" si="43"/>
        <v>11.731393732143843</v>
      </c>
    </row>
    <row r="164" spans="1:40" x14ac:dyDescent="0.3">
      <c r="A164">
        <f t="shared" si="35"/>
        <v>0</v>
      </c>
      <c r="B164" s="2">
        <f t="shared" si="36"/>
        <v>15.176599999904283</v>
      </c>
      <c r="C164" s="2" t="e">
        <f t="shared" si="44"/>
        <v>#VALUE!</v>
      </c>
      <c r="D164" s="2">
        <f t="shared" si="37"/>
        <v>2.3767136000001301</v>
      </c>
      <c r="E164" s="2"/>
      <c r="F164">
        <v>3224.0520111999999</v>
      </c>
      <c r="G164" t="s">
        <v>37</v>
      </c>
      <c r="H164" t="s">
        <v>37</v>
      </c>
      <c r="I164" t="s">
        <v>37</v>
      </c>
      <c r="J164" t="s">
        <v>37</v>
      </c>
      <c r="K164" t="s">
        <v>37</v>
      </c>
      <c r="L164" t="s">
        <v>37</v>
      </c>
      <c r="M164" t="s">
        <v>37</v>
      </c>
      <c r="N164">
        <v>0</v>
      </c>
      <c r="O164">
        <v>0</v>
      </c>
      <c r="P164">
        <v>0</v>
      </c>
      <c r="Q164">
        <v>0</v>
      </c>
      <c r="R164">
        <v>-5.3606155395507803E-2</v>
      </c>
      <c r="S164">
        <v>-5.4302394866943299E-2</v>
      </c>
      <c r="T164">
        <v>0</v>
      </c>
      <c r="U164">
        <v>160.70099999999999</v>
      </c>
      <c r="V164">
        <v>1.6990000000000001</v>
      </c>
      <c r="W164">
        <v>1.1819999999999999</v>
      </c>
      <c r="X164">
        <v>0.65200000000000002</v>
      </c>
      <c r="Y164" t="b">
        <v>1</v>
      </c>
      <c r="Z164" t="s">
        <v>50</v>
      </c>
      <c r="AA164" t="e">
        <f t="shared" si="38"/>
        <v>#VALUE!</v>
      </c>
      <c r="AB164">
        <f t="shared" si="33"/>
        <v>-5.3606155395507802</v>
      </c>
      <c r="AC164">
        <f t="shared" si="39"/>
        <v>33.064507970433134</v>
      </c>
      <c r="AD164" t="e">
        <f t="shared" si="40"/>
        <v>#VALUE!</v>
      </c>
      <c r="AE164" t="e">
        <f t="shared" ca="1" si="41"/>
        <v>#VALUE!</v>
      </c>
      <c r="AG164" s="2">
        <f t="shared" si="45"/>
        <v>3.1347699999969336E-2</v>
      </c>
      <c r="AH164" s="2">
        <f t="shared" si="46"/>
        <v>5.1190780000001723</v>
      </c>
      <c r="AI164">
        <v>2915.1173539000001</v>
      </c>
      <c r="AJ164">
        <v>243.805577142857</v>
      </c>
      <c r="AK164">
        <v>149.57164571428501</v>
      </c>
      <c r="AL164" s="2">
        <f t="shared" si="42"/>
        <v>122.93186285714221</v>
      </c>
      <c r="AM164" s="2">
        <f t="shared" si="34"/>
        <v>134.30569579287328</v>
      </c>
      <c r="AN164" s="2">
        <f t="shared" si="43"/>
        <v>11.373832935731073</v>
      </c>
    </row>
    <row r="165" spans="1:40" x14ac:dyDescent="0.3">
      <c r="A165">
        <f t="shared" si="35"/>
        <v>0</v>
      </c>
      <c r="B165" s="2">
        <f t="shared" si="36"/>
        <v>15.988999999990483</v>
      </c>
      <c r="C165" s="2" t="e">
        <f t="shared" si="44"/>
        <v>#VALUE!</v>
      </c>
      <c r="D165" s="2">
        <f t="shared" si="37"/>
        <v>2.3927026000001206</v>
      </c>
      <c r="E165" s="2"/>
      <c r="F165">
        <v>3224.0680001999999</v>
      </c>
      <c r="G165" t="s">
        <v>37</v>
      </c>
      <c r="H165" t="s">
        <v>37</v>
      </c>
      <c r="I165" t="s">
        <v>37</v>
      </c>
      <c r="J165" t="s">
        <v>37</v>
      </c>
      <c r="K165" t="s">
        <v>37</v>
      </c>
      <c r="L165" t="s">
        <v>37</v>
      </c>
      <c r="M165" t="s">
        <v>37</v>
      </c>
      <c r="N165">
        <v>0</v>
      </c>
      <c r="O165">
        <v>0</v>
      </c>
      <c r="P165">
        <v>0</v>
      </c>
      <c r="Q165">
        <v>0</v>
      </c>
      <c r="R165">
        <v>-5.3606155395507803E-2</v>
      </c>
      <c r="S165">
        <v>-5.4302394866943299E-2</v>
      </c>
      <c r="T165">
        <v>0</v>
      </c>
      <c r="U165">
        <v>160.70099999999999</v>
      </c>
      <c r="V165">
        <v>1.6990000000000001</v>
      </c>
      <c r="W165">
        <v>1.1819999999999999</v>
      </c>
      <c r="X165">
        <v>0.65200000000000002</v>
      </c>
      <c r="Y165" t="b">
        <v>1</v>
      </c>
      <c r="Z165" t="s">
        <v>50</v>
      </c>
      <c r="AA165" t="e">
        <f t="shared" si="38"/>
        <v>#VALUE!</v>
      </c>
      <c r="AB165">
        <f t="shared" si="33"/>
        <v>-5.3606155395507802</v>
      </c>
      <c r="AC165">
        <f t="shared" si="39"/>
        <v>32.978797088571305</v>
      </c>
      <c r="AD165" t="e">
        <f t="shared" si="40"/>
        <v>#VALUE!</v>
      </c>
      <c r="AE165" t="e">
        <f t="shared" ca="1" si="41"/>
        <v>#VALUE!</v>
      </c>
      <c r="AG165" s="2">
        <f t="shared" si="45"/>
        <v>3.1229899999743793E-2</v>
      </c>
      <c r="AH165" s="2">
        <f t="shared" si="46"/>
        <v>5.1503078999999161</v>
      </c>
      <c r="AI165">
        <v>2915.1485837999999</v>
      </c>
      <c r="AJ165">
        <v>244.501937142857</v>
      </c>
      <c r="AK165">
        <v>151.553085714285</v>
      </c>
      <c r="AL165" s="2">
        <f t="shared" si="42"/>
        <v>124.9133028571422</v>
      </c>
      <c r="AM165" s="2">
        <f t="shared" si="34"/>
        <v>135.96407597359357</v>
      </c>
      <c r="AN165" s="2">
        <f t="shared" si="43"/>
        <v>11.050773116451367</v>
      </c>
    </row>
    <row r="166" spans="1:40" x14ac:dyDescent="0.3">
      <c r="A166">
        <f t="shared" si="35"/>
        <v>0</v>
      </c>
      <c r="B166" s="2">
        <f t="shared" si="36"/>
        <v>15.600000000176806</v>
      </c>
      <c r="C166" s="2" t="e">
        <f t="shared" si="44"/>
        <v>#VALUE!</v>
      </c>
      <c r="D166" s="2">
        <f t="shared" si="37"/>
        <v>2.4083026000002974</v>
      </c>
      <c r="E166" s="2"/>
      <c r="F166">
        <v>3224.0836002000001</v>
      </c>
      <c r="G166" t="s">
        <v>37</v>
      </c>
      <c r="H166" t="s">
        <v>37</v>
      </c>
      <c r="I166" t="s">
        <v>37</v>
      </c>
      <c r="J166" t="s">
        <v>37</v>
      </c>
      <c r="K166" t="s">
        <v>37</v>
      </c>
      <c r="L166" t="s">
        <v>37</v>
      </c>
      <c r="M166" t="s">
        <v>37</v>
      </c>
      <c r="N166">
        <v>0</v>
      </c>
      <c r="O166">
        <v>0</v>
      </c>
      <c r="P166">
        <v>0</v>
      </c>
      <c r="Q166">
        <v>0</v>
      </c>
      <c r="R166">
        <v>-5.3606155395507803E-2</v>
      </c>
      <c r="S166">
        <v>-5.4302394866943299E-2</v>
      </c>
      <c r="T166">
        <v>0</v>
      </c>
      <c r="U166">
        <v>160.70099999999999</v>
      </c>
      <c r="V166">
        <v>1.6990000000000001</v>
      </c>
      <c r="W166">
        <v>1.1819999999999999</v>
      </c>
      <c r="X166">
        <v>0.65200000000000002</v>
      </c>
      <c r="Y166" t="b">
        <v>1</v>
      </c>
      <c r="Z166" t="s">
        <v>50</v>
      </c>
      <c r="AA166" t="e">
        <f t="shared" si="38"/>
        <v>#VALUE!</v>
      </c>
      <c r="AB166">
        <f t="shared" si="33"/>
        <v>-5.3606155395507802</v>
      </c>
      <c r="AC166">
        <f t="shared" si="39"/>
        <v>32.895171486153366</v>
      </c>
      <c r="AD166" t="e">
        <f t="shared" si="40"/>
        <v>#VALUE!</v>
      </c>
      <c r="AE166" t="e">
        <f t="shared" ca="1" si="41"/>
        <v>#VALUE!</v>
      </c>
      <c r="AG166" s="2">
        <f t="shared" si="45"/>
        <v>3.0569500000183325E-2</v>
      </c>
      <c r="AH166" s="2">
        <f t="shared" si="46"/>
        <v>5.1808774000000994</v>
      </c>
      <c r="AI166">
        <v>2915.1791533000001</v>
      </c>
      <c r="AJ166">
        <v>245.193377142857</v>
      </c>
      <c r="AK166">
        <v>153.565965714285</v>
      </c>
      <c r="AL166" s="2">
        <f t="shared" si="42"/>
        <v>126.92618285714219</v>
      </c>
      <c r="AM166" s="2">
        <f t="shared" si="34"/>
        <v>137.5912480875601</v>
      </c>
      <c r="AN166" s="2">
        <f t="shared" si="43"/>
        <v>10.665065230417909</v>
      </c>
    </row>
    <row r="167" spans="1:40" x14ac:dyDescent="0.3">
      <c r="A167">
        <f t="shared" si="35"/>
        <v>0</v>
      </c>
      <c r="B167" s="2">
        <f t="shared" si="36"/>
        <v>16.05199999994511</v>
      </c>
      <c r="C167" s="2" t="e">
        <f t="shared" si="44"/>
        <v>#VALUE!</v>
      </c>
      <c r="D167" s="2">
        <f t="shared" si="37"/>
        <v>2.4243546000002425</v>
      </c>
      <c r="E167" s="2"/>
      <c r="F167">
        <v>3224.0996522</v>
      </c>
      <c r="G167" t="s">
        <v>37</v>
      </c>
      <c r="H167" t="s">
        <v>37</v>
      </c>
      <c r="I167" t="s">
        <v>37</v>
      </c>
      <c r="J167" t="s">
        <v>37</v>
      </c>
      <c r="K167" t="s">
        <v>37</v>
      </c>
      <c r="L167" t="s">
        <v>37</v>
      </c>
      <c r="M167" t="s">
        <v>37</v>
      </c>
      <c r="N167">
        <v>0</v>
      </c>
      <c r="O167">
        <v>0</v>
      </c>
      <c r="P167">
        <v>0</v>
      </c>
      <c r="Q167">
        <v>0</v>
      </c>
      <c r="R167">
        <v>-5.3606155395507803E-2</v>
      </c>
      <c r="S167">
        <v>-5.4302394866943299E-2</v>
      </c>
      <c r="T167">
        <v>0</v>
      </c>
      <c r="U167">
        <v>160.70099999999999</v>
      </c>
      <c r="V167">
        <v>1.6990000000000001</v>
      </c>
      <c r="W167">
        <v>1.1819999999999999</v>
      </c>
      <c r="X167">
        <v>0.65200000000000002</v>
      </c>
      <c r="Y167" t="b">
        <v>1</v>
      </c>
      <c r="Z167" t="s">
        <v>50</v>
      </c>
      <c r="AA167" t="e">
        <f t="shared" si="38"/>
        <v>#VALUE!</v>
      </c>
      <c r="AB167">
        <f t="shared" si="33"/>
        <v>-5.3606155395507802</v>
      </c>
      <c r="AC167">
        <f t="shared" si="39"/>
        <v>32.809122885512792</v>
      </c>
      <c r="AD167" t="e">
        <f t="shared" si="40"/>
        <v>#VALUE!</v>
      </c>
      <c r="AE167" t="e">
        <f t="shared" ca="1" si="41"/>
        <v>#VALUE!</v>
      </c>
      <c r="AG167" s="2">
        <f t="shared" si="45"/>
        <v>4.6068199999808712E-2</v>
      </c>
      <c r="AH167" s="2">
        <f t="shared" si="46"/>
        <v>5.2269455999999082</v>
      </c>
      <c r="AI167">
        <v>2915.2252214999999</v>
      </c>
      <c r="AJ167">
        <v>245.899577142857</v>
      </c>
      <c r="AK167">
        <v>155.531685714285</v>
      </c>
      <c r="AL167" s="2">
        <f t="shared" si="42"/>
        <v>128.89190285714221</v>
      </c>
      <c r="AM167" s="2">
        <f t="shared" si="34"/>
        <v>140.05047128726846</v>
      </c>
      <c r="AN167" s="2">
        <f t="shared" si="43"/>
        <v>11.158568430126252</v>
      </c>
    </row>
    <row r="168" spans="1:40" x14ac:dyDescent="0.3">
      <c r="A168">
        <f t="shared" si="35"/>
        <v>0</v>
      </c>
      <c r="B168" s="2">
        <f t="shared" si="36"/>
        <v>15.942099999847414</v>
      </c>
      <c r="C168" s="2" t="e">
        <f t="shared" si="44"/>
        <v>#VALUE!</v>
      </c>
      <c r="D168" s="2">
        <f t="shared" si="37"/>
        <v>2.4402967000000899</v>
      </c>
      <c r="E168" s="2"/>
      <c r="F168">
        <v>3224.1155942999999</v>
      </c>
      <c r="G168" t="s">
        <v>37</v>
      </c>
      <c r="H168" t="s">
        <v>37</v>
      </c>
      <c r="I168" t="s">
        <v>37</v>
      </c>
      <c r="J168" t="s">
        <v>37</v>
      </c>
      <c r="K168" t="s">
        <v>37</v>
      </c>
      <c r="L168" t="s">
        <v>37</v>
      </c>
      <c r="M168" t="s">
        <v>37</v>
      </c>
      <c r="N168">
        <v>0</v>
      </c>
      <c r="O168">
        <v>0</v>
      </c>
      <c r="P168">
        <v>0</v>
      </c>
      <c r="Q168">
        <v>0</v>
      </c>
      <c r="R168">
        <v>-5.00901947021484E-2</v>
      </c>
      <c r="S168">
        <v>-3.1463598251342699E-2</v>
      </c>
      <c r="T168">
        <v>0</v>
      </c>
      <c r="U168">
        <v>160.673</v>
      </c>
      <c r="V168">
        <v>1.5429999999999999</v>
      </c>
      <c r="W168">
        <v>1.1970000000000001</v>
      </c>
      <c r="X168">
        <v>0.65400000000000003</v>
      </c>
      <c r="Y168" t="b">
        <v>1</v>
      </c>
      <c r="Z168" t="s">
        <v>50</v>
      </c>
      <c r="AA168" t="e">
        <f t="shared" si="38"/>
        <v>#VALUE!</v>
      </c>
      <c r="AB168">
        <f t="shared" si="33"/>
        <v>-5.0090194702148398</v>
      </c>
      <c r="AC168">
        <f t="shared" si="39"/>
        <v>32.723663416520537</v>
      </c>
      <c r="AD168" t="e">
        <f t="shared" si="40"/>
        <v>#VALUE!</v>
      </c>
      <c r="AE168" t="e">
        <f t="shared" ca="1" si="41"/>
        <v>#VALUE!</v>
      </c>
      <c r="AG168" s="2">
        <f t="shared" si="45"/>
        <v>1.5468300000065938E-2</v>
      </c>
      <c r="AH168" s="2">
        <f t="shared" si="46"/>
        <v>5.2424138999999741</v>
      </c>
      <c r="AI168">
        <v>2915.2406897999999</v>
      </c>
      <c r="AJ168">
        <v>246.58405714285701</v>
      </c>
      <c r="AK168">
        <v>157.988165714285</v>
      </c>
      <c r="AL168" s="2">
        <f t="shared" si="42"/>
        <v>131.34838285714221</v>
      </c>
      <c r="AM168" s="2">
        <f t="shared" si="34"/>
        <v>140.87808026296551</v>
      </c>
      <c r="AN168" s="2">
        <f t="shared" si="43"/>
        <v>9.5296974058232991</v>
      </c>
    </row>
    <row r="169" spans="1:40" x14ac:dyDescent="0.3">
      <c r="A169">
        <f t="shared" si="35"/>
        <v>0</v>
      </c>
      <c r="B169" s="2">
        <f t="shared" si="36"/>
        <v>15.1930000001812</v>
      </c>
      <c r="C169" s="2" t="e">
        <f t="shared" si="44"/>
        <v>#VALUE!</v>
      </c>
      <c r="D169" s="2">
        <f t="shared" si="37"/>
        <v>2.4554897000002711</v>
      </c>
      <c r="E169" s="2"/>
      <c r="F169">
        <v>3224.1307873000001</v>
      </c>
      <c r="G169" t="s">
        <v>37</v>
      </c>
      <c r="H169" t="s">
        <v>37</v>
      </c>
      <c r="I169" t="s">
        <v>37</v>
      </c>
      <c r="J169" t="s">
        <v>37</v>
      </c>
      <c r="K169" t="s">
        <v>37</v>
      </c>
      <c r="L169" t="s">
        <v>37</v>
      </c>
      <c r="M169" t="s">
        <v>37</v>
      </c>
      <c r="N169">
        <v>0</v>
      </c>
      <c r="O169">
        <v>0</v>
      </c>
      <c r="P169">
        <v>0</v>
      </c>
      <c r="Q169">
        <v>0</v>
      </c>
      <c r="R169">
        <v>-5.00901947021484E-2</v>
      </c>
      <c r="S169">
        <v>-3.1463598251342699E-2</v>
      </c>
      <c r="T169">
        <v>0</v>
      </c>
      <c r="U169">
        <v>160.673</v>
      </c>
      <c r="V169">
        <v>1.5429999999999999</v>
      </c>
      <c r="W169">
        <v>1.1970000000000001</v>
      </c>
      <c r="X169">
        <v>0.65400000000000003</v>
      </c>
      <c r="Y169" t="b">
        <v>1</v>
      </c>
      <c r="Z169" t="s">
        <v>50</v>
      </c>
      <c r="AA169" t="e">
        <f t="shared" si="38"/>
        <v>#VALUE!</v>
      </c>
      <c r="AB169">
        <f t="shared" si="33"/>
        <v>-5.0090194702148398</v>
      </c>
      <c r="AC169">
        <f t="shared" si="39"/>
        <v>32.647561383708656</v>
      </c>
      <c r="AD169" t="e">
        <f t="shared" si="40"/>
        <v>#VALUE!</v>
      </c>
      <c r="AE169" t="e">
        <f t="shared" ca="1" si="41"/>
        <v>#VALUE!</v>
      </c>
      <c r="AG169" s="2">
        <f t="shared" si="45"/>
        <v>4.5672199999899021E-2</v>
      </c>
      <c r="AH169" s="2">
        <f t="shared" si="46"/>
        <v>5.2880860999998731</v>
      </c>
      <c r="AI169">
        <v>2915.2863619999998</v>
      </c>
      <c r="AJ169">
        <v>247.25089714285701</v>
      </c>
      <c r="AK169">
        <v>159.96436571428501</v>
      </c>
      <c r="AL169" s="2">
        <f t="shared" si="42"/>
        <v>133.32458285714222</v>
      </c>
      <c r="AM169" s="2">
        <f t="shared" si="34"/>
        <v>143.32710558869977</v>
      </c>
      <c r="AN169" s="2">
        <f t="shared" si="43"/>
        <v>10.002522731557548</v>
      </c>
    </row>
    <row r="170" spans="1:40" x14ac:dyDescent="0.3">
      <c r="A170">
        <f t="shared" si="35"/>
        <v>0</v>
      </c>
      <c r="B170" s="2">
        <f t="shared" si="36"/>
        <v>15.731099999811704</v>
      </c>
      <c r="C170" s="2" t="e">
        <f t="shared" si="44"/>
        <v>#VALUE!</v>
      </c>
      <c r="D170" s="2">
        <f t="shared" si="37"/>
        <v>2.4712208000000828</v>
      </c>
      <c r="E170" s="2"/>
      <c r="F170">
        <v>3224.1465183999999</v>
      </c>
      <c r="G170" t="s">
        <v>37</v>
      </c>
      <c r="H170" t="s">
        <v>37</v>
      </c>
      <c r="I170" t="s">
        <v>37</v>
      </c>
      <c r="J170" t="s">
        <v>37</v>
      </c>
      <c r="K170" t="s">
        <v>37</v>
      </c>
      <c r="L170" t="s">
        <v>37</v>
      </c>
      <c r="M170" t="s">
        <v>37</v>
      </c>
      <c r="N170">
        <v>0</v>
      </c>
      <c r="O170">
        <v>0</v>
      </c>
      <c r="P170">
        <v>0</v>
      </c>
      <c r="Q170">
        <v>0</v>
      </c>
      <c r="R170">
        <v>-5.00901947021484E-2</v>
      </c>
      <c r="S170">
        <v>-3.1463598251342699E-2</v>
      </c>
      <c r="T170">
        <v>0</v>
      </c>
      <c r="U170">
        <v>160.673</v>
      </c>
      <c r="V170">
        <v>1.5429999999999999</v>
      </c>
      <c r="W170">
        <v>1.1970000000000001</v>
      </c>
      <c r="X170">
        <v>0.65400000000000003</v>
      </c>
      <c r="Y170" t="b">
        <v>1</v>
      </c>
      <c r="Z170" t="s">
        <v>50</v>
      </c>
      <c r="AA170" t="e">
        <f t="shared" si="38"/>
        <v>#VALUE!</v>
      </c>
      <c r="AB170">
        <f t="shared" si="33"/>
        <v>-5.0090194702148398</v>
      </c>
      <c r="AC170">
        <f t="shared" si="39"/>
        <v>32.5687639975217</v>
      </c>
      <c r="AD170" t="e">
        <f t="shared" si="40"/>
        <v>#VALUE!</v>
      </c>
      <c r="AE170" t="e">
        <f t="shared" ca="1" si="41"/>
        <v>#VALUE!</v>
      </c>
      <c r="AG170" s="2">
        <f t="shared" si="45"/>
        <v>3.1191600000056496E-2</v>
      </c>
      <c r="AH170" s="2">
        <f t="shared" si="46"/>
        <v>5.3192776999999296</v>
      </c>
      <c r="AI170">
        <v>2915.3175535999999</v>
      </c>
      <c r="AJ170">
        <v>247.898057142857</v>
      </c>
      <c r="AK170">
        <v>161.945805714285</v>
      </c>
      <c r="AL170" s="2">
        <f t="shared" si="42"/>
        <v>135.30602285714221</v>
      </c>
      <c r="AM170" s="2">
        <f t="shared" si="34"/>
        <v>145.00421569463322</v>
      </c>
      <c r="AN170" s="2">
        <f t="shared" si="43"/>
        <v>9.6981928374910069</v>
      </c>
    </row>
    <row r="171" spans="1:40" x14ac:dyDescent="0.3">
      <c r="A171">
        <f t="shared" si="35"/>
        <v>0</v>
      </c>
      <c r="B171" s="2">
        <f t="shared" si="36"/>
        <v>15.572400000110065</v>
      </c>
      <c r="C171" s="2" t="e">
        <f t="shared" si="44"/>
        <v>#VALUE!</v>
      </c>
      <c r="D171" s="2">
        <f t="shared" si="37"/>
        <v>2.4867932000001929</v>
      </c>
      <c r="E171" s="2"/>
      <c r="F171">
        <v>3224.1620908</v>
      </c>
      <c r="G171" t="s">
        <v>37</v>
      </c>
      <c r="H171" t="s">
        <v>37</v>
      </c>
      <c r="I171" t="s">
        <v>37</v>
      </c>
      <c r="J171" t="s">
        <v>37</v>
      </c>
      <c r="K171" t="s">
        <v>37</v>
      </c>
      <c r="L171" t="s">
        <v>37</v>
      </c>
      <c r="M171" t="s">
        <v>37</v>
      </c>
      <c r="N171">
        <v>0</v>
      </c>
      <c r="O171">
        <v>0</v>
      </c>
      <c r="P171">
        <v>0</v>
      </c>
      <c r="Q171">
        <v>0</v>
      </c>
      <c r="R171">
        <v>-5.00901947021484E-2</v>
      </c>
      <c r="S171">
        <v>-3.1463598251342699E-2</v>
      </c>
      <c r="T171">
        <v>0</v>
      </c>
      <c r="U171">
        <v>160.673</v>
      </c>
      <c r="V171">
        <v>1.5429999999999999</v>
      </c>
      <c r="W171">
        <v>1.1970000000000001</v>
      </c>
      <c r="X171">
        <v>0.65400000000000003</v>
      </c>
      <c r="Y171" t="b">
        <v>1</v>
      </c>
      <c r="Z171" t="s">
        <v>50</v>
      </c>
      <c r="AA171" t="e">
        <f t="shared" si="38"/>
        <v>#VALUE!</v>
      </c>
      <c r="AB171">
        <f t="shared" si="33"/>
        <v>-5.0090194702148398</v>
      </c>
      <c r="AC171">
        <f t="shared" si="39"/>
        <v>32.490761542723178</v>
      </c>
      <c r="AD171" t="e">
        <f t="shared" si="40"/>
        <v>#VALUE!</v>
      </c>
      <c r="AE171" t="e">
        <f t="shared" ca="1" si="41"/>
        <v>#VALUE!</v>
      </c>
      <c r="AG171" s="2">
        <f t="shared" si="45"/>
        <v>3.1109500000184198E-2</v>
      </c>
      <c r="AH171" s="2">
        <f t="shared" si="46"/>
        <v>5.3503872000001138</v>
      </c>
      <c r="AI171">
        <v>2915.3486631000001</v>
      </c>
      <c r="AJ171">
        <v>248.53537714285699</v>
      </c>
      <c r="AK171">
        <v>163.92200571428501</v>
      </c>
      <c r="AL171" s="2">
        <f t="shared" si="42"/>
        <v>137.28222285714222</v>
      </c>
      <c r="AM171" s="2">
        <f t="shared" si="34"/>
        <v>146.68052740275866</v>
      </c>
      <c r="AN171" s="2">
        <f t="shared" si="43"/>
        <v>9.3983045456164405</v>
      </c>
    </row>
    <row r="172" spans="1:40" x14ac:dyDescent="0.3">
      <c r="A172">
        <f t="shared" si="35"/>
        <v>0</v>
      </c>
      <c r="B172" s="2">
        <f t="shared" si="36"/>
        <v>15.963499999998021</v>
      </c>
      <c r="C172" s="2" t="e">
        <f t="shared" si="44"/>
        <v>#VALUE!</v>
      </c>
      <c r="D172" s="2">
        <f t="shared" si="37"/>
        <v>2.5027567000001909</v>
      </c>
      <c r="E172" s="2"/>
      <c r="F172">
        <v>3224.1780543</v>
      </c>
      <c r="G172" t="s">
        <v>37</v>
      </c>
      <c r="H172" t="s">
        <v>37</v>
      </c>
      <c r="I172" t="s">
        <v>37</v>
      </c>
      <c r="J172" t="s">
        <v>37</v>
      </c>
      <c r="K172" t="s">
        <v>37</v>
      </c>
      <c r="L172" t="s">
        <v>37</v>
      </c>
      <c r="M172" t="s">
        <v>37</v>
      </c>
      <c r="N172">
        <v>0</v>
      </c>
      <c r="O172">
        <v>0</v>
      </c>
      <c r="P172">
        <v>0</v>
      </c>
      <c r="Q172">
        <v>0</v>
      </c>
      <c r="R172">
        <v>-1.7102775573730401E-2</v>
      </c>
      <c r="S172">
        <v>2.00929737091064E-3</v>
      </c>
      <c r="T172">
        <v>0</v>
      </c>
      <c r="U172">
        <v>160.71600000000001</v>
      </c>
      <c r="V172">
        <v>1.139</v>
      </c>
      <c r="W172">
        <v>1.077</v>
      </c>
      <c r="X172">
        <v>0.65500000000000003</v>
      </c>
      <c r="Y172" t="b">
        <v>1</v>
      </c>
      <c r="Z172" t="s">
        <v>50</v>
      </c>
      <c r="AA172" t="e">
        <f t="shared" si="38"/>
        <v>#VALUE!</v>
      </c>
      <c r="AB172">
        <f t="shared" si="33"/>
        <v>-1.71027755737304</v>
      </c>
      <c r="AC172">
        <f t="shared" si="39"/>
        <v>32.410800060410416</v>
      </c>
      <c r="AD172" t="e">
        <f t="shared" si="40"/>
        <v>#VALUE!</v>
      </c>
      <c r="AE172" t="e">
        <f t="shared" ca="1" si="41"/>
        <v>#VALUE!</v>
      </c>
      <c r="AG172" s="2">
        <f t="shared" si="45"/>
        <v>3.097170000000915E-2</v>
      </c>
      <c r="AH172" s="2">
        <f t="shared" si="46"/>
        <v>5.381358900000123</v>
      </c>
      <c r="AI172">
        <v>2915.3796348000001</v>
      </c>
      <c r="AJ172">
        <v>249.14677714285699</v>
      </c>
      <c r="AK172">
        <v>165.872005714285</v>
      </c>
      <c r="AL172" s="2">
        <f t="shared" si="42"/>
        <v>139.2322228571422</v>
      </c>
      <c r="AM172" s="2">
        <f t="shared" si="34"/>
        <v>148.35294153759111</v>
      </c>
      <c r="AN172" s="2">
        <f t="shared" si="43"/>
        <v>9.1207186804489027</v>
      </c>
    </row>
    <row r="173" spans="1:40" x14ac:dyDescent="0.3">
      <c r="A173">
        <f t="shared" si="35"/>
        <v>0</v>
      </c>
      <c r="B173" s="2">
        <f t="shared" si="36"/>
        <v>15.369000000191591</v>
      </c>
      <c r="C173" s="2" t="e">
        <f t="shared" si="44"/>
        <v>#VALUE!</v>
      </c>
      <c r="D173" s="2">
        <f t="shared" si="37"/>
        <v>2.5181257000003825</v>
      </c>
      <c r="E173" s="2"/>
      <c r="F173">
        <v>3224.1934233000002</v>
      </c>
      <c r="G173" t="s">
        <v>37</v>
      </c>
      <c r="H173" t="s">
        <v>37</v>
      </c>
      <c r="I173" t="s">
        <v>37</v>
      </c>
      <c r="J173" t="s">
        <v>37</v>
      </c>
      <c r="K173" t="s">
        <v>37</v>
      </c>
      <c r="L173" t="s">
        <v>37</v>
      </c>
      <c r="M173" t="s">
        <v>37</v>
      </c>
      <c r="N173">
        <v>0</v>
      </c>
      <c r="O173">
        <v>0</v>
      </c>
      <c r="P173">
        <v>0</v>
      </c>
      <c r="Q173">
        <v>0</v>
      </c>
      <c r="R173">
        <v>-1.7102775573730401E-2</v>
      </c>
      <c r="S173">
        <v>2.00929737091064E-3</v>
      </c>
      <c r="T173">
        <v>0</v>
      </c>
      <c r="U173">
        <v>160.71600000000001</v>
      </c>
      <c r="V173">
        <v>1.139</v>
      </c>
      <c r="W173">
        <v>1.077</v>
      </c>
      <c r="X173">
        <v>0.65500000000000003</v>
      </c>
      <c r="Y173" t="b">
        <v>1</v>
      </c>
      <c r="Z173" t="s">
        <v>50</v>
      </c>
      <c r="AA173" t="e">
        <f t="shared" si="38"/>
        <v>#VALUE!</v>
      </c>
      <c r="AB173">
        <f t="shared" si="33"/>
        <v>-1.71027755737304</v>
      </c>
      <c r="AC173">
        <f t="shared" si="39"/>
        <v>32.384514804630825</v>
      </c>
      <c r="AD173" t="e">
        <f t="shared" si="40"/>
        <v>#VALUE!</v>
      </c>
      <c r="AE173" t="e">
        <f t="shared" ca="1" si="41"/>
        <v>#VALUE!</v>
      </c>
      <c r="AG173" s="2">
        <f t="shared" si="45"/>
        <v>4.6042999999826861E-2</v>
      </c>
      <c r="AH173" s="2">
        <f t="shared" si="46"/>
        <v>5.4274018999999498</v>
      </c>
      <c r="AI173">
        <v>2915.4256777999999</v>
      </c>
      <c r="AJ173">
        <v>249.71867999999901</v>
      </c>
      <c r="AK173">
        <v>167.14187999999999</v>
      </c>
      <c r="AL173" s="2">
        <f t="shared" si="42"/>
        <v>140.5020971428572</v>
      </c>
      <c r="AM173" s="2">
        <f t="shared" si="34"/>
        <v>150.84555864945446</v>
      </c>
      <c r="AN173" s="2">
        <f t="shared" si="43"/>
        <v>10.343461506597265</v>
      </c>
    </row>
    <row r="174" spans="1:40" x14ac:dyDescent="0.3">
      <c r="A174">
        <f t="shared" si="35"/>
        <v>0</v>
      </c>
      <c r="B174" s="2">
        <f t="shared" si="36"/>
        <v>14.98509999964881</v>
      </c>
      <c r="C174" s="2" t="e">
        <f t="shared" si="44"/>
        <v>#VALUE!</v>
      </c>
      <c r="D174" s="2">
        <f t="shared" si="37"/>
        <v>2.5331108000000313</v>
      </c>
      <c r="E174" s="2"/>
      <c r="F174">
        <v>3224.2084083999998</v>
      </c>
      <c r="G174" t="s">
        <v>37</v>
      </c>
      <c r="H174" t="s">
        <v>37</v>
      </c>
      <c r="I174" t="s">
        <v>37</v>
      </c>
      <c r="J174" t="s">
        <v>37</v>
      </c>
      <c r="K174" t="s">
        <v>37</v>
      </c>
      <c r="L174" t="s">
        <v>37</v>
      </c>
      <c r="M174" t="s">
        <v>37</v>
      </c>
      <c r="N174">
        <v>0</v>
      </c>
      <c r="O174">
        <v>0</v>
      </c>
      <c r="P174">
        <v>0</v>
      </c>
      <c r="Q174">
        <v>0</v>
      </c>
      <c r="R174">
        <v>-1.7102775573730401E-2</v>
      </c>
      <c r="S174">
        <v>2.00929737091064E-3</v>
      </c>
      <c r="T174">
        <v>0</v>
      </c>
      <c r="U174">
        <v>160.71600000000001</v>
      </c>
      <c r="V174">
        <v>1.139</v>
      </c>
      <c r="W174">
        <v>1.077</v>
      </c>
      <c r="X174">
        <v>0.65500000000000003</v>
      </c>
      <c r="Y174" t="b">
        <v>1</v>
      </c>
      <c r="Z174" t="s">
        <v>50</v>
      </c>
      <c r="AA174" t="e">
        <f t="shared" si="38"/>
        <v>#VALUE!</v>
      </c>
      <c r="AB174">
        <f t="shared" si="33"/>
        <v>-1.71027755737304</v>
      </c>
      <c r="AC174">
        <f t="shared" si="39"/>
        <v>32.358886124406432</v>
      </c>
      <c r="AD174" t="e">
        <f t="shared" si="40"/>
        <v>#VALUE!</v>
      </c>
      <c r="AE174" t="e">
        <f t="shared" ca="1" si="41"/>
        <v>#VALUE!</v>
      </c>
      <c r="AG174" s="2">
        <f t="shared" si="45"/>
        <v>7.7441700000235869E-2</v>
      </c>
      <c r="AH174" s="2">
        <f t="shared" si="46"/>
        <v>5.5048436000001857</v>
      </c>
      <c r="AI174">
        <v>2915.5031195000001</v>
      </c>
      <c r="AJ174">
        <v>250.275959999999</v>
      </c>
      <c r="AK174">
        <v>169.09187999999901</v>
      </c>
      <c r="AL174" s="2">
        <f t="shared" si="42"/>
        <v>142.45209714285622</v>
      </c>
      <c r="AM174" s="2">
        <f t="shared" si="34"/>
        <v>155.05473684314586</v>
      </c>
      <c r="AN174" s="2">
        <f t="shared" si="43"/>
        <v>12.602639700289643</v>
      </c>
    </row>
    <row r="175" spans="1:40" x14ac:dyDescent="0.3">
      <c r="A175">
        <f t="shared" si="35"/>
        <v>0</v>
      </c>
      <c r="B175" s="2">
        <f t="shared" si="36"/>
        <v>15.848100000312115</v>
      </c>
      <c r="C175" s="2" t="e">
        <f t="shared" si="44"/>
        <v>#VALUE!</v>
      </c>
      <c r="D175" s="2">
        <f t="shared" si="37"/>
        <v>2.5489589000003434</v>
      </c>
      <c r="E175" s="2"/>
      <c r="F175">
        <v>3224.2242565000001</v>
      </c>
      <c r="G175" t="s">
        <v>37</v>
      </c>
      <c r="H175" t="s">
        <v>37</v>
      </c>
      <c r="I175" t="s">
        <v>37</v>
      </c>
      <c r="J175" t="s">
        <v>37</v>
      </c>
      <c r="K175" t="s">
        <v>37</v>
      </c>
      <c r="L175" t="s">
        <v>37</v>
      </c>
      <c r="M175" t="s">
        <v>37</v>
      </c>
      <c r="N175">
        <v>0</v>
      </c>
      <c r="O175">
        <v>0</v>
      </c>
      <c r="P175">
        <v>0</v>
      </c>
      <c r="Q175">
        <v>0</v>
      </c>
      <c r="R175">
        <v>-1.7102775573730401E-2</v>
      </c>
      <c r="S175">
        <v>2.00929737091064E-3</v>
      </c>
      <c r="T175">
        <v>0</v>
      </c>
      <c r="U175">
        <v>160.71600000000001</v>
      </c>
      <c r="V175">
        <v>1.139</v>
      </c>
      <c r="W175">
        <v>1.077</v>
      </c>
      <c r="X175">
        <v>0.65500000000000003</v>
      </c>
      <c r="Y175" t="b">
        <v>1</v>
      </c>
      <c r="Z175" t="s">
        <v>50</v>
      </c>
      <c r="AA175" t="e">
        <f t="shared" si="38"/>
        <v>#VALUE!</v>
      </c>
      <c r="AB175">
        <f t="shared" si="33"/>
        <v>-1.71027755737304</v>
      </c>
      <c r="AC175">
        <f t="shared" si="39"/>
        <v>32.331781474648892</v>
      </c>
      <c r="AD175" t="e">
        <f t="shared" si="40"/>
        <v>#VALUE!</v>
      </c>
      <c r="AE175" t="e">
        <f t="shared" ca="1" si="41"/>
        <v>#VALUE!</v>
      </c>
      <c r="AG175" s="2">
        <f t="shared" si="45"/>
        <v>1.6216699999858974E-2</v>
      </c>
      <c r="AH175" s="2">
        <f t="shared" si="46"/>
        <v>5.5210603000000447</v>
      </c>
      <c r="AI175">
        <v>2915.5193362</v>
      </c>
      <c r="AJ175">
        <v>250.823399999999</v>
      </c>
      <c r="AK175">
        <v>171.03664000000001</v>
      </c>
      <c r="AL175" s="2">
        <f t="shared" si="42"/>
        <v>144.39685714285721</v>
      </c>
      <c r="AM175" s="2">
        <f t="shared" si="34"/>
        <v>155.93875350040287</v>
      </c>
      <c r="AN175" s="2">
        <f t="shared" si="43"/>
        <v>11.541896357545653</v>
      </c>
    </row>
    <row r="176" spans="1:40" x14ac:dyDescent="0.3">
      <c r="A176">
        <f t="shared" si="35"/>
        <v>0</v>
      </c>
      <c r="B176" s="2">
        <f t="shared" si="36"/>
        <v>16.091899999992165</v>
      </c>
      <c r="C176" s="2" t="e">
        <f t="shared" si="44"/>
        <v>#VALUE!</v>
      </c>
      <c r="D176" s="2">
        <f t="shared" si="37"/>
        <v>2.5650508000003356</v>
      </c>
      <c r="E176" s="2"/>
      <c r="F176">
        <v>3224.2403484000001</v>
      </c>
      <c r="G176" t="s">
        <v>37</v>
      </c>
      <c r="H176" t="s">
        <v>37</v>
      </c>
      <c r="I176" t="s">
        <v>37</v>
      </c>
      <c r="J176" t="s">
        <v>37</v>
      </c>
      <c r="K176" t="s">
        <v>37</v>
      </c>
      <c r="L176" t="s">
        <v>37</v>
      </c>
      <c r="M176" t="s">
        <v>37</v>
      </c>
      <c r="N176">
        <v>0</v>
      </c>
      <c r="O176">
        <v>0</v>
      </c>
      <c r="P176">
        <v>0</v>
      </c>
      <c r="Q176">
        <v>0</v>
      </c>
      <c r="R176">
        <v>-1.7102775573730401E-2</v>
      </c>
      <c r="S176">
        <v>2.00929737091064E-3</v>
      </c>
      <c r="T176">
        <v>0</v>
      </c>
      <c r="U176">
        <v>160.71600000000001</v>
      </c>
      <c r="V176">
        <v>1.139</v>
      </c>
      <c r="W176">
        <v>1.077</v>
      </c>
      <c r="X176">
        <v>0.65500000000000003</v>
      </c>
      <c r="Y176" t="b">
        <v>1</v>
      </c>
      <c r="Z176" t="s">
        <v>50</v>
      </c>
      <c r="AA176" t="e">
        <f t="shared" si="38"/>
        <v>#VALUE!</v>
      </c>
      <c r="AB176">
        <f t="shared" si="33"/>
        <v>-1.71027755737304</v>
      </c>
      <c r="AC176">
        <f t="shared" si="39"/>
        <v>32.304259859223414</v>
      </c>
      <c r="AD176" t="e">
        <f t="shared" si="40"/>
        <v>#VALUE!</v>
      </c>
      <c r="AE176" t="e">
        <f t="shared" ca="1" si="41"/>
        <v>#VALUE!</v>
      </c>
      <c r="AG176" s="2">
        <f t="shared" si="45"/>
        <v>3.1674800000018877E-2</v>
      </c>
      <c r="AH176" s="2">
        <f t="shared" si="46"/>
        <v>5.5527351000000635</v>
      </c>
      <c r="AI176">
        <v>2915.551011</v>
      </c>
      <c r="AJ176">
        <v>251.356079999999</v>
      </c>
      <c r="AK176">
        <v>172.97615999999999</v>
      </c>
      <c r="AL176" s="2">
        <f t="shared" si="42"/>
        <v>146.3363771428572</v>
      </c>
      <c r="AM176" s="2">
        <f t="shared" si="34"/>
        <v>157.66796509990084</v>
      </c>
      <c r="AN176" s="2">
        <f t="shared" si="43"/>
        <v>11.331587957043638</v>
      </c>
    </row>
    <row r="177" spans="1:40" x14ac:dyDescent="0.3">
      <c r="A177">
        <f t="shared" si="35"/>
        <v>0</v>
      </c>
      <c r="B177" s="2">
        <f t="shared" si="36"/>
        <v>15.267400000084308</v>
      </c>
      <c r="C177" s="2" t="e">
        <f t="shared" si="44"/>
        <v>#VALUE!</v>
      </c>
      <c r="D177" s="2">
        <f t="shared" si="37"/>
        <v>2.5803182000004199</v>
      </c>
      <c r="E177" s="2"/>
      <c r="F177">
        <v>3224.2556158000002</v>
      </c>
      <c r="G177" t="s">
        <v>37</v>
      </c>
      <c r="H177" t="s">
        <v>37</v>
      </c>
      <c r="I177" t="s">
        <v>37</v>
      </c>
      <c r="J177" t="s">
        <v>37</v>
      </c>
      <c r="K177" t="s">
        <v>37</v>
      </c>
      <c r="L177" t="s">
        <v>37</v>
      </c>
      <c r="M177" t="s">
        <v>37</v>
      </c>
      <c r="N177">
        <v>0</v>
      </c>
      <c r="O177">
        <v>0</v>
      </c>
      <c r="P177">
        <v>0</v>
      </c>
      <c r="Q177">
        <v>0</v>
      </c>
      <c r="R177">
        <v>1.07672138214111E-2</v>
      </c>
      <c r="S177">
        <v>9.3061246871948208E-3</v>
      </c>
      <c r="T177">
        <v>0</v>
      </c>
      <c r="U177">
        <v>160.73699999999999</v>
      </c>
      <c r="V177">
        <v>0.60399999999999998</v>
      </c>
      <c r="W177">
        <v>0.623</v>
      </c>
      <c r="X177">
        <v>0.65900000000000003</v>
      </c>
      <c r="Y177" t="b">
        <v>1</v>
      </c>
      <c r="Z177" t="s">
        <v>50</v>
      </c>
      <c r="AA177" t="e">
        <f t="shared" si="38"/>
        <v>#VALUE!</v>
      </c>
      <c r="AB177">
        <f t="shared" si="33"/>
        <v>1.0767213821411099</v>
      </c>
      <c r="AC177">
        <f t="shared" si="39"/>
        <v>32.27814836764383</v>
      </c>
      <c r="AD177" t="e">
        <f t="shared" si="40"/>
        <v>#VALUE!</v>
      </c>
      <c r="AE177" t="e">
        <f t="shared" ca="1" si="41"/>
        <v>#VALUE!</v>
      </c>
      <c r="AG177" s="2">
        <f t="shared" si="45"/>
        <v>1.5472799999770359E-2</v>
      </c>
      <c r="AH177" s="2">
        <f t="shared" si="46"/>
        <v>5.5682078999998339</v>
      </c>
      <c r="AI177">
        <v>2915.5664837999998</v>
      </c>
      <c r="AJ177">
        <v>251.888759999999</v>
      </c>
      <c r="AK177">
        <v>174.91567999999901</v>
      </c>
      <c r="AL177" s="2">
        <f t="shared" si="42"/>
        <v>148.27589714285622</v>
      </c>
      <c r="AM177" s="2">
        <f t="shared" si="34"/>
        <v>158.51387011893536</v>
      </c>
      <c r="AN177" s="2">
        <f t="shared" si="43"/>
        <v>10.237972976079135</v>
      </c>
    </row>
    <row r="178" spans="1:40" x14ac:dyDescent="0.3">
      <c r="A178">
        <f t="shared" si="35"/>
        <v>0</v>
      </c>
      <c r="B178" s="2">
        <f t="shared" si="36"/>
        <v>15.444499999830441</v>
      </c>
      <c r="C178" s="2" t="e">
        <f t="shared" si="44"/>
        <v>#VALUE!</v>
      </c>
      <c r="D178" s="2">
        <f t="shared" si="37"/>
        <v>2.5957627000002503</v>
      </c>
      <c r="E178" s="2"/>
      <c r="F178">
        <v>3224.2710603</v>
      </c>
      <c r="G178">
        <v>195</v>
      </c>
      <c r="H178">
        <v>19.5</v>
      </c>
      <c r="I178">
        <v>195.738</v>
      </c>
      <c r="J178">
        <v>23.298999999999999</v>
      </c>
      <c r="K178">
        <v>195.738</v>
      </c>
      <c r="L178">
        <v>23.298999999999999</v>
      </c>
      <c r="M178" t="s">
        <v>37</v>
      </c>
      <c r="N178">
        <v>0</v>
      </c>
      <c r="O178">
        <v>0</v>
      </c>
      <c r="P178">
        <v>0</v>
      </c>
      <c r="Q178">
        <v>0</v>
      </c>
      <c r="R178">
        <v>1.07672138214111E-2</v>
      </c>
      <c r="S178">
        <v>9.3061246871948208E-3</v>
      </c>
      <c r="T178">
        <v>0</v>
      </c>
      <c r="U178">
        <v>160.73699999999999</v>
      </c>
      <c r="V178">
        <v>0.60399999999999998</v>
      </c>
      <c r="W178">
        <v>0.623</v>
      </c>
      <c r="X178">
        <v>0.65900000000000003</v>
      </c>
      <c r="Y178" t="b">
        <v>1</v>
      </c>
      <c r="Z178" t="s">
        <v>50</v>
      </c>
      <c r="AA178">
        <f t="shared" si="38"/>
        <v>192.91517857429793</v>
      </c>
      <c r="AB178">
        <f t="shared" si="33"/>
        <v>1.0767213821411099</v>
      </c>
      <c r="AC178">
        <f t="shared" si="39"/>
        <v>32.294777791030128</v>
      </c>
      <c r="AD178" t="e">
        <f t="shared" si="40"/>
        <v>#VALUE!</v>
      </c>
      <c r="AE178" t="e">
        <f t="shared" ca="1" si="41"/>
        <v>#VALUE!</v>
      </c>
      <c r="AG178" s="2">
        <f t="shared" si="45"/>
        <v>3.1388600000354927E-2</v>
      </c>
      <c r="AH178" s="2">
        <f t="shared" si="46"/>
        <v>5.5995965000001888</v>
      </c>
      <c r="AI178">
        <v>2915.5978724000001</v>
      </c>
      <c r="AJ178">
        <v>252.41376</v>
      </c>
      <c r="AK178">
        <v>177.16316</v>
      </c>
      <c r="AL178" s="2">
        <f t="shared" si="42"/>
        <v>150.52337714285721</v>
      </c>
      <c r="AM178" s="2">
        <f t="shared" si="34"/>
        <v>160.23229224176055</v>
      </c>
      <c r="AN178" s="2">
        <f t="shared" si="43"/>
        <v>9.7089150989033328</v>
      </c>
    </row>
    <row r="179" spans="1:40" x14ac:dyDescent="0.3">
      <c r="A179">
        <f t="shared" si="35"/>
        <v>0</v>
      </c>
      <c r="B179" s="2">
        <f t="shared" si="36"/>
        <v>15.341199999966193</v>
      </c>
      <c r="C179" s="2">
        <f t="shared" si="44"/>
        <v>0.26200000000000045</v>
      </c>
      <c r="D179" s="2">
        <f t="shared" si="37"/>
        <v>2.6111039000002165</v>
      </c>
      <c r="E179" s="2"/>
      <c r="F179">
        <v>3224.2864015</v>
      </c>
      <c r="G179">
        <v>195</v>
      </c>
      <c r="H179">
        <v>19.5</v>
      </c>
      <c r="I179">
        <v>195.86099999999999</v>
      </c>
      <c r="J179">
        <v>23.561</v>
      </c>
      <c r="K179">
        <v>195.86099999999999</v>
      </c>
      <c r="L179">
        <v>23.561</v>
      </c>
      <c r="M179" t="s">
        <v>37</v>
      </c>
      <c r="N179">
        <v>0</v>
      </c>
      <c r="O179">
        <v>0</v>
      </c>
      <c r="P179">
        <v>0</v>
      </c>
      <c r="Q179">
        <v>0</v>
      </c>
      <c r="R179">
        <v>1.07672138214111E-2</v>
      </c>
      <c r="S179">
        <v>9.3061246871948208E-3</v>
      </c>
      <c r="T179">
        <v>0</v>
      </c>
      <c r="U179">
        <v>160.73699999999999</v>
      </c>
      <c r="V179">
        <v>0.60399999999999998</v>
      </c>
      <c r="W179">
        <v>0.623</v>
      </c>
      <c r="X179">
        <v>0.65900000000000003</v>
      </c>
      <c r="Y179" t="b">
        <v>1</v>
      </c>
      <c r="Z179" t="s">
        <v>50</v>
      </c>
      <c r="AA179">
        <f t="shared" si="38"/>
        <v>192.93048542056493</v>
      </c>
      <c r="AB179">
        <f t="shared" si="33"/>
        <v>1.0767213821411099</v>
      </c>
      <c r="AC179">
        <f t="shared" ref="AC179:AC242" si="47">AC178+(AB178*(D179-D178))</f>
        <v>32.311295989097793</v>
      </c>
      <c r="AD179">
        <f t="shared" si="40"/>
        <v>17.078194665383268</v>
      </c>
      <c r="AE179">
        <f t="shared" ca="1" si="41"/>
        <v>-2.3162192516145703</v>
      </c>
      <c r="AG179" s="2">
        <f t="shared" si="45"/>
        <v>3.0779899999743066E-2</v>
      </c>
      <c r="AH179" s="2">
        <f t="shared" si="46"/>
        <v>5.6303763999999319</v>
      </c>
      <c r="AI179">
        <v>2915.6286522999999</v>
      </c>
      <c r="AJ179">
        <v>252.92184</v>
      </c>
      <c r="AK179">
        <v>179.10792000000001</v>
      </c>
      <c r="AL179" s="2">
        <f t="shared" si="42"/>
        <v>152.46813714285722</v>
      </c>
      <c r="AM179" s="2">
        <f t="shared" si="34"/>
        <v>161.92046019096279</v>
      </c>
      <c r="AN179" s="2">
        <f t="shared" si="43"/>
        <v>9.4523230481055691</v>
      </c>
    </row>
    <row r="180" spans="1:40" x14ac:dyDescent="0.3">
      <c r="A180">
        <f t="shared" si="35"/>
        <v>0</v>
      </c>
      <c r="B180" s="2">
        <f t="shared" si="36"/>
        <v>15.604700000039884</v>
      </c>
      <c r="C180" s="2">
        <f t="shared" si="44"/>
        <v>0.26200000000000045</v>
      </c>
      <c r="D180" s="2">
        <f t="shared" si="37"/>
        <v>2.6267086000002564</v>
      </c>
      <c r="E180" s="2"/>
      <c r="F180">
        <v>3224.3020062000001</v>
      </c>
      <c r="G180">
        <v>195</v>
      </c>
      <c r="H180">
        <v>19.5</v>
      </c>
      <c r="I180">
        <v>196.107</v>
      </c>
      <c r="J180">
        <v>23.823</v>
      </c>
      <c r="K180">
        <v>196.107</v>
      </c>
      <c r="L180">
        <v>23.823</v>
      </c>
      <c r="M180" t="s">
        <v>37</v>
      </c>
      <c r="N180">
        <v>0</v>
      </c>
      <c r="O180">
        <v>0</v>
      </c>
      <c r="P180">
        <v>0</v>
      </c>
      <c r="Q180">
        <v>0</v>
      </c>
      <c r="R180">
        <v>1.07672138214111E-2</v>
      </c>
      <c r="S180">
        <v>9.3061246871948208E-3</v>
      </c>
      <c r="T180">
        <v>0</v>
      </c>
      <c r="U180">
        <v>160.73699999999999</v>
      </c>
      <c r="V180">
        <v>0.60399999999999998</v>
      </c>
      <c r="W180">
        <v>0.623</v>
      </c>
      <c r="X180">
        <v>0.65900000000000003</v>
      </c>
      <c r="Y180" t="b">
        <v>1</v>
      </c>
      <c r="Z180" t="s">
        <v>50</v>
      </c>
      <c r="AA180">
        <f t="shared" si="38"/>
        <v>192.96109911309892</v>
      </c>
      <c r="AB180">
        <f t="shared" si="33"/>
        <v>1.0767213821411099</v>
      </c>
      <c r="AC180">
        <f t="shared" si="47"/>
        <v>32.328097903249734</v>
      </c>
      <c r="AD180">
        <f t="shared" si="40"/>
        <v>16.78981332542957</v>
      </c>
      <c r="AE180">
        <f t="shared" ca="1" si="41"/>
        <v>-4.8387558682523046</v>
      </c>
      <c r="AG180" s="2">
        <f t="shared" si="45"/>
        <v>4.5829500000309054E-2</v>
      </c>
      <c r="AH180" s="2">
        <f t="shared" si="46"/>
        <v>5.6762059000002409</v>
      </c>
      <c r="AI180">
        <v>2915.6744818000002</v>
      </c>
      <c r="AJ180">
        <v>253.41515999999999</v>
      </c>
      <c r="AK180">
        <v>181.04743999999999</v>
      </c>
      <c r="AL180" s="2">
        <f t="shared" si="42"/>
        <v>154.4076571428572</v>
      </c>
      <c r="AM180" s="2">
        <f t="shared" si="34"/>
        <v>164.43957015667925</v>
      </c>
      <c r="AN180" s="2">
        <f t="shared" si="43"/>
        <v>10.031913013822049</v>
      </c>
    </row>
    <row r="181" spans="1:40" x14ac:dyDescent="0.3">
      <c r="A181">
        <f t="shared" si="35"/>
        <v>0</v>
      </c>
      <c r="B181" s="2">
        <f t="shared" si="36"/>
        <v>15.234999999847787</v>
      </c>
      <c r="C181" s="2">
        <f t="shared" si="44"/>
        <v>0</v>
      </c>
      <c r="D181" s="2">
        <f t="shared" si="37"/>
        <v>2.6419436000001042</v>
      </c>
      <c r="E181" s="2"/>
      <c r="F181">
        <v>3224.3172411999999</v>
      </c>
      <c r="G181">
        <v>195</v>
      </c>
      <c r="H181">
        <v>19.5</v>
      </c>
      <c r="I181">
        <v>196.35300000000001</v>
      </c>
      <c r="J181">
        <v>23.823</v>
      </c>
      <c r="K181">
        <v>196.35300000000001</v>
      </c>
      <c r="L181">
        <v>23.823</v>
      </c>
      <c r="M181" t="s">
        <v>37</v>
      </c>
      <c r="N181">
        <v>0</v>
      </c>
      <c r="O181">
        <v>0</v>
      </c>
      <c r="P181">
        <v>0</v>
      </c>
      <c r="Q181">
        <v>0</v>
      </c>
      <c r="R181">
        <v>2.7816658020019501E-2</v>
      </c>
      <c r="S181">
        <v>-9.7884616851806605E-3</v>
      </c>
      <c r="T181">
        <v>0</v>
      </c>
      <c r="U181">
        <v>160.68299999999999</v>
      </c>
      <c r="V181">
        <v>0.376</v>
      </c>
      <c r="W181">
        <v>8.3000000000000004E-2</v>
      </c>
      <c r="X181">
        <v>0.65900000000000003</v>
      </c>
      <c r="Y181" t="b">
        <v>1</v>
      </c>
      <c r="Z181" t="s">
        <v>50</v>
      </c>
      <c r="AA181">
        <f t="shared" si="38"/>
        <v>192.99171280563291</v>
      </c>
      <c r="AB181">
        <f t="shared" si="33"/>
        <v>2.78166580200195</v>
      </c>
      <c r="AC181">
        <f t="shared" si="47"/>
        <v>32.344501753506492</v>
      </c>
      <c r="AD181">
        <f t="shared" si="40"/>
        <v>0</v>
      </c>
      <c r="AE181">
        <f t="shared" ca="1" si="41"/>
        <v>-7.33245435089467</v>
      </c>
      <c r="AG181" s="2">
        <f t="shared" si="45"/>
        <v>3.0716999999640393E-2</v>
      </c>
      <c r="AH181" s="2">
        <f t="shared" si="46"/>
        <v>5.7069228999998813</v>
      </c>
      <c r="AI181">
        <v>2915.7051987999998</v>
      </c>
      <c r="AJ181">
        <v>253.88879999999901</v>
      </c>
      <c r="AK181">
        <v>182.98696000000001</v>
      </c>
      <c r="AL181" s="2">
        <f t="shared" si="42"/>
        <v>156.34717714285722</v>
      </c>
      <c r="AM181" s="2">
        <f t="shared" si="34"/>
        <v>166.13162087321575</v>
      </c>
      <c r="AN181" s="2">
        <f t="shared" si="43"/>
        <v>9.7844437303585323</v>
      </c>
    </row>
    <row r="182" spans="1:40" x14ac:dyDescent="0.3">
      <c r="A182">
        <f t="shared" si="35"/>
        <v>0</v>
      </c>
      <c r="B182" s="2">
        <f t="shared" si="36"/>
        <v>16.079200000149285</v>
      </c>
      <c r="C182" s="2">
        <f t="shared" si="44"/>
        <v>-0.13100000000000023</v>
      </c>
      <c r="D182" s="2">
        <f t="shared" si="37"/>
        <v>2.6580228000002535</v>
      </c>
      <c r="E182" s="2"/>
      <c r="F182">
        <v>3224.3333204</v>
      </c>
      <c r="G182">
        <v>195</v>
      </c>
      <c r="H182">
        <v>19.5</v>
      </c>
      <c r="I182">
        <v>196.72200000000001</v>
      </c>
      <c r="J182">
        <v>23.692</v>
      </c>
      <c r="K182">
        <v>196.72200000000001</v>
      </c>
      <c r="L182">
        <v>23.692</v>
      </c>
      <c r="M182" t="s">
        <v>37</v>
      </c>
      <c r="N182">
        <v>0</v>
      </c>
      <c r="O182">
        <v>0</v>
      </c>
      <c r="P182">
        <v>0</v>
      </c>
      <c r="Q182">
        <v>0</v>
      </c>
      <c r="R182">
        <v>2.7816658020019501E-2</v>
      </c>
      <c r="S182">
        <v>-9.7884616851806605E-3</v>
      </c>
      <c r="T182">
        <v>0</v>
      </c>
      <c r="U182">
        <v>160.68299999999999</v>
      </c>
      <c r="V182">
        <v>0.376</v>
      </c>
      <c r="W182">
        <v>8.3000000000000004E-2</v>
      </c>
      <c r="X182">
        <v>0.65900000000000003</v>
      </c>
      <c r="Y182" t="b">
        <v>1</v>
      </c>
      <c r="Z182" t="s">
        <v>50</v>
      </c>
      <c r="AA182">
        <f t="shared" si="38"/>
        <v>193.03763334443391</v>
      </c>
      <c r="AB182">
        <f t="shared" si="33"/>
        <v>2.78166580200195</v>
      </c>
      <c r="AC182">
        <f t="shared" si="47"/>
        <v>32.389228714270459</v>
      </c>
      <c r="AD182">
        <f t="shared" si="40"/>
        <v>-8.1471715009940784</v>
      </c>
      <c r="AE182">
        <f t="shared" ca="1" si="41"/>
        <v>-8.1471715009940784</v>
      </c>
      <c r="AG182" s="2">
        <f t="shared" si="45"/>
        <v>3.1481400000302528E-2</v>
      </c>
      <c r="AH182" s="2">
        <f t="shared" si="46"/>
        <v>5.7384043000001839</v>
      </c>
      <c r="AI182">
        <v>2915.7366802000001</v>
      </c>
      <c r="AJ182">
        <v>254.34768</v>
      </c>
      <c r="AK182">
        <v>184.92124000000001</v>
      </c>
      <c r="AL182" s="2">
        <f t="shared" si="42"/>
        <v>158.28145714285722</v>
      </c>
      <c r="AM182" s="2">
        <f t="shared" si="34"/>
        <v>167.86874315671128</v>
      </c>
      <c r="AN182" s="2">
        <f t="shared" si="43"/>
        <v>9.5872860138540545</v>
      </c>
    </row>
    <row r="183" spans="1:40" x14ac:dyDescent="0.3">
      <c r="A183">
        <f t="shared" si="35"/>
        <v>0</v>
      </c>
      <c r="B183" s="2">
        <f t="shared" si="36"/>
        <v>15.851199999815435</v>
      </c>
      <c r="C183" s="2">
        <f t="shared" si="44"/>
        <v>-0.39300000000000068</v>
      </c>
      <c r="D183" s="2">
        <f t="shared" si="37"/>
        <v>2.6738740000000689</v>
      </c>
      <c r="E183" s="2"/>
      <c r="F183">
        <v>3224.3491715999999</v>
      </c>
      <c r="G183">
        <v>195</v>
      </c>
      <c r="H183">
        <v>19.5</v>
      </c>
      <c r="I183">
        <v>197.09100000000001</v>
      </c>
      <c r="J183">
        <v>23.298999999999999</v>
      </c>
      <c r="K183">
        <v>197.09100000000001</v>
      </c>
      <c r="L183">
        <v>23.298999999999999</v>
      </c>
      <c r="M183" t="s">
        <v>37</v>
      </c>
      <c r="N183">
        <v>0</v>
      </c>
      <c r="O183">
        <v>0</v>
      </c>
      <c r="P183">
        <v>0</v>
      </c>
      <c r="Q183">
        <v>0</v>
      </c>
      <c r="R183">
        <v>2.7816658020019501E-2</v>
      </c>
      <c r="S183">
        <v>-9.7884616851806605E-3</v>
      </c>
      <c r="T183">
        <v>0</v>
      </c>
      <c r="U183">
        <v>160.68299999999999</v>
      </c>
      <c r="V183">
        <v>0.376</v>
      </c>
      <c r="W183">
        <v>8.3000000000000004E-2</v>
      </c>
      <c r="X183">
        <v>0.65900000000000003</v>
      </c>
      <c r="Y183" t="b">
        <v>1</v>
      </c>
      <c r="Z183" t="s">
        <v>50</v>
      </c>
      <c r="AA183">
        <f t="shared" si="38"/>
        <v>193.08355388323488</v>
      </c>
      <c r="AB183">
        <f t="shared" si="33"/>
        <v>2.78166580200195</v>
      </c>
      <c r="AC183">
        <f t="shared" si="47"/>
        <v>32.43332145523064</v>
      </c>
      <c r="AD183">
        <f t="shared" si="40"/>
        <v>-8.1471715009940784</v>
      </c>
      <c r="AE183">
        <f t="shared" ca="1" si="41"/>
        <v>-8.1471715009940784</v>
      </c>
      <c r="AG183" s="2">
        <f t="shared" si="45"/>
        <v>3.1715599999643018E-2</v>
      </c>
      <c r="AH183" s="2">
        <f t="shared" si="46"/>
        <v>5.7701198999998269</v>
      </c>
      <c r="AI183">
        <v>2915.7683957999998</v>
      </c>
      <c r="AJ183">
        <v>254.79671999999999</v>
      </c>
      <c r="AK183">
        <v>186.8398</v>
      </c>
      <c r="AL183" s="2">
        <f t="shared" si="42"/>
        <v>160.20001714285721</v>
      </c>
      <c r="AM183" s="2">
        <f t="shared" si="34"/>
        <v>169.62177219318053</v>
      </c>
      <c r="AN183" s="2">
        <f t="shared" si="43"/>
        <v>9.4217550503233269</v>
      </c>
    </row>
    <row r="184" spans="1:40" x14ac:dyDescent="0.3">
      <c r="A184">
        <f t="shared" si="35"/>
        <v>0</v>
      </c>
      <c r="B184" s="2">
        <f t="shared" si="36"/>
        <v>15.53970000031768</v>
      </c>
      <c r="C184" s="2">
        <f t="shared" si="44"/>
        <v>-0.52400000000000091</v>
      </c>
      <c r="D184" s="2">
        <f t="shared" si="37"/>
        <v>2.6894137000003866</v>
      </c>
      <c r="E184" s="2"/>
      <c r="F184">
        <v>3224.3647113000002</v>
      </c>
      <c r="G184">
        <v>195</v>
      </c>
      <c r="H184">
        <v>19.5</v>
      </c>
      <c r="I184">
        <v>197.46</v>
      </c>
      <c r="J184">
        <v>22.774999999999999</v>
      </c>
      <c r="K184">
        <v>197.46</v>
      </c>
      <c r="L184">
        <v>22.774999999999999</v>
      </c>
      <c r="M184" t="s">
        <v>37</v>
      </c>
      <c r="N184">
        <v>0</v>
      </c>
      <c r="O184">
        <v>0</v>
      </c>
      <c r="P184">
        <v>0</v>
      </c>
      <c r="Q184">
        <v>0</v>
      </c>
      <c r="R184">
        <v>2.7816658020019501E-2</v>
      </c>
      <c r="S184">
        <v>-9.7884616851806605E-3</v>
      </c>
      <c r="T184">
        <v>0</v>
      </c>
      <c r="U184">
        <v>160.68299999999999</v>
      </c>
      <c r="V184">
        <v>0.376</v>
      </c>
      <c r="W184">
        <v>8.3000000000000004E-2</v>
      </c>
      <c r="X184">
        <v>0.65900000000000003</v>
      </c>
      <c r="Y184" t="b">
        <v>1</v>
      </c>
      <c r="Z184" t="s">
        <v>50</v>
      </c>
      <c r="AA184">
        <f t="shared" si="38"/>
        <v>193.12947442203588</v>
      </c>
      <c r="AB184">
        <f t="shared" si="33"/>
        <v>2.78166580200195</v>
      </c>
      <c r="AC184">
        <f t="shared" si="47"/>
        <v>32.476547707294891</v>
      </c>
      <c r="AD184">
        <f t="shared" si="40"/>
        <v>-8.1471715009940784</v>
      </c>
      <c r="AE184">
        <f t="shared" ca="1" si="41"/>
        <v>-8.1471715009940784</v>
      </c>
      <c r="AG184" s="2">
        <f t="shared" si="45"/>
        <v>3.0517700000018522E-2</v>
      </c>
      <c r="AH184" s="2">
        <f t="shared" si="46"/>
        <v>5.8006375999998454</v>
      </c>
      <c r="AI184">
        <v>2915.7989134999998</v>
      </c>
      <c r="AJ184">
        <v>255.23952</v>
      </c>
      <c r="AK184">
        <v>188.73740000000001</v>
      </c>
      <c r="AL184" s="2">
        <f t="shared" si="42"/>
        <v>162.09761714285722</v>
      </c>
      <c r="AM184" s="2">
        <f t="shared" si="34"/>
        <v>171.31136934012505</v>
      </c>
      <c r="AN184" s="2">
        <f t="shared" si="43"/>
        <v>9.2137521972678371</v>
      </c>
    </row>
    <row r="185" spans="1:40" x14ac:dyDescent="0.3">
      <c r="A185">
        <f t="shared" si="35"/>
        <v>0</v>
      </c>
      <c r="B185" s="2">
        <f t="shared" si="36"/>
        <v>15.248899999733112</v>
      </c>
      <c r="C185" s="2">
        <f t="shared" si="44"/>
        <v>-0.52399999999999736</v>
      </c>
      <c r="D185" s="2">
        <f t="shared" si="37"/>
        <v>2.7046626000001197</v>
      </c>
      <c r="E185" s="2"/>
      <c r="F185">
        <v>3224.3799601999999</v>
      </c>
      <c r="G185">
        <v>195</v>
      </c>
      <c r="H185">
        <v>19.5</v>
      </c>
      <c r="I185">
        <v>197.70599999999999</v>
      </c>
      <c r="J185">
        <v>22.251000000000001</v>
      </c>
      <c r="K185">
        <v>197.70599999999999</v>
      </c>
      <c r="L185">
        <v>22.251000000000001</v>
      </c>
      <c r="M185" t="s">
        <v>37</v>
      </c>
      <c r="N185">
        <v>0</v>
      </c>
      <c r="O185">
        <v>0</v>
      </c>
      <c r="P185">
        <v>0</v>
      </c>
      <c r="Q185">
        <v>0</v>
      </c>
      <c r="R185">
        <v>2.7816658020019501E-2</v>
      </c>
      <c r="S185">
        <v>-9.7884616851806605E-3</v>
      </c>
      <c r="T185">
        <v>0</v>
      </c>
      <c r="U185">
        <v>160.68299999999999</v>
      </c>
      <c r="V185">
        <v>-0.112</v>
      </c>
      <c r="W185">
        <v>8.3000000000000004E-2</v>
      </c>
      <c r="X185">
        <v>0.65900000000000003</v>
      </c>
      <c r="Y185" t="b">
        <v>1</v>
      </c>
      <c r="Z185" t="s">
        <v>50</v>
      </c>
      <c r="AA185">
        <f t="shared" si="38"/>
        <v>193.16008811456987</v>
      </c>
      <c r="AB185">
        <f t="shared" si="33"/>
        <v>2.78166580200195</v>
      </c>
      <c r="AC185">
        <f t="shared" si="47"/>
        <v>32.518965050942299</v>
      </c>
      <c r="AD185">
        <f t="shared" si="40"/>
        <v>-8.1471715009940784</v>
      </c>
      <c r="AE185">
        <f t="shared" ca="1" si="41"/>
        <v>-8.1471715009940784</v>
      </c>
      <c r="AG185" s="2">
        <f t="shared" si="45"/>
        <v>3.0422100000123464E-2</v>
      </c>
      <c r="AH185" s="2">
        <f t="shared" si="46"/>
        <v>5.8310596999999689</v>
      </c>
      <c r="AI185">
        <v>2915.8293355999999</v>
      </c>
      <c r="AJ185">
        <v>255.68723999999901</v>
      </c>
      <c r="AK185">
        <v>190.64024000000001</v>
      </c>
      <c r="AL185" s="2">
        <f t="shared" si="42"/>
        <v>164.00045714285721</v>
      </c>
      <c r="AM185" s="2">
        <f t="shared" si="34"/>
        <v>172.99834268268549</v>
      </c>
      <c r="AN185" s="2">
        <f t="shared" si="43"/>
        <v>8.9978855398282747</v>
      </c>
    </row>
    <row r="186" spans="1:40" x14ac:dyDescent="0.3">
      <c r="A186">
        <f t="shared" si="35"/>
        <v>0</v>
      </c>
      <c r="B186" s="2">
        <f t="shared" si="36"/>
        <v>15.272099999947386</v>
      </c>
      <c r="C186" s="2">
        <f t="shared" si="44"/>
        <v>-0.78600000000000136</v>
      </c>
      <c r="D186" s="2">
        <f t="shared" si="37"/>
        <v>2.7199347000000671</v>
      </c>
      <c r="E186" s="2"/>
      <c r="F186">
        <v>3224.3952322999999</v>
      </c>
      <c r="G186">
        <v>195</v>
      </c>
      <c r="H186">
        <v>19.5</v>
      </c>
      <c r="I186">
        <v>197.952</v>
      </c>
      <c r="J186">
        <v>21.465</v>
      </c>
      <c r="K186">
        <v>197.952</v>
      </c>
      <c r="L186">
        <v>21.465</v>
      </c>
      <c r="M186" t="s">
        <v>37</v>
      </c>
      <c r="N186">
        <v>0</v>
      </c>
      <c r="O186">
        <v>0</v>
      </c>
      <c r="P186">
        <v>0</v>
      </c>
      <c r="Q186">
        <v>0</v>
      </c>
      <c r="R186">
        <v>7.8250793457031204E-2</v>
      </c>
      <c r="S186">
        <v>-3.6078083038330003E-2</v>
      </c>
      <c r="T186">
        <v>0</v>
      </c>
      <c r="U186">
        <v>160.51900000000001</v>
      </c>
      <c r="V186">
        <v>-0.112</v>
      </c>
      <c r="W186">
        <v>-0.20300000000000001</v>
      </c>
      <c r="X186">
        <v>0.65900000000000003</v>
      </c>
      <c r="Y186" t="b">
        <v>1</v>
      </c>
      <c r="Z186" t="s">
        <v>50</v>
      </c>
      <c r="AA186">
        <f t="shared" si="38"/>
        <v>193.19070180710386</v>
      </c>
      <c r="AB186">
        <f t="shared" si="33"/>
        <v>7.82507934570312</v>
      </c>
      <c r="AC186">
        <f t="shared" si="47"/>
        <v>32.561446929236908</v>
      </c>
      <c r="AD186">
        <f t="shared" si="40"/>
        <v>-8.1471715009940784</v>
      </c>
      <c r="AE186">
        <f t="shared" ca="1" si="41"/>
        <v>-8.1471715009940784</v>
      </c>
      <c r="AG186" s="2">
        <f t="shared" si="45"/>
        <v>2.2518700000091485E-2</v>
      </c>
      <c r="AH186" s="2">
        <f t="shared" si="46"/>
        <v>5.8535784000000604</v>
      </c>
      <c r="AI186">
        <v>2915.8518543</v>
      </c>
      <c r="AJ186">
        <v>256.13627999999898</v>
      </c>
      <c r="AK186">
        <v>192.56404000000001</v>
      </c>
      <c r="AL186" s="2">
        <f t="shared" si="42"/>
        <v>165.92425714285721</v>
      </c>
      <c r="AM186" s="2">
        <f t="shared" si="34"/>
        <v>174.24874565047168</v>
      </c>
      <c r="AN186" s="2">
        <f t="shared" si="43"/>
        <v>8.3244885076144612</v>
      </c>
    </row>
    <row r="187" spans="1:40" x14ac:dyDescent="0.3">
      <c r="A187">
        <f t="shared" si="35"/>
        <v>0</v>
      </c>
      <c r="B187" s="2">
        <f t="shared" si="36"/>
        <v>15.867800000251009</v>
      </c>
      <c r="C187" s="2">
        <f t="shared" si="44"/>
        <v>-0.78600000000000136</v>
      </c>
      <c r="D187" s="2">
        <f t="shared" si="37"/>
        <v>2.7358025000003181</v>
      </c>
      <c r="E187" s="2"/>
      <c r="F187">
        <v>3224.4111001000001</v>
      </c>
      <c r="G187">
        <v>195</v>
      </c>
      <c r="H187">
        <v>19.5</v>
      </c>
      <c r="I187">
        <v>197.952</v>
      </c>
      <c r="J187">
        <v>20.678999999999998</v>
      </c>
      <c r="K187">
        <v>197.952</v>
      </c>
      <c r="L187">
        <v>20.678999999999998</v>
      </c>
      <c r="M187" t="s">
        <v>37</v>
      </c>
      <c r="N187">
        <v>0</v>
      </c>
      <c r="O187">
        <v>0</v>
      </c>
      <c r="P187">
        <v>0</v>
      </c>
      <c r="Q187">
        <v>0</v>
      </c>
      <c r="R187">
        <v>7.8250793457031204E-2</v>
      </c>
      <c r="S187">
        <v>-3.6078083038330003E-2</v>
      </c>
      <c r="T187">
        <v>0</v>
      </c>
      <c r="U187">
        <v>160.51900000000001</v>
      </c>
      <c r="V187">
        <v>-0.112</v>
      </c>
      <c r="W187">
        <v>-0.20300000000000001</v>
      </c>
      <c r="X187">
        <v>0.65900000000000003</v>
      </c>
      <c r="Y187" t="b">
        <v>1</v>
      </c>
      <c r="Z187" t="s">
        <v>50</v>
      </c>
      <c r="AA187">
        <f t="shared" si="38"/>
        <v>193.19070180710386</v>
      </c>
      <c r="AB187">
        <f t="shared" si="33"/>
        <v>7.82507934570312</v>
      </c>
      <c r="AC187">
        <f t="shared" si="47"/>
        <v>32.685613723280618</v>
      </c>
      <c r="AD187">
        <f t="shared" si="40"/>
        <v>-8.1471715009940784</v>
      </c>
      <c r="AE187">
        <f t="shared" ca="1" si="41"/>
        <v>-8.1471715009940784</v>
      </c>
      <c r="AG187" s="2">
        <f t="shared" si="45"/>
        <v>5.5542399999922054E-2</v>
      </c>
      <c r="AH187" s="2">
        <f t="shared" si="46"/>
        <v>5.9091207999999824</v>
      </c>
      <c r="AI187">
        <v>2915.9073966999999</v>
      </c>
      <c r="AJ187">
        <v>256.60575999999998</v>
      </c>
      <c r="AK187">
        <v>194.96268000000001</v>
      </c>
      <c r="AL187" s="2">
        <f t="shared" si="42"/>
        <v>168.32289714285722</v>
      </c>
      <c r="AM187" s="2">
        <f t="shared" si="34"/>
        <v>177.33889676056708</v>
      </c>
      <c r="AN187" s="2">
        <f t="shared" si="43"/>
        <v>9.0159996177098662</v>
      </c>
    </row>
    <row r="188" spans="1:40" x14ac:dyDescent="0.3">
      <c r="A188">
        <f t="shared" si="35"/>
        <v>0</v>
      </c>
      <c r="B188" s="2">
        <f t="shared" si="36"/>
        <v>15.070899999955145</v>
      </c>
      <c r="C188" s="2">
        <f t="shared" si="44"/>
        <v>-0.91699999999999804</v>
      </c>
      <c r="D188" s="2">
        <f t="shared" si="37"/>
        <v>2.7508734000002733</v>
      </c>
      <c r="E188" s="2"/>
      <c r="F188">
        <v>3224.4261710000001</v>
      </c>
      <c r="G188">
        <v>195</v>
      </c>
      <c r="H188">
        <v>19.5</v>
      </c>
      <c r="I188">
        <v>197.952</v>
      </c>
      <c r="J188">
        <v>19.762</v>
      </c>
      <c r="K188">
        <v>197.952</v>
      </c>
      <c r="L188">
        <v>19.762</v>
      </c>
      <c r="M188" t="s">
        <v>37</v>
      </c>
      <c r="N188">
        <v>0</v>
      </c>
      <c r="O188">
        <v>0</v>
      </c>
      <c r="P188">
        <v>0</v>
      </c>
      <c r="Q188">
        <v>0</v>
      </c>
      <c r="R188">
        <v>7.8250793457031204E-2</v>
      </c>
      <c r="S188">
        <v>-3.6078083038330003E-2</v>
      </c>
      <c r="T188">
        <v>0</v>
      </c>
      <c r="U188">
        <v>160.51900000000001</v>
      </c>
      <c r="V188">
        <v>-0.112</v>
      </c>
      <c r="W188">
        <v>-0.20300000000000001</v>
      </c>
      <c r="X188">
        <v>0.65900000000000003</v>
      </c>
      <c r="Y188" t="b">
        <v>1</v>
      </c>
      <c r="Z188" t="s">
        <v>50</v>
      </c>
      <c r="AA188">
        <f t="shared" si="38"/>
        <v>193.19070180710386</v>
      </c>
      <c r="AB188">
        <f t="shared" si="33"/>
        <v>7.82507934570312</v>
      </c>
      <c r="AC188">
        <f t="shared" si="47"/>
        <v>32.803544711591421</v>
      </c>
      <c r="AD188">
        <f t="shared" si="40"/>
        <v>-8.1471715009940784</v>
      </c>
      <c r="AE188">
        <f t="shared" ca="1" si="41"/>
        <v>-8.1471715009940784</v>
      </c>
      <c r="AG188" s="2">
        <f t="shared" si="45"/>
        <v>2.9624300000250514E-2</v>
      </c>
      <c r="AH188" s="2">
        <f t="shared" si="46"/>
        <v>5.9387451000002329</v>
      </c>
      <c r="AI188">
        <v>2915.9370210000002</v>
      </c>
      <c r="AJ188">
        <v>257.05659999999898</v>
      </c>
      <c r="AK188">
        <v>197.22819999999999</v>
      </c>
      <c r="AL188" s="2">
        <f t="shared" si="42"/>
        <v>170.5884171428572</v>
      </c>
      <c r="AM188" s="2">
        <f t="shared" si="34"/>
        <v>178.9905133928354</v>
      </c>
      <c r="AN188" s="2">
        <f t="shared" si="43"/>
        <v>8.4020962499782001</v>
      </c>
    </row>
    <row r="189" spans="1:40" x14ac:dyDescent="0.3">
      <c r="A189">
        <f t="shared" si="35"/>
        <v>0</v>
      </c>
      <c r="B189" s="2">
        <f t="shared" si="36"/>
        <v>15.081799999734358</v>
      </c>
      <c r="C189" s="2">
        <f t="shared" si="44"/>
        <v>-0.78600000000000136</v>
      </c>
      <c r="D189" s="2">
        <f t="shared" si="37"/>
        <v>2.7659552000000076</v>
      </c>
      <c r="E189" s="2"/>
      <c r="F189">
        <v>3224.4412527999998</v>
      </c>
      <c r="G189">
        <v>195</v>
      </c>
      <c r="H189">
        <v>19.5</v>
      </c>
      <c r="I189">
        <v>197.82900000000001</v>
      </c>
      <c r="J189">
        <v>18.975999999999999</v>
      </c>
      <c r="K189">
        <v>197.82900000000001</v>
      </c>
      <c r="L189">
        <v>18.975999999999999</v>
      </c>
      <c r="M189" t="s">
        <v>37</v>
      </c>
      <c r="N189">
        <v>0</v>
      </c>
      <c r="O189">
        <v>0</v>
      </c>
      <c r="P189">
        <v>0</v>
      </c>
      <c r="Q189">
        <v>0</v>
      </c>
      <c r="R189">
        <v>0.13618652343750001</v>
      </c>
      <c r="S189">
        <v>-3.3250946044921799E-2</v>
      </c>
      <c r="T189">
        <v>0</v>
      </c>
      <c r="U189">
        <v>160.55799999999999</v>
      </c>
      <c r="V189">
        <v>-0.67200000000000004</v>
      </c>
      <c r="W189">
        <v>0.104</v>
      </c>
      <c r="X189">
        <v>0.66500000000000004</v>
      </c>
      <c r="Y189" t="b">
        <v>1</v>
      </c>
      <c r="Z189" t="s">
        <v>50</v>
      </c>
      <c r="AA189">
        <f t="shared" si="38"/>
        <v>193.17539496083688</v>
      </c>
      <c r="AB189">
        <f t="shared" si="33"/>
        <v>13.618652343750002</v>
      </c>
      <c r="AC189">
        <f t="shared" si="47"/>
        <v>32.921560993265366</v>
      </c>
      <c r="AD189">
        <f t="shared" si="40"/>
        <v>-8.1471715009940784</v>
      </c>
      <c r="AE189">
        <f t="shared" ca="1" si="41"/>
        <v>-8.1471715009940784</v>
      </c>
      <c r="AG189" s="2">
        <f t="shared" si="45"/>
        <v>3.132919999961814E-2</v>
      </c>
      <c r="AH189" s="2">
        <f t="shared" si="46"/>
        <v>5.9700742999998511</v>
      </c>
      <c r="AI189">
        <v>2915.9683501999998</v>
      </c>
      <c r="AJ189">
        <v>257.48103999999898</v>
      </c>
      <c r="AK189">
        <v>199.10484</v>
      </c>
      <c r="AL189" s="2">
        <f t="shared" si="42"/>
        <v>172.46505714285721</v>
      </c>
      <c r="AM189" s="2">
        <f t="shared" si="34"/>
        <v>180.73973314328512</v>
      </c>
      <c r="AN189" s="2">
        <f t="shared" si="43"/>
        <v>8.2746760004279167</v>
      </c>
    </row>
    <row r="190" spans="1:40" x14ac:dyDescent="0.3">
      <c r="A190">
        <f t="shared" si="35"/>
        <v>0</v>
      </c>
      <c r="B190" s="2">
        <f t="shared" si="36"/>
        <v>14.922200000000885</v>
      </c>
      <c r="C190" s="2">
        <f t="shared" si="44"/>
        <v>-1.0479999999999983</v>
      </c>
      <c r="D190" s="2">
        <f t="shared" si="37"/>
        <v>2.7808774000000085</v>
      </c>
      <c r="E190" s="2"/>
      <c r="F190">
        <v>3224.4561749999998</v>
      </c>
      <c r="G190">
        <v>195</v>
      </c>
      <c r="H190">
        <v>19.5</v>
      </c>
      <c r="I190">
        <v>197.583</v>
      </c>
      <c r="J190">
        <v>17.928000000000001</v>
      </c>
      <c r="K190">
        <v>197.583</v>
      </c>
      <c r="L190">
        <v>17.928000000000001</v>
      </c>
      <c r="M190" t="s">
        <v>37</v>
      </c>
      <c r="N190">
        <v>0</v>
      </c>
      <c r="O190">
        <v>0</v>
      </c>
      <c r="P190">
        <v>0</v>
      </c>
      <c r="Q190">
        <v>0</v>
      </c>
      <c r="R190">
        <v>0.13618652343750001</v>
      </c>
      <c r="S190">
        <v>-3.3250946044921799E-2</v>
      </c>
      <c r="T190">
        <v>0</v>
      </c>
      <c r="U190">
        <v>160.55799999999999</v>
      </c>
      <c r="V190">
        <v>-0.67200000000000004</v>
      </c>
      <c r="W190">
        <v>0.104</v>
      </c>
      <c r="X190">
        <v>0.66500000000000004</v>
      </c>
      <c r="Y190" t="b">
        <v>1</v>
      </c>
      <c r="Z190" t="s">
        <v>50</v>
      </c>
      <c r="AA190">
        <f t="shared" si="38"/>
        <v>193.14478126830289</v>
      </c>
      <c r="AB190">
        <f t="shared" si="33"/>
        <v>13.618652343750002</v>
      </c>
      <c r="AC190">
        <f t="shared" si="47"/>
        <v>33.124781247269283</v>
      </c>
      <c r="AD190">
        <f t="shared" si="40"/>
        <v>-8.1471715009940784</v>
      </c>
      <c r="AE190">
        <f t="shared" ca="1" si="41"/>
        <v>-8.1471715009940784</v>
      </c>
      <c r="AG190" s="2">
        <f t="shared" si="45"/>
        <v>3.1074100000296312E-2</v>
      </c>
      <c r="AH190" s="2">
        <f t="shared" si="46"/>
        <v>6.0011484000001474</v>
      </c>
      <c r="AI190">
        <v>2915.9994243000001</v>
      </c>
      <c r="AJ190">
        <v>257.88087999999902</v>
      </c>
      <c r="AK190">
        <v>200.99196000000001</v>
      </c>
      <c r="AL190" s="2">
        <f t="shared" si="42"/>
        <v>174.35217714285722</v>
      </c>
      <c r="AM190" s="2">
        <f t="shared" si="34"/>
        <v>182.47725811664083</v>
      </c>
      <c r="AN190" s="2">
        <f t="shared" si="43"/>
        <v>8.1250809737836107</v>
      </c>
    </row>
    <row r="191" spans="1:40" x14ac:dyDescent="0.3">
      <c r="A191">
        <f t="shared" si="35"/>
        <v>0</v>
      </c>
      <c r="B191" s="2">
        <f t="shared" si="36"/>
        <v>14.790100000027451</v>
      </c>
      <c r="C191" s="2">
        <f t="shared" si="44"/>
        <v>-1.179000000000002</v>
      </c>
      <c r="D191" s="2">
        <f t="shared" si="37"/>
        <v>2.7956675000000359</v>
      </c>
      <c r="E191" s="2"/>
      <c r="F191">
        <v>3224.4709650999998</v>
      </c>
      <c r="G191">
        <v>195</v>
      </c>
      <c r="H191">
        <v>19.5</v>
      </c>
      <c r="I191">
        <v>197.46</v>
      </c>
      <c r="J191">
        <v>16.748999999999999</v>
      </c>
      <c r="K191">
        <v>197.46</v>
      </c>
      <c r="L191">
        <v>16.748999999999999</v>
      </c>
      <c r="M191" t="s">
        <v>37</v>
      </c>
      <c r="N191">
        <v>0</v>
      </c>
      <c r="O191">
        <v>0</v>
      </c>
      <c r="P191">
        <v>0</v>
      </c>
      <c r="Q191">
        <v>0</v>
      </c>
      <c r="R191">
        <v>0.13618652343750001</v>
      </c>
      <c r="S191">
        <v>-3.3250946044921799E-2</v>
      </c>
      <c r="T191">
        <v>0</v>
      </c>
      <c r="U191">
        <v>160.55799999999999</v>
      </c>
      <c r="V191">
        <v>-0.67200000000000004</v>
      </c>
      <c r="W191">
        <v>0.104</v>
      </c>
      <c r="X191">
        <v>0.66500000000000004</v>
      </c>
      <c r="Y191" t="b">
        <v>1</v>
      </c>
      <c r="Z191" t="s">
        <v>50</v>
      </c>
      <c r="AA191">
        <f t="shared" si="38"/>
        <v>193.12947442203588</v>
      </c>
      <c r="AB191">
        <f t="shared" si="33"/>
        <v>13.618652343750002</v>
      </c>
      <c r="AC191">
        <f t="shared" si="47"/>
        <v>33.326202477298956</v>
      </c>
      <c r="AD191">
        <f t="shared" si="40"/>
        <v>-8.1471715009940784</v>
      </c>
      <c r="AE191">
        <f t="shared" ca="1" si="41"/>
        <v>-9.3688859565200424</v>
      </c>
      <c r="AG191" s="2">
        <f t="shared" si="45"/>
        <v>3.075330000001486E-2</v>
      </c>
      <c r="AH191" s="2">
        <f t="shared" si="46"/>
        <v>6.0319017000001622</v>
      </c>
      <c r="AI191">
        <v>2916.0301776000001</v>
      </c>
      <c r="AJ191">
        <v>258.25611999999899</v>
      </c>
      <c r="AK191">
        <v>202.88955999999999</v>
      </c>
      <c r="AL191" s="2">
        <f t="shared" si="42"/>
        <v>176.2497771428572</v>
      </c>
      <c r="AM191" s="2">
        <f t="shared" si="34"/>
        <v>184.19930272251401</v>
      </c>
      <c r="AN191" s="2">
        <f t="shared" si="43"/>
        <v>7.9495255796568074</v>
      </c>
    </row>
    <row r="192" spans="1:40" x14ac:dyDescent="0.3">
      <c r="A192">
        <f t="shared" si="35"/>
        <v>0</v>
      </c>
      <c r="B192" s="2">
        <f t="shared" si="36"/>
        <v>16.040299999986019</v>
      </c>
      <c r="C192" s="2">
        <f t="shared" si="44"/>
        <v>-1.0479999999999983</v>
      </c>
      <c r="D192" s="2">
        <f t="shared" si="37"/>
        <v>2.811707800000022</v>
      </c>
      <c r="E192" s="2"/>
      <c r="F192">
        <v>3224.4870053999998</v>
      </c>
      <c r="G192">
        <v>195</v>
      </c>
      <c r="H192">
        <v>19.5</v>
      </c>
      <c r="I192">
        <v>197.46</v>
      </c>
      <c r="J192">
        <v>15.701000000000001</v>
      </c>
      <c r="K192">
        <v>197.46</v>
      </c>
      <c r="L192">
        <v>15.701000000000001</v>
      </c>
      <c r="M192" t="s">
        <v>37</v>
      </c>
      <c r="N192">
        <v>0</v>
      </c>
      <c r="O192">
        <v>0</v>
      </c>
      <c r="P192">
        <v>0</v>
      </c>
      <c r="Q192">
        <v>0</v>
      </c>
      <c r="R192">
        <v>0.13618652343750001</v>
      </c>
      <c r="S192">
        <v>-3.3250946044921799E-2</v>
      </c>
      <c r="T192">
        <v>0</v>
      </c>
      <c r="U192">
        <v>160.55799999999999</v>
      </c>
      <c r="V192">
        <v>-0.67200000000000004</v>
      </c>
      <c r="W192">
        <v>0.104</v>
      </c>
      <c r="X192">
        <v>0.66500000000000004</v>
      </c>
      <c r="Y192" t="b">
        <v>1</v>
      </c>
      <c r="Z192" t="s">
        <v>50</v>
      </c>
      <c r="AA192">
        <f t="shared" si="38"/>
        <v>193.12947442203588</v>
      </c>
      <c r="AB192">
        <f t="shared" si="33"/>
        <v>13.618652343750002</v>
      </c>
      <c r="AC192">
        <f t="shared" si="47"/>
        <v>33.544649746488219</v>
      </c>
      <c r="AD192">
        <f t="shared" si="40"/>
        <v>-8.1471715009940784</v>
      </c>
      <c r="AE192">
        <f t="shared" ca="1" si="41"/>
        <v>-4.6129649309153917</v>
      </c>
      <c r="AG192" s="2">
        <f t="shared" si="45"/>
        <v>3.1048800000007759E-2</v>
      </c>
      <c r="AH192" s="2">
        <f t="shared" si="46"/>
        <v>6.06295050000017</v>
      </c>
      <c r="AI192">
        <v>2916.0612264000001</v>
      </c>
      <c r="AJ192">
        <v>258.61167999999901</v>
      </c>
      <c r="AK192">
        <v>204.79764</v>
      </c>
      <c r="AL192" s="2">
        <f t="shared" si="42"/>
        <v>178.15785714285721</v>
      </c>
      <c r="AM192" s="2">
        <f t="shared" si="34"/>
        <v>185.94033291531034</v>
      </c>
      <c r="AN192" s="2">
        <f t="shared" si="43"/>
        <v>7.7824757724531253</v>
      </c>
    </row>
    <row r="193" spans="1:40" x14ac:dyDescent="0.3">
      <c r="A193">
        <f t="shared" si="35"/>
        <v>0</v>
      </c>
      <c r="B193" s="2">
        <f t="shared" si="36"/>
        <v>15.325100000154634</v>
      </c>
      <c r="C193" s="2">
        <f t="shared" si="44"/>
        <v>-1.3100000000000005</v>
      </c>
      <c r="D193" s="2">
        <f t="shared" si="37"/>
        <v>2.8270329000001766</v>
      </c>
      <c r="E193" s="2"/>
      <c r="F193">
        <v>3224.5023305</v>
      </c>
      <c r="G193">
        <v>195</v>
      </c>
      <c r="H193">
        <v>19.5</v>
      </c>
      <c r="I193">
        <v>197.583</v>
      </c>
      <c r="J193">
        <v>14.391</v>
      </c>
      <c r="K193">
        <v>197.583</v>
      </c>
      <c r="L193">
        <v>14.391</v>
      </c>
      <c r="M193" t="s">
        <v>37</v>
      </c>
      <c r="N193">
        <v>0</v>
      </c>
      <c r="O193">
        <v>0</v>
      </c>
      <c r="P193">
        <v>0</v>
      </c>
      <c r="Q193">
        <v>0</v>
      </c>
      <c r="R193">
        <v>0.12669541931152301</v>
      </c>
      <c r="S193">
        <v>-1.2712386131286601E-2</v>
      </c>
      <c r="T193">
        <v>0</v>
      </c>
      <c r="U193">
        <v>160.66</v>
      </c>
      <c r="V193">
        <v>-0.67200000000000004</v>
      </c>
      <c r="W193">
        <v>0.30499999999999999</v>
      </c>
      <c r="X193">
        <v>0.66300000000000003</v>
      </c>
      <c r="Y193" t="b">
        <v>1</v>
      </c>
      <c r="Z193" t="s">
        <v>50</v>
      </c>
      <c r="AA193">
        <f t="shared" si="38"/>
        <v>193.14478126830289</v>
      </c>
      <c r="AB193">
        <f t="shared" si="33"/>
        <v>12.669541931152301</v>
      </c>
      <c r="AC193">
        <f t="shared" si="47"/>
        <v>33.753356955523529</v>
      </c>
      <c r="AD193">
        <f t="shared" si="40"/>
        <v>-8.1471715009940784</v>
      </c>
      <c r="AE193">
        <f t="shared" ca="1" si="41"/>
        <v>0.14295609468925768</v>
      </c>
      <c r="AG193" s="2">
        <f t="shared" si="45"/>
        <v>3.105039999991277E-2</v>
      </c>
      <c r="AH193" s="2">
        <f t="shared" si="46"/>
        <v>6.0940009000000828</v>
      </c>
      <c r="AI193">
        <v>2916.0922768</v>
      </c>
      <c r="AJ193">
        <v>258.94771428571403</v>
      </c>
      <c r="AK193">
        <v>206.21363428571399</v>
      </c>
      <c r="AL193" s="2">
        <f t="shared" si="42"/>
        <v>179.5738514285712</v>
      </c>
      <c r="AM193" s="2">
        <f t="shared" si="34"/>
        <v>187.6838631048588</v>
      </c>
      <c r="AN193" s="2">
        <f t="shared" si="43"/>
        <v>8.1100116762875984</v>
      </c>
    </row>
    <row r="194" spans="1:40" x14ac:dyDescent="0.3">
      <c r="A194">
        <f t="shared" si="35"/>
        <v>0</v>
      </c>
      <c r="B194" s="2">
        <f t="shared" si="36"/>
        <v>15.339099999891914</v>
      </c>
      <c r="C194" s="2">
        <f t="shared" si="44"/>
        <v>-1.1790000000000003</v>
      </c>
      <c r="D194" s="2">
        <f t="shared" si="37"/>
        <v>2.8423720000000685</v>
      </c>
      <c r="E194" s="2"/>
      <c r="F194">
        <v>3224.5176695999999</v>
      </c>
      <c r="G194">
        <v>195</v>
      </c>
      <c r="H194">
        <v>19.5</v>
      </c>
      <c r="I194">
        <v>197.82900000000001</v>
      </c>
      <c r="J194">
        <v>13.212</v>
      </c>
      <c r="K194">
        <v>197.82900000000001</v>
      </c>
      <c r="L194">
        <v>13.212</v>
      </c>
      <c r="M194" t="s">
        <v>37</v>
      </c>
      <c r="N194">
        <v>0</v>
      </c>
      <c r="O194">
        <v>0</v>
      </c>
      <c r="P194">
        <v>0</v>
      </c>
      <c r="Q194">
        <v>0</v>
      </c>
      <c r="R194">
        <v>0.12669541931152301</v>
      </c>
      <c r="S194">
        <v>-1.2712386131286601E-2</v>
      </c>
      <c r="T194">
        <v>0</v>
      </c>
      <c r="U194">
        <v>160.66</v>
      </c>
      <c r="V194">
        <v>-0.77600000000000002</v>
      </c>
      <c r="W194">
        <v>0.30499999999999999</v>
      </c>
      <c r="X194">
        <v>0.66300000000000003</v>
      </c>
      <c r="Y194" t="b">
        <v>1</v>
      </c>
      <c r="Z194" t="s">
        <v>50</v>
      </c>
      <c r="AA194">
        <f t="shared" si="38"/>
        <v>193.17539496083688</v>
      </c>
      <c r="AB194">
        <f t="shared" si="33"/>
        <v>12.669541931152301</v>
      </c>
      <c r="AC194">
        <f t="shared" si="47"/>
        <v>33.947696326158301</v>
      </c>
      <c r="AD194">
        <f t="shared" si="40"/>
        <v>-8.1471715009940784</v>
      </c>
      <c r="AE194">
        <f t="shared" ca="1" si="41"/>
        <v>4.5954346818832983</v>
      </c>
      <c r="AG194" s="2">
        <f t="shared" si="45"/>
        <v>4.6915599999920232E-2</v>
      </c>
      <c r="AH194" s="2">
        <f t="shared" si="46"/>
        <v>6.140916500000003</v>
      </c>
      <c r="AI194">
        <v>2916.1391924</v>
      </c>
      <c r="AJ194">
        <v>259.27867428571398</v>
      </c>
      <c r="AK194">
        <v>208.168874285714</v>
      </c>
      <c r="AL194" s="2">
        <f t="shared" si="42"/>
        <v>181.52909142857121</v>
      </c>
      <c r="AM194" s="2">
        <f t="shared" si="34"/>
        <v>190.32273372212313</v>
      </c>
      <c r="AN194" s="2">
        <f t="shared" si="43"/>
        <v>8.7936422935519261</v>
      </c>
    </row>
    <row r="195" spans="1:40" x14ac:dyDescent="0.3">
      <c r="A195">
        <f t="shared" si="35"/>
        <v>0</v>
      </c>
      <c r="B195" s="2">
        <f t="shared" si="36"/>
        <v>16.130700000303477</v>
      </c>
      <c r="C195" s="2">
        <f t="shared" si="44"/>
        <v>-1.048</v>
      </c>
      <c r="D195" s="2">
        <f t="shared" si="37"/>
        <v>2.858502700000372</v>
      </c>
      <c r="E195" s="2"/>
      <c r="F195">
        <v>3224.5338003000002</v>
      </c>
      <c r="G195">
        <v>195</v>
      </c>
      <c r="H195">
        <v>19.5</v>
      </c>
      <c r="I195">
        <v>198.07499999999999</v>
      </c>
      <c r="J195">
        <v>12.164</v>
      </c>
      <c r="K195">
        <v>198.07499999999999</v>
      </c>
      <c r="L195">
        <v>12.164</v>
      </c>
      <c r="M195" t="s">
        <v>37</v>
      </c>
      <c r="N195">
        <v>0</v>
      </c>
      <c r="O195">
        <v>0</v>
      </c>
      <c r="P195">
        <v>0</v>
      </c>
      <c r="Q195">
        <v>0</v>
      </c>
      <c r="R195">
        <v>0.12669541931152301</v>
      </c>
      <c r="S195">
        <v>-1.2712386131286601E-2</v>
      </c>
      <c r="T195">
        <v>0</v>
      </c>
      <c r="U195">
        <v>160.66</v>
      </c>
      <c r="V195">
        <v>-0.77600000000000002</v>
      </c>
      <c r="W195">
        <v>0.30499999999999999</v>
      </c>
      <c r="X195">
        <v>0.66300000000000003</v>
      </c>
      <c r="Y195" t="b">
        <v>1</v>
      </c>
      <c r="Z195" t="s">
        <v>50</v>
      </c>
      <c r="AA195">
        <f t="shared" si="38"/>
        <v>193.20600865337087</v>
      </c>
      <c r="AB195">
        <f t="shared" si="33"/>
        <v>12.669541931152301</v>
      </c>
      <c r="AC195">
        <f t="shared" si="47"/>
        <v>34.152064906190986</v>
      </c>
      <c r="AD195">
        <f t="shared" si="40"/>
        <v>-8.1471715009940784</v>
      </c>
      <c r="AE195">
        <f t="shared" ca="1" si="41"/>
        <v>7.505132468599891</v>
      </c>
      <c r="AG195" s="2">
        <f t="shared" si="45"/>
        <v>3.1336300000020856E-2</v>
      </c>
      <c r="AH195" s="2">
        <f t="shared" si="46"/>
        <v>6.1722528000000239</v>
      </c>
      <c r="AI195">
        <v>2916.1705287</v>
      </c>
      <c r="AJ195">
        <v>259.60963428571398</v>
      </c>
      <c r="AK195">
        <v>210.134594285714</v>
      </c>
      <c r="AL195" s="2">
        <f t="shared" si="42"/>
        <v>183.49481142857121</v>
      </c>
      <c r="AM195" s="2">
        <f t="shared" si="34"/>
        <v>192.08825994480264</v>
      </c>
      <c r="AN195" s="2">
        <f t="shared" si="43"/>
        <v>8.5934485162314331</v>
      </c>
    </row>
    <row r="196" spans="1:40" x14ac:dyDescent="0.3">
      <c r="A196">
        <f t="shared" si="35"/>
        <v>0</v>
      </c>
      <c r="B196" s="2">
        <f t="shared" si="36"/>
        <v>15.515799999775481</v>
      </c>
      <c r="C196" s="2">
        <f t="shared" si="44"/>
        <v>-0.91699999999999982</v>
      </c>
      <c r="D196" s="2">
        <f t="shared" si="37"/>
        <v>2.8740185000001475</v>
      </c>
      <c r="E196" s="2"/>
      <c r="F196">
        <v>3224.5493160999999</v>
      </c>
      <c r="G196">
        <v>195</v>
      </c>
      <c r="H196">
        <v>19.5</v>
      </c>
      <c r="I196">
        <v>198.44399999999999</v>
      </c>
      <c r="J196">
        <v>11.247</v>
      </c>
      <c r="K196">
        <v>198.44399999999999</v>
      </c>
      <c r="L196">
        <v>11.247</v>
      </c>
      <c r="M196" t="s">
        <v>37</v>
      </c>
      <c r="N196">
        <v>0</v>
      </c>
      <c r="O196">
        <v>0</v>
      </c>
      <c r="P196">
        <v>0</v>
      </c>
      <c r="Q196">
        <v>0</v>
      </c>
      <c r="R196">
        <v>0.12669541931152301</v>
      </c>
      <c r="S196">
        <v>-1.2712386131286601E-2</v>
      </c>
      <c r="T196">
        <v>0</v>
      </c>
      <c r="U196">
        <v>160.66</v>
      </c>
      <c r="V196">
        <v>-0.77600000000000002</v>
      </c>
      <c r="W196">
        <v>0.30499999999999999</v>
      </c>
      <c r="X196">
        <v>0.66300000000000003</v>
      </c>
      <c r="Y196" t="b">
        <v>1</v>
      </c>
      <c r="Z196" t="s">
        <v>50</v>
      </c>
      <c r="AA196">
        <f t="shared" si="38"/>
        <v>193.25192919217184</v>
      </c>
      <c r="AB196">
        <f t="shared" si="33"/>
        <v>12.669541931152301</v>
      </c>
      <c r="AC196">
        <f t="shared" si="47"/>
        <v>34.348642984883512</v>
      </c>
      <c r="AD196">
        <f t="shared" si="40"/>
        <v>-8.1471715009940784</v>
      </c>
      <c r="AE196">
        <f t="shared" ca="1" si="41"/>
        <v>10.414830255316486</v>
      </c>
      <c r="AG196" s="2">
        <f t="shared" si="45"/>
        <v>1.5381700000034471E-2</v>
      </c>
      <c r="AH196" s="2">
        <f t="shared" si="46"/>
        <v>6.1876345000000583</v>
      </c>
      <c r="AI196">
        <v>2916.1859104</v>
      </c>
      <c r="AJ196">
        <v>259.93567428571401</v>
      </c>
      <c r="AK196">
        <v>212.11603428571399</v>
      </c>
      <c r="AL196" s="2">
        <f t="shared" si="42"/>
        <v>185.4762514285712</v>
      </c>
      <c r="AM196" s="2">
        <f t="shared" si="34"/>
        <v>192.95573344484544</v>
      </c>
      <c r="AN196" s="2">
        <f t="shared" si="43"/>
        <v>7.4794820162742326</v>
      </c>
    </row>
    <row r="197" spans="1:40" x14ac:dyDescent="0.3">
      <c r="A197">
        <f t="shared" si="35"/>
        <v>0</v>
      </c>
      <c r="B197" s="2">
        <f t="shared" si="36"/>
        <v>16.072400000211928</v>
      </c>
      <c r="C197" s="2">
        <f t="shared" si="44"/>
        <v>16.707999999999998</v>
      </c>
      <c r="D197" s="2">
        <f t="shared" si="37"/>
        <v>2.8900909000003594</v>
      </c>
      <c r="E197" s="2"/>
      <c r="F197">
        <v>3224.5653885000002</v>
      </c>
      <c r="G197">
        <v>198.9</v>
      </c>
      <c r="H197">
        <v>27.3</v>
      </c>
      <c r="I197">
        <v>197.916</v>
      </c>
      <c r="J197">
        <v>27.954999999999998</v>
      </c>
      <c r="K197">
        <v>197.916</v>
      </c>
      <c r="L197">
        <v>27.954999999999998</v>
      </c>
      <c r="M197" t="s">
        <v>37</v>
      </c>
      <c r="N197">
        <v>0</v>
      </c>
      <c r="O197">
        <v>0</v>
      </c>
      <c r="P197">
        <v>0</v>
      </c>
      <c r="Q197">
        <v>0</v>
      </c>
      <c r="R197">
        <v>0.12669541931152301</v>
      </c>
      <c r="S197">
        <v>-1.2712386131286601E-2</v>
      </c>
      <c r="T197">
        <v>0</v>
      </c>
      <c r="U197">
        <v>160.66</v>
      </c>
      <c r="V197">
        <v>-0.77600000000000002</v>
      </c>
      <c r="W197">
        <v>0.30499999999999999</v>
      </c>
      <c r="X197">
        <v>0.66300000000000003</v>
      </c>
      <c r="Y197" t="b">
        <v>1</v>
      </c>
      <c r="Z197" t="s">
        <v>50</v>
      </c>
      <c r="AA197">
        <f t="shared" si="38"/>
        <v>193.18622175453791</v>
      </c>
      <c r="AB197">
        <f t="shared" si="33"/>
        <v>12.669541931152301</v>
      </c>
      <c r="AC197">
        <f t="shared" si="47"/>
        <v>34.552272930620447</v>
      </c>
      <c r="AD197" t="b">
        <f t="shared" si="40"/>
        <v>0</v>
      </c>
      <c r="AE197">
        <f t="shared" ca="1" si="41"/>
        <v>13.324528042033077</v>
      </c>
      <c r="AG197" s="2">
        <f t="shared" si="45"/>
        <v>4.7103100000185805E-2</v>
      </c>
      <c r="AH197" s="2">
        <f t="shared" si="46"/>
        <v>6.2347376000002441</v>
      </c>
      <c r="AI197">
        <v>2916.2330135000002</v>
      </c>
      <c r="AJ197">
        <v>260.26171428571399</v>
      </c>
      <c r="AK197">
        <v>214.113194285714</v>
      </c>
      <c r="AL197" s="2">
        <f t="shared" si="42"/>
        <v>187.47341142857121</v>
      </c>
      <c r="AM197" s="2">
        <f t="shared" si="34"/>
        <v>195.61560240221303</v>
      </c>
      <c r="AN197" s="2">
        <f t="shared" si="43"/>
        <v>8.1421909736418172</v>
      </c>
    </row>
    <row r="198" spans="1:40" x14ac:dyDescent="0.3">
      <c r="A198">
        <f t="shared" si="35"/>
        <v>0</v>
      </c>
      <c r="B198" s="2">
        <f t="shared" si="36"/>
        <v>15.282599999864033</v>
      </c>
      <c r="C198" s="2">
        <f t="shared" si="44"/>
        <v>-0.65499999999999758</v>
      </c>
      <c r="D198" s="2">
        <f t="shared" si="37"/>
        <v>2.9053735000002234</v>
      </c>
      <c r="E198" s="2"/>
      <c r="F198">
        <v>3224.5806711</v>
      </c>
      <c r="G198">
        <v>198.9</v>
      </c>
      <c r="H198">
        <v>27.3</v>
      </c>
      <c r="I198">
        <v>197.916</v>
      </c>
      <c r="J198">
        <v>27.3</v>
      </c>
      <c r="K198">
        <v>197.916</v>
      </c>
      <c r="L198">
        <v>27.3</v>
      </c>
      <c r="M198" t="s">
        <v>37</v>
      </c>
      <c r="N198">
        <v>0</v>
      </c>
      <c r="O198">
        <v>0</v>
      </c>
      <c r="P198">
        <v>0</v>
      </c>
      <c r="Q198">
        <v>0</v>
      </c>
      <c r="R198">
        <v>0.119881492614746</v>
      </c>
      <c r="S198">
        <v>-8.78947067260742E-3</v>
      </c>
      <c r="T198">
        <v>0</v>
      </c>
      <c r="U198">
        <v>160.63</v>
      </c>
      <c r="V198">
        <v>-0.68500000000000005</v>
      </c>
      <c r="W198">
        <v>0.23400000000000001</v>
      </c>
      <c r="X198">
        <v>0.66</v>
      </c>
      <c r="Y198" t="b">
        <v>1</v>
      </c>
      <c r="Z198" t="s">
        <v>50</v>
      </c>
      <c r="AA198">
        <f t="shared" si="38"/>
        <v>193.18622175453791</v>
      </c>
      <c r="AB198">
        <f t="shared" si="33"/>
        <v>11.9881492614746</v>
      </c>
      <c r="AC198">
        <f t="shared" si="47"/>
        <v>34.745896472135755</v>
      </c>
      <c r="AD198" t="b">
        <f t="shared" si="40"/>
        <v>0</v>
      </c>
      <c r="AE198">
        <f t="shared" ca="1" si="41"/>
        <v>13.1865511625317</v>
      </c>
      <c r="AG198" s="2">
        <f t="shared" si="45"/>
        <v>3.0969899999945483E-2</v>
      </c>
      <c r="AH198" s="2">
        <f t="shared" si="46"/>
        <v>6.2657075000001896</v>
      </c>
      <c r="AI198">
        <v>2916.2639834000001</v>
      </c>
      <c r="AJ198">
        <v>260.57791428571397</v>
      </c>
      <c r="AK198">
        <v>216.12083428571401</v>
      </c>
      <c r="AL198" s="2">
        <f t="shared" si="42"/>
        <v>189.48105142857122</v>
      </c>
      <c r="AM198" s="2">
        <f t="shared" si="34"/>
        <v>197.3672077239973</v>
      </c>
      <c r="AN198" s="2">
        <f t="shared" si="43"/>
        <v>7.8861562954260762</v>
      </c>
    </row>
    <row r="199" spans="1:40" x14ac:dyDescent="0.3">
      <c r="A199">
        <f t="shared" si="35"/>
        <v>0</v>
      </c>
      <c r="B199" s="2">
        <f t="shared" si="36"/>
        <v>15.932599999814556</v>
      </c>
      <c r="C199" s="2">
        <f t="shared" si="44"/>
        <v>4.1769999999999996</v>
      </c>
      <c r="D199" s="2">
        <f t="shared" si="37"/>
        <v>2.921306100000038</v>
      </c>
      <c r="E199" s="2"/>
      <c r="F199">
        <v>3224.5966036999998</v>
      </c>
      <c r="G199">
        <v>195</v>
      </c>
      <c r="H199">
        <v>29.25</v>
      </c>
      <c r="I199">
        <v>198.44399999999999</v>
      </c>
      <c r="J199">
        <v>31.477</v>
      </c>
      <c r="K199">
        <v>198.44399999999999</v>
      </c>
      <c r="L199">
        <v>31.477</v>
      </c>
      <c r="M199" t="s">
        <v>37</v>
      </c>
      <c r="N199">
        <v>0</v>
      </c>
      <c r="O199">
        <v>0</v>
      </c>
      <c r="P199">
        <v>0</v>
      </c>
      <c r="Q199">
        <v>0</v>
      </c>
      <c r="R199">
        <v>0.119881492614746</v>
      </c>
      <c r="S199">
        <v>-8.78947067260742E-3</v>
      </c>
      <c r="T199">
        <v>0</v>
      </c>
      <c r="U199">
        <v>160.63</v>
      </c>
      <c r="V199">
        <v>-0.68500000000000005</v>
      </c>
      <c r="W199">
        <v>0.23400000000000001</v>
      </c>
      <c r="X199">
        <v>0.66</v>
      </c>
      <c r="Y199" t="b">
        <v>1</v>
      </c>
      <c r="Z199" t="s">
        <v>50</v>
      </c>
      <c r="AA199">
        <f t="shared" si="38"/>
        <v>193.25192919217184</v>
      </c>
      <c r="AB199">
        <f t="shared" ref="AB199:AB257" si="48">R199*100</f>
        <v>11.9881492614746</v>
      </c>
      <c r="AC199">
        <f t="shared" si="47"/>
        <v>34.936898859056903</v>
      </c>
      <c r="AD199" t="b">
        <f t="shared" si="40"/>
        <v>0</v>
      </c>
      <c r="AE199">
        <f t="shared" ca="1" si="41"/>
        <v>13.079235811808408</v>
      </c>
      <c r="AG199" s="2">
        <f t="shared" si="45"/>
        <v>3.0881499999850348E-2</v>
      </c>
      <c r="AH199" s="2">
        <f t="shared" si="46"/>
        <v>6.29658900000004</v>
      </c>
      <c r="AI199">
        <v>2916.2948649</v>
      </c>
      <c r="AJ199">
        <v>260.87949142857099</v>
      </c>
      <c r="AK199">
        <v>218.02036000000001</v>
      </c>
      <c r="AL199" s="2">
        <f t="shared" si="42"/>
        <v>191.38057714285722</v>
      </c>
      <c r="AM199" s="2">
        <f t="shared" ref="AM199:AM208" si="49">IF(AH199&lt;$AM$3,0,$AM$1*((AH199-$AM$3)-$AM$2+($AM$2*(EXP(-1*(AH199-$AM$3)/$AM$2)))))</f>
        <v>199.11595397470907</v>
      </c>
      <c r="AN199" s="2">
        <f t="shared" si="43"/>
        <v>7.7353768318518519</v>
      </c>
    </row>
    <row r="200" spans="1:40" x14ac:dyDescent="0.3">
      <c r="A200">
        <f t="shared" ref="A200:A263" si="50">N200*100</f>
        <v>0</v>
      </c>
      <c r="B200" s="2">
        <f t="shared" ref="B200:B263" si="51">(F200-F199)*1000</f>
        <v>15.689400000155729</v>
      </c>
      <c r="C200" s="2">
        <f t="shared" si="44"/>
        <v>-0.26200000000000045</v>
      </c>
      <c r="D200" s="2">
        <f t="shared" ref="D200:D263" si="52">F200-$F$7</f>
        <v>2.9369955000001937</v>
      </c>
      <c r="E200" s="2"/>
      <c r="F200">
        <v>3224.6122931</v>
      </c>
      <c r="G200">
        <v>195</v>
      </c>
      <c r="H200">
        <v>29.25</v>
      </c>
      <c r="I200">
        <v>197.952</v>
      </c>
      <c r="J200">
        <v>31.215</v>
      </c>
      <c r="K200">
        <v>197.952</v>
      </c>
      <c r="L200">
        <v>31.215</v>
      </c>
      <c r="M200" t="s">
        <v>37</v>
      </c>
      <c r="N200">
        <v>0</v>
      </c>
      <c r="O200">
        <v>0</v>
      </c>
      <c r="P200">
        <v>0</v>
      </c>
      <c r="Q200">
        <v>0</v>
      </c>
      <c r="R200">
        <v>0.119881492614746</v>
      </c>
      <c r="S200">
        <v>-8.78947067260742E-3</v>
      </c>
      <c r="T200">
        <v>0</v>
      </c>
      <c r="U200">
        <v>160.63</v>
      </c>
      <c r="V200">
        <v>-0.68500000000000005</v>
      </c>
      <c r="W200">
        <v>0.23400000000000001</v>
      </c>
      <c r="X200">
        <v>0.66</v>
      </c>
      <c r="Y200" t="b">
        <v>1</v>
      </c>
      <c r="Z200" t="s">
        <v>50</v>
      </c>
      <c r="AA200">
        <f t="shared" ref="AA200:AA263" si="53">$K$4+($AA$4/$K$3*(K200-$K$4))</f>
        <v>193.19070180710386</v>
      </c>
      <c r="AB200">
        <f t="shared" si="48"/>
        <v>11.9881492614746</v>
      </c>
      <c r="AC200">
        <f t="shared" si="47"/>
        <v>35.124985728081747</v>
      </c>
      <c r="AD200">
        <f t="shared" ref="AD200:AD263" si="54">IF((L200-L199)/(D200-D199)&lt;100,IF((L200-L199)/(D200-D199)&gt;(-1*20),(L200-L199)/(D200-D199),AD199))</f>
        <v>-16.699172689675827</v>
      </c>
      <c r="AE200">
        <f t="shared" ref="AE200:AE263" ca="1" si="55">IF(ROW(AD200)-ROW($AD$7)+1&gt;=$AE$6, AVERAGE(OFFSET(AD200, 0, 0, $AE$6, 1)), NA())</f>
        <v>12.993383531229773</v>
      </c>
      <c r="AG200" s="2">
        <f t="shared" si="45"/>
        <v>3.1784899999820482E-2</v>
      </c>
      <c r="AH200" s="2">
        <f t="shared" si="46"/>
        <v>6.3283738999998604</v>
      </c>
      <c r="AI200">
        <v>2916.3266497999998</v>
      </c>
      <c r="AJ200">
        <v>261.17601142857097</v>
      </c>
      <c r="AK200">
        <v>220.05420000000001</v>
      </c>
      <c r="AL200" s="2">
        <f t="shared" ref="AL200:AL208" si="56">AK200-$AK$4</f>
        <v>193.41441714285722</v>
      </c>
      <c r="AM200" s="2">
        <f t="shared" si="49"/>
        <v>200.91805276438245</v>
      </c>
      <c r="AN200" s="2">
        <f t="shared" ref="AN200:AN208" si="57">ABS(AM200-AL200)</f>
        <v>7.503635621525234</v>
      </c>
    </row>
    <row r="201" spans="1:40" x14ac:dyDescent="0.3">
      <c r="A201">
        <f t="shared" si="50"/>
        <v>0</v>
      </c>
      <c r="B201" s="2">
        <f t="shared" si="51"/>
        <v>15.62980000016978</v>
      </c>
      <c r="C201" s="2">
        <f t="shared" ref="C201:C264" si="58">L201-L200</f>
        <v>0.39300000000000068</v>
      </c>
      <c r="D201" s="2">
        <f t="shared" si="52"/>
        <v>2.9526253000003635</v>
      </c>
      <c r="E201" s="2"/>
      <c r="F201">
        <v>3224.6279229000002</v>
      </c>
      <c r="G201">
        <v>195</v>
      </c>
      <c r="H201">
        <v>29.25</v>
      </c>
      <c r="I201">
        <v>195.86099999999999</v>
      </c>
      <c r="J201">
        <v>31.608000000000001</v>
      </c>
      <c r="K201">
        <v>195.86099999999999</v>
      </c>
      <c r="L201">
        <v>31.608000000000001</v>
      </c>
      <c r="M201" t="s">
        <v>37</v>
      </c>
      <c r="N201">
        <v>0</v>
      </c>
      <c r="O201">
        <v>0</v>
      </c>
      <c r="P201">
        <v>0</v>
      </c>
      <c r="Q201">
        <v>0</v>
      </c>
      <c r="R201">
        <v>0.119881492614746</v>
      </c>
      <c r="S201">
        <v>-8.78947067260742E-3</v>
      </c>
      <c r="T201">
        <v>0</v>
      </c>
      <c r="U201">
        <v>160.63</v>
      </c>
      <c r="V201">
        <v>-0.68500000000000005</v>
      </c>
      <c r="W201">
        <v>0.23400000000000001</v>
      </c>
      <c r="X201">
        <v>0.66</v>
      </c>
      <c r="Y201" t="b">
        <v>1</v>
      </c>
      <c r="Z201" t="s">
        <v>50</v>
      </c>
      <c r="AA201">
        <f t="shared" si="53"/>
        <v>192.93048542056493</v>
      </c>
      <c r="AB201">
        <f t="shared" si="48"/>
        <v>11.9881492614746</v>
      </c>
      <c r="AC201">
        <f t="shared" si="47"/>
        <v>35.31235810341078</v>
      </c>
      <c r="AD201">
        <f t="shared" si="54"/>
        <v>25.144275678238472</v>
      </c>
      <c r="AE201">
        <f t="shared" ca="1" si="55"/>
        <v>15.885372100799563</v>
      </c>
      <c r="AG201" s="2">
        <f t="shared" si="45"/>
        <v>3.179790000012872E-2</v>
      </c>
      <c r="AH201" s="2">
        <f t="shared" si="46"/>
        <v>6.3601717999999892</v>
      </c>
      <c r="AI201">
        <v>2916.3584476999999</v>
      </c>
      <c r="AJ201">
        <v>261.47253142857102</v>
      </c>
      <c r="AK201">
        <v>222.10375999999999</v>
      </c>
      <c r="AL201" s="2">
        <f t="shared" si="56"/>
        <v>195.4639771428572</v>
      </c>
      <c r="AM201" s="2">
        <f t="shared" si="49"/>
        <v>202.72307929815096</v>
      </c>
      <c r="AN201" s="2">
        <f t="shared" si="57"/>
        <v>7.2591021552937605</v>
      </c>
    </row>
    <row r="202" spans="1:40" x14ac:dyDescent="0.3">
      <c r="A202">
        <f t="shared" si="50"/>
        <v>0</v>
      </c>
      <c r="B202" s="2">
        <f t="shared" si="51"/>
        <v>14.972099999795319</v>
      </c>
      <c r="C202" s="2">
        <f t="shared" si="58"/>
        <v>-9.6043599999999998</v>
      </c>
      <c r="D202" s="2">
        <f t="shared" si="52"/>
        <v>2.9675974000001588</v>
      </c>
      <c r="E202" s="2"/>
      <c r="F202">
        <v>3224.642895</v>
      </c>
      <c r="G202">
        <v>195</v>
      </c>
      <c r="H202">
        <v>29.25</v>
      </c>
      <c r="I202">
        <v>195.49199999999999</v>
      </c>
      <c r="J202">
        <v>31.739000000000001</v>
      </c>
      <c r="K202">
        <v>197.30951999999999</v>
      </c>
      <c r="L202">
        <v>22.003640000000001</v>
      </c>
      <c r="M202" t="s">
        <v>37</v>
      </c>
      <c r="N202">
        <v>0</v>
      </c>
      <c r="O202">
        <v>0</v>
      </c>
      <c r="P202">
        <v>0</v>
      </c>
      <c r="Q202">
        <v>0</v>
      </c>
      <c r="R202">
        <v>0.119881492614746</v>
      </c>
      <c r="S202">
        <v>-8.78947067260742E-3</v>
      </c>
      <c r="T202">
        <v>0</v>
      </c>
      <c r="U202">
        <v>160.63</v>
      </c>
      <c r="V202">
        <v>-0.68500000000000005</v>
      </c>
      <c r="W202">
        <v>0.23400000000000001</v>
      </c>
      <c r="X202">
        <v>0.66</v>
      </c>
      <c r="Y202" t="b">
        <v>1</v>
      </c>
      <c r="Z202" t="s">
        <v>50</v>
      </c>
      <c r="AA202">
        <f t="shared" si="53"/>
        <v>193.11074780231021</v>
      </c>
      <c r="AB202">
        <f t="shared" si="48"/>
        <v>11.9881492614746</v>
      </c>
      <c r="AC202">
        <f t="shared" si="47"/>
        <v>35.491845872966053</v>
      </c>
      <c r="AD202">
        <f t="shared" si="54"/>
        <v>25.144275678238472</v>
      </c>
      <c r="AE202">
        <f t="shared" ca="1" si="55"/>
        <v>11.407613364463579</v>
      </c>
      <c r="AG202" s="2">
        <f t="shared" si="45"/>
        <v>3.1254699999863078E-2</v>
      </c>
      <c r="AH202" s="2">
        <f t="shared" si="46"/>
        <v>6.3914264999998522</v>
      </c>
      <c r="AI202">
        <v>2916.3897023999998</v>
      </c>
      <c r="AJ202">
        <v>261.76413142857098</v>
      </c>
      <c r="AK202">
        <v>224.16904</v>
      </c>
      <c r="AL202" s="2">
        <f t="shared" si="56"/>
        <v>197.5292571428572</v>
      </c>
      <c r="AM202" s="2">
        <f t="shared" si="49"/>
        <v>204.49937003027676</v>
      </c>
      <c r="AN202" s="2">
        <f t="shared" si="57"/>
        <v>6.9701128874195604</v>
      </c>
    </row>
    <row r="203" spans="1:40" x14ac:dyDescent="0.3">
      <c r="A203">
        <f t="shared" si="50"/>
        <v>0</v>
      </c>
      <c r="B203" s="2">
        <f t="shared" si="51"/>
        <v>15.575899999930698</v>
      </c>
      <c r="C203" s="2">
        <f t="shared" si="58"/>
        <v>0.35856000000000066</v>
      </c>
      <c r="D203" s="2">
        <f t="shared" si="52"/>
        <v>2.9831733000000895</v>
      </c>
      <c r="E203" s="2"/>
      <c r="F203">
        <v>3224.6584708999999</v>
      </c>
      <c r="G203">
        <v>195</v>
      </c>
      <c r="H203">
        <v>29.25</v>
      </c>
      <c r="I203">
        <v>194.87700000000001</v>
      </c>
      <c r="J203">
        <v>32.262999999999998</v>
      </c>
      <c r="K203">
        <v>197.27508</v>
      </c>
      <c r="L203">
        <v>22.362200000000001</v>
      </c>
      <c r="M203" t="s">
        <v>37</v>
      </c>
      <c r="N203">
        <v>0</v>
      </c>
      <c r="O203">
        <v>0</v>
      </c>
      <c r="P203">
        <v>0</v>
      </c>
      <c r="Q203">
        <v>0</v>
      </c>
      <c r="R203">
        <v>0.119881492614746</v>
      </c>
      <c r="S203">
        <v>-8.78947067260742E-3</v>
      </c>
      <c r="T203">
        <v>0</v>
      </c>
      <c r="U203">
        <v>160.63</v>
      </c>
      <c r="V203">
        <v>-0.67300000000000004</v>
      </c>
      <c r="W203">
        <v>0.23400000000000001</v>
      </c>
      <c r="X203">
        <v>0.66</v>
      </c>
      <c r="Y203" t="b">
        <v>1</v>
      </c>
      <c r="Z203" t="s">
        <v>50</v>
      </c>
      <c r="AA203">
        <f t="shared" si="53"/>
        <v>193.10646188535546</v>
      </c>
      <c r="AB203">
        <f t="shared" si="48"/>
        <v>11.9881492614746</v>
      </c>
      <c r="AC203">
        <f t="shared" si="47"/>
        <v>35.678572087047023</v>
      </c>
      <c r="AD203">
        <f t="shared" si="54"/>
        <v>23.020178609364208</v>
      </c>
      <c r="AE203">
        <f t="shared" ca="1" si="55"/>
        <v>7.0721719019611466</v>
      </c>
      <c r="AG203" s="2">
        <f t="shared" si="45"/>
        <v>4.6444500000234257E-2</v>
      </c>
      <c r="AH203" s="2">
        <f t="shared" si="46"/>
        <v>6.4378710000000865</v>
      </c>
      <c r="AI203">
        <v>2916.4361469</v>
      </c>
      <c r="AJ203">
        <v>262.05081142857102</v>
      </c>
      <c r="AK203">
        <v>225.45132000000001</v>
      </c>
      <c r="AL203" s="2">
        <f t="shared" si="56"/>
        <v>198.81153714285722</v>
      </c>
      <c r="AM203" s="2">
        <f t="shared" si="49"/>
        <v>207.14270833772281</v>
      </c>
      <c r="AN203" s="2">
        <f t="shared" si="57"/>
        <v>8.3311711948655898</v>
      </c>
    </row>
    <row r="204" spans="1:40" x14ac:dyDescent="0.3">
      <c r="A204">
        <f t="shared" si="50"/>
        <v>0</v>
      </c>
      <c r="B204" s="2">
        <f t="shared" si="51"/>
        <v>15.239700000165612</v>
      </c>
      <c r="C204" s="2">
        <f t="shared" si="58"/>
        <v>0.18623999999989849</v>
      </c>
      <c r="D204" s="2">
        <f t="shared" si="52"/>
        <v>2.9984130000002551</v>
      </c>
      <c r="E204" s="2"/>
      <c r="F204">
        <v>3224.6737106</v>
      </c>
      <c r="G204">
        <v>198.9</v>
      </c>
      <c r="H204">
        <v>27.3</v>
      </c>
      <c r="I204">
        <v>193.73400000000001</v>
      </c>
      <c r="J204">
        <v>28.216999999999999</v>
      </c>
      <c r="K204">
        <v>197.19</v>
      </c>
      <c r="L204">
        <v>22.5484399999999</v>
      </c>
      <c r="M204" t="s">
        <v>37</v>
      </c>
      <c r="N204">
        <v>0</v>
      </c>
      <c r="O204">
        <v>0</v>
      </c>
      <c r="P204">
        <v>0</v>
      </c>
      <c r="Q204">
        <v>0</v>
      </c>
      <c r="R204">
        <v>8.7956520080566397E-2</v>
      </c>
      <c r="S204">
        <v>-3.1327440738677902E-3</v>
      </c>
      <c r="T204">
        <v>0</v>
      </c>
      <c r="U204">
        <v>160.584</v>
      </c>
      <c r="V204">
        <v>-0.67300000000000004</v>
      </c>
      <c r="W204">
        <v>0.223</v>
      </c>
      <c r="X204">
        <v>0.66400000000000003</v>
      </c>
      <c r="Y204" t="b">
        <v>1</v>
      </c>
      <c r="Z204" t="s">
        <v>50</v>
      </c>
      <c r="AA204">
        <f t="shared" si="53"/>
        <v>193.09587402779127</v>
      </c>
      <c r="AB204">
        <f t="shared" si="48"/>
        <v>8.7956520080566403</v>
      </c>
      <c r="AC204">
        <f t="shared" si="47"/>
        <v>35.8612678853491</v>
      </c>
      <c r="AD204">
        <f t="shared" si="54"/>
        <v>12.220713006022073</v>
      </c>
      <c r="AE204">
        <f t="shared" ca="1" si="55"/>
        <v>3.1220443348139386</v>
      </c>
      <c r="AG204" s="2">
        <f t="shared" si="45"/>
        <v>3.0900499999916065E-2</v>
      </c>
      <c r="AH204" s="2">
        <f t="shared" si="46"/>
        <v>6.4687715000000026</v>
      </c>
      <c r="AI204">
        <v>2916.4670474</v>
      </c>
      <c r="AJ204">
        <v>262.33257142857099</v>
      </c>
      <c r="AK204">
        <v>226.75980000000001</v>
      </c>
      <c r="AL204" s="2">
        <f t="shared" si="56"/>
        <v>200.12001714285722</v>
      </c>
      <c r="AM204" s="2">
        <f t="shared" si="49"/>
        <v>208.90382498096085</v>
      </c>
      <c r="AN204" s="2">
        <f t="shared" si="57"/>
        <v>8.7838078381036269</v>
      </c>
    </row>
    <row r="205" spans="1:40" x14ac:dyDescent="0.3">
      <c r="A205">
        <f t="shared" si="50"/>
        <v>0</v>
      </c>
      <c r="B205" s="2">
        <f t="shared" si="51"/>
        <v>15.156299999944167</v>
      </c>
      <c r="C205" s="2">
        <f t="shared" si="58"/>
        <v>-0.5030399999999986</v>
      </c>
      <c r="D205" s="2">
        <f t="shared" si="52"/>
        <v>3.0135693000001993</v>
      </c>
      <c r="E205" s="2"/>
      <c r="F205">
        <v>3224.6888669</v>
      </c>
      <c r="G205">
        <v>195</v>
      </c>
      <c r="H205">
        <v>19.5</v>
      </c>
      <c r="I205">
        <v>193.77</v>
      </c>
      <c r="J205">
        <v>11.247</v>
      </c>
      <c r="K205">
        <v>197.09652</v>
      </c>
      <c r="L205">
        <v>22.045399999999901</v>
      </c>
      <c r="M205" t="s">
        <v>37</v>
      </c>
      <c r="N205">
        <v>0</v>
      </c>
      <c r="O205">
        <v>0</v>
      </c>
      <c r="P205">
        <v>0</v>
      </c>
      <c r="Q205">
        <v>0</v>
      </c>
      <c r="R205">
        <v>8.7956520080566397E-2</v>
      </c>
      <c r="S205">
        <v>-3.1327440738677902E-3</v>
      </c>
      <c r="T205">
        <v>0</v>
      </c>
      <c r="U205">
        <v>160.584</v>
      </c>
      <c r="V205">
        <v>-0.67300000000000004</v>
      </c>
      <c r="W205">
        <v>0.223</v>
      </c>
      <c r="X205">
        <v>0.66400000000000003</v>
      </c>
      <c r="Y205" t="b">
        <v>1</v>
      </c>
      <c r="Z205" t="s">
        <v>50</v>
      </c>
      <c r="AA205">
        <f t="shared" si="53"/>
        <v>193.08424082462835</v>
      </c>
      <c r="AB205">
        <f t="shared" si="48"/>
        <v>8.7956520080566403</v>
      </c>
      <c r="AC205">
        <f t="shared" si="47"/>
        <v>35.994577425878319</v>
      </c>
      <c r="AD205">
        <f t="shared" si="54"/>
        <v>12.220713006022073</v>
      </c>
      <c r="AE205">
        <f t="shared" ca="1" si="55"/>
        <v>0.28451727423894901</v>
      </c>
      <c r="AG205" s="2">
        <f t="shared" si="45"/>
        <v>3.0534399999851303E-2</v>
      </c>
      <c r="AH205" s="2">
        <f t="shared" si="46"/>
        <v>6.4993058999998539</v>
      </c>
      <c r="AI205">
        <v>2916.4975817999998</v>
      </c>
      <c r="AJ205">
        <v>262.61849142857102</v>
      </c>
      <c r="AK205">
        <v>228.38692</v>
      </c>
      <c r="AL205" s="2">
        <f t="shared" si="56"/>
        <v>201.74713714285721</v>
      </c>
      <c r="AM205" s="2">
        <f t="shared" si="49"/>
        <v>210.64596113564983</v>
      </c>
      <c r="AN205" s="2">
        <f t="shared" si="57"/>
        <v>8.8988239927926145</v>
      </c>
    </row>
    <row r="206" spans="1:40" x14ac:dyDescent="0.3">
      <c r="A206">
        <f t="shared" si="50"/>
        <v>0</v>
      </c>
      <c r="B206" s="2">
        <f t="shared" si="51"/>
        <v>15.480099999876984</v>
      </c>
      <c r="C206" s="2">
        <f t="shared" si="58"/>
        <v>-0.48732000000000042</v>
      </c>
      <c r="D206" s="2">
        <f t="shared" si="52"/>
        <v>3.0290494000000763</v>
      </c>
      <c r="E206" s="2"/>
      <c r="F206">
        <v>3224.7043469999999</v>
      </c>
      <c r="G206">
        <v>195</v>
      </c>
      <c r="H206">
        <v>19.5</v>
      </c>
      <c r="I206">
        <v>193.524</v>
      </c>
      <c r="J206">
        <v>11.64</v>
      </c>
      <c r="K206">
        <v>196.98336</v>
      </c>
      <c r="L206">
        <v>21.558079999999901</v>
      </c>
      <c r="M206" t="s">
        <v>37</v>
      </c>
      <c r="N206">
        <v>0</v>
      </c>
      <c r="O206">
        <v>0</v>
      </c>
      <c r="P206">
        <v>0</v>
      </c>
      <c r="Q206">
        <v>0</v>
      </c>
      <c r="R206">
        <v>9.53630218505859E-2</v>
      </c>
      <c r="S206">
        <v>7.0502414703369097E-3</v>
      </c>
      <c r="T206">
        <v>0</v>
      </c>
      <c r="U206">
        <v>160.58000000000001</v>
      </c>
      <c r="V206">
        <v>-0.11700000000000001</v>
      </c>
      <c r="W206">
        <v>0.27800000000000002</v>
      </c>
      <c r="X206">
        <v>0.66100000000000003</v>
      </c>
      <c r="Y206" t="b">
        <v>1</v>
      </c>
      <c r="Z206" t="s">
        <v>50</v>
      </c>
      <c r="AA206">
        <f t="shared" si="53"/>
        <v>193.0701585260627</v>
      </c>
      <c r="AB206">
        <f t="shared" si="48"/>
        <v>9.5363021850585898</v>
      </c>
      <c r="AC206">
        <f t="shared" si="47"/>
        <v>36.130734998527153</v>
      </c>
      <c r="AD206">
        <f t="shared" si="54"/>
        <v>12.220713006022073</v>
      </c>
      <c r="AE206">
        <f t="shared" ca="1" si="55"/>
        <v>-2.4859133940244895</v>
      </c>
      <c r="AG206" s="2">
        <f t="shared" si="45"/>
        <v>3.0968100000336563E-2</v>
      </c>
      <c r="AH206" s="2">
        <f t="shared" si="46"/>
        <v>6.5302740000001904</v>
      </c>
      <c r="AI206">
        <v>2916.5285499000001</v>
      </c>
      <c r="AJ206">
        <v>262.90301142857101</v>
      </c>
      <c r="AK206">
        <v>230.26476</v>
      </c>
      <c r="AL206" s="2">
        <f t="shared" si="56"/>
        <v>203.6249771428572</v>
      </c>
      <c r="AM206" s="2">
        <f t="shared" si="49"/>
        <v>212.4147240848624</v>
      </c>
      <c r="AN206" s="2">
        <f t="shared" si="57"/>
        <v>8.7897469420051948</v>
      </c>
    </row>
    <row r="207" spans="1:40" x14ac:dyDescent="0.3">
      <c r="A207">
        <f t="shared" si="50"/>
        <v>0</v>
      </c>
      <c r="B207" s="2">
        <f t="shared" si="51"/>
        <v>15.429100000346807</v>
      </c>
      <c r="C207" s="2">
        <f t="shared" si="58"/>
        <v>-0.46112000000000108</v>
      </c>
      <c r="D207" s="2">
        <f t="shared" si="52"/>
        <v>3.0444785000004231</v>
      </c>
      <c r="E207" s="2"/>
      <c r="F207">
        <v>3224.7197761000002</v>
      </c>
      <c r="G207">
        <v>195</v>
      </c>
      <c r="H207">
        <v>19.5</v>
      </c>
      <c r="I207">
        <v>193.27799999999999</v>
      </c>
      <c r="J207">
        <v>12.164</v>
      </c>
      <c r="K207">
        <v>196.84559999999999</v>
      </c>
      <c r="L207">
        <v>21.0969599999999</v>
      </c>
      <c r="M207" t="s">
        <v>37</v>
      </c>
      <c r="N207">
        <v>0</v>
      </c>
      <c r="O207">
        <v>0</v>
      </c>
      <c r="P207">
        <v>0</v>
      </c>
      <c r="Q207">
        <v>0</v>
      </c>
      <c r="R207">
        <v>9.53630218505859E-2</v>
      </c>
      <c r="S207">
        <v>7.0502414703369097E-3</v>
      </c>
      <c r="T207">
        <v>0</v>
      </c>
      <c r="U207">
        <v>160.58000000000001</v>
      </c>
      <c r="V207">
        <v>-0.11700000000000001</v>
      </c>
      <c r="W207">
        <v>0.27800000000000002</v>
      </c>
      <c r="X207">
        <v>0.66100000000000003</v>
      </c>
      <c r="Y207" t="b">
        <v>1</v>
      </c>
      <c r="Z207" t="s">
        <v>50</v>
      </c>
      <c r="AA207">
        <f t="shared" si="53"/>
        <v>193.05301485824367</v>
      </c>
      <c r="AB207">
        <f t="shared" si="48"/>
        <v>9.5363021850585898</v>
      </c>
      <c r="AC207">
        <f t="shared" si="47"/>
        <v>36.277871558573949</v>
      </c>
      <c r="AD207">
        <f t="shared" si="54"/>
        <v>12.220713006022073</v>
      </c>
      <c r="AE207">
        <f t="shared" ca="1" si="55"/>
        <v>-5.0815531140004859</v>
      </c>
      <c r="AG207" s="2">
        <f t="shared" si="45"/>
        <v>3.115559999969264E-2</v>
      </c>
      <c r="AH207" s="2">
        <f t="shared" si="46"/>
        <v>6.5614295999998831</v>
      </c>
      <c r="AI207">
        <v>2916.5597054999998</v>
      </c>
      <c r="AJ207">
        <v>263.189691428571</v>
      </c>
      <c r="AK207">
        <v>232.49771999999999</v>
      </c>
      <c r="AL207" s="2">
        <f t="shared" si="56"/>
        <v>205.8579371428572</v>
      </c>
      <c r="AM207" s="2">
        <f t="shared" si="49"/>
        <v>214.19607729023821</v>
      </c>
      <c r="AN207" s="2">
        <f t="shared" si="57"/>
        <v>8.3381401473810115</v>
      </c>
    </row>
    <row r="208" spans="1:40" x14ac:dyDescent="0.3">
      <c r="A208">
        <f t="shared" si="50"/>
        <v>0</v>
      </c>
      <c r="B208" s="2">
        <f t="shared" si="51"/>
        <v>15.371499999673688</v>
      </c>
      <c r="C208" s="2">
        <f t="shared" si="58"/>
        <v>-0.41920000000000002</v>
      </c>
      <c r="D208" s="2">
        <f t="shared" si="52"/>
        <v>3.0598500000000968</v>
      </c>
      <c r="E208" s="2"/>
      <c r="F208">
        <v>3224.7351475999999</v>
      </c>
      <c r="G208">
        <v>195</v>
      </c>
      <c r="H208">
        <v>19.5</v>
      </c>
      <c r="I208">
        <v>193.155</v>
      </c>
      <c r="J208">
        <v>12.8189999999999</v>
      </c>
      <c r="K208">
        <v>196.68816000000001</v>
      </c>
      <c r="L208">
        <v>20.6777599999999</v>
      </c>
      <c r="M208" t="s">
        <v>37</v>
      </c>
      <c r="N208">
        <v>0</v>
      </c>
      <c r="O208">
        <v>0</v>
      </c>
      <c r="P208">
        <v>0</v>
      </c>
      <c r="Q208">
        <v>0</v>
      </c>
      <c r="R208">
        <v>9.53630218505859E-2</v>
      </c>
      <c r="S208">
        <v>7.0502414703369097E-3</v>
      </c>
      <c r="T208">
        <v>0</v>
      </c>
      <c r="U208">
        <v>160.58000000000001</v>
      </c>
      <c r="V208">
        <v>-0.11700000000000001</v>
      </c>
      <c r="W208">
        <v>0.27800000000000002</v>
      </c>
      <c r="X208">
        <v>0.66100000000000003</v>
      </c>
      <c r="Y208" t="b">
        <v>1</v>
      </c>
      <c r="Z208" t="s">
        <v>50</v>
      </c>
      <c r="AA208">
        <f t="shared" si="53"/>
        <v>193.0334220950219</v>
      </c>
      <c r="AB208">
        <f t="shared" si="48"/>
        <v>9.5363021850585898</v>
      </c>
      <c r="AC208">
        <f t="shared" si="47"/>
        <v>36.424458827608468</v>
      </c>
      <c r="AD208">
        <f t="shared" si="54"/>
        <v>12.220713006022073</v>
      </c>
      <c r="AE208">
        <f t="shared" ca="1" si="55"/>
        <v>-2.0835870037665751</v>
      </c>
      <c r="AG208" s="2">
        <f t="shared" si="45"/>
        <v>3.0608000000029278E-2</v>
      </c>
      <c r="AH208" s="2">
        <f t="shared" si="46"/>
        <v>6.5920375999999123</v>
      </c>
      <c r="AI208">
        <v>2916.5903134999999</v>
      </c>
      <c r="AJ208">
        <v>263.46341142857102</v>
      </c>
      <c r="AK208">
        <v>234.36276000000001</v>
      </c>
      <c r="AL208" s="2">
        <f t="shared" si="56"/>
        <v>207.72297714285722</v>
      </c>
      <c r="AM208" s="2">
        <f t="shared" si="49"/>
        <v>215.94792787737939</v>
      </c>
      <c r="AN208" s="2">
        <f t="shared" si="57"/>
        <v>8.2249507345221673</v>
      </c>
    </row>
    <row r="209" spans="1:40" x14ac:dyDescent="0.3">
      <c r="A209">
        <f t="shared" si="50"/>
        <v>0</v>
      </c>
      <c r="B209" s="2">
        <f t="shared" si="51"/>
        <v>15.214400000331807</v>
      </c>
      <c r="C209" s="2">
        <f t="shared" si="58"/>
        <v>-0.37727999999999895</v>
      </c>
      <c r="D209" s="2">
        <f t="shared" si="52"/>
        <v>3.0750644000004286</v>
      </c>
      <c r="E209" s="2"/>
      <c r="F209">
        <v>3224.7503620000002</v>
      </c>
      <c r="G209">
        <v>195</v>
      </c>
      <c r="H209">
        <v>19.5</v>
      </c>
      <c r="I209">
        <v>193.03200000000001</v>
      </c>
      <c r="J209">
        <v>13.343</v>
      </c>
      <c r="K209">
        <v>196.51104000000001</v>
      </c>
      <c r="L209">
        <v>20.300479999999901</v>
      </c>
      <c r="M209" t="s">
        <v>37</v>
      </c>
      <c r="N209">
        <v>0</v>
      </c>
      <c r="O209">
        <v>0</v>
      </c>
      <c r="P209">
        <v>0</v>
      </c>
      <c r="Q209">
        <v>0</v>
      </c>
      <c r="R209">
        <v>9.53630218505859E-2</v>
      </c>
      <c r="S209">
        <v>7.0502414703369097E-3</v>
      </c>
      <c r="T209">
        <v>0</v>
      </c>
      <c r="U209">
        <v>160.58000000000001</v>
      </c>
      <c r="V209">
        <v>-0.11700000000000001</v>
      </c>
      <c r="W209">
        <v>0.27800000000000002</v>
      </c>
      <c r="X209">
        <v>0.66100000000000003</v>
      </c>
      <c r="Y209" t="b">
        <v>1</v>
      </c>
      <c r="Z209" t="s">
        <v>50</v>
      </c>
      <c r="AA209">
        <f t="shared" si="53"/>
        <v>193.01138023639743</v>
      </c>
      <c r="AB209">
        <f t="shared" si="48"/>
        <v>9.5363021850585898</v>
      </c>
      <c r="AC209">
        <f t="shared" si="47"/>
        <v>36.569547943575991</v>
      </c>
      <c r="AD209">
        <f t="shared" si="54"/>
        <v>12.220713006022073</v>
      </c>
      <c r="AE209">
        <f t="shared" ca="1" si="55"/>
        <v>1.0275097669871549</v>
      </c>
      <c r="AG209" s="2"/>
      <c r="AH209" s="2"/>
      <c r="AL209" s="2"/>
      <c r="AM209" s="2"/>
      <c r="AN209" s="2"/>
    </row>
    <row r="210" spans="1:40" x14ac:dyDescent="0.3">
      <c r="A210">
        <f t="shared" si="50"/>
        <v>0</v>
      </c>
      <c r="B210" s="2">
        <f t="shared" si="51"/>
        <v>15.359699999862642</v>
      </c>
      <c r="C210" s="2">
        <f t="shared" si="58"/>
        <v>-0.34584000000000259</v>
      </c>
      <c r="D210" s="2">
        <f t="shared" si="52"/>
        <v>3.0904241000002912</v>
      </c>
      <c r="E210" s="2"/>
      <c r="F210">
        <v>3224.7657217000001</v>
      </c>
      <c r="G210">
        <v>195</v>
      </c>
      <c r="H210">
        <v>19.5</v>
      </c>
      <c r="I210">
        <v>193.155</v>
      </c>
      <c r="J210">
        <v>13.605</v>
      </c>
      <c r="K210">
        <v>196.32900000000001</v>
      </c>
      <c r="L210">
        <v>19.954639999999898</v>
      </c>
      <c r="M210" t="s">
        <v>37</v>
      </c>
      <c r="N210">
        <v>0</v>
      </c>
      <c r="O210">
        <v>0</v>
      </c>
      <c r="P210">
        <v>0</v>
      </c>
      <c r="Q210">
        <v>0</v>
      </c>
      <c r="R210">
        <v>9.53630218505859E-2</v>
      </c>
      <c r="S210">
        <v>7.0502414703369097E-3</v>
      </c>
      <c r="T210">
        <v>0</v>
      </c>
      <c r="U210">
        <v>160.58000000000001</v>
      </c>
      <c r="V210">
        <v>0.92400000000000004</v>
      </c>
      <c r="W210">
        <v>0.27800000000000002</v>
      </c>
      <c r="X210">
        <v>0.66100000000000003</v>
      </c>
      <c r="Y210" t="b">
        <v>1</v>
      </c>
      <c r="Z210" t="s">
        <v>50</v>
      </c>
      <c r="AA210">
        <f t="shared" si="53"/>
        <v>192.98872610392229</v>
      </c>
      <c r="AB210">
        <f t="shared" si="48"/>
        <v>9.5363021850585898</v>
      </c>
      <c r="AC210">
        <f t="shared" si="47"/>
        <v>36.716022684246525</v>
      </c>
      <c r="AD210">
        <f t="shared" si="54"/>
        <v>12.220713006022073</v>
      </c>
      <c r="AE210">
        <f t="shared" ca="1" si="55"/>
        <v>1.130662753210514</v>
      </c>
      <c r="AG210" s="2"/>
      <c r="AH210" s="2"/>
      <c r="AL210" s="2"/>
      <c r="AM210" s="2"/>
      <c r="AN210" s="2"/>
    </row>
    <row r="211" spans="1:40" x14ac:dyDescent="0.3">
      <c r="A211">
        <f t="shared" si="50"/>
        <v>0</v>
      </c>
      <c r="B211" s="2">
        <f t="shared" si="51"/>
        <v>16.013599999951111</v>
      </c>
      <c r="C211" s="2">
        <f t="shared" si="58"/>
        <v>-0.31439999999989965</v>
      </c>
      <c r="D211" s="2">
        <f t="shared" si="52"/>
        <v>3.1064377000002423</v>
      </c>
      <c r="E211" s="2"/>
      <c r="F211">
        <v>3224.7817353</v>
      </c>
      <c r="G211">
        <v>195</v>
      </c>
      <c r="H211">
        <v>19.5</v>
      </c>
      <c r="I211">
        <v>193.40100000000001</v>
      </c>
      <c r="J211">
        <v>13.605</v>
      </c>
      <c r="K211">
        <v>196.14696000000001</v>
      </c>
      <c r="L211">
        <v>19.640239999999999</v>
      </c>
      <c r="M211" t="s">
        <v>37</v>
      </c>
      <c r="N211">
        <v>0</v>
      </c>
      <c r="O211">
        <v>0</v>
      </c>
      <c r="P211">
        <v>0</v>
      </c>
      <c r="Q211">
        <v>0</v>
      </c>
      <c r="R211">
        <v>8.2256347656250006E-2</v>
      </c>
      <c r="S211">
        <v>1.6678998947143499E-2</v>
      </c>
      <c r="T211">
        <v>0</v>
      </c>
      <c r="U211">
        <v>160.50399999999999</v>
      </c>
      <c r="V211">
        <v>0.92400000000000004</v>
      </c>
      <c r="W211">
        <v>6.8000000000000005E-2</v>
      </c>
      <c r="X211">
        <v>0.66300000000000003</v>
      </c>
      <c r="Y211" t="b">
        <v>1</v>
      </c>
      <c r="Z211" t="s">
        <v>50</v>
      </c>
      <c r="AA211">
        <f t="shared" si="53"/>
        <v>192.96607197144712</v>
      </c>
      <c r="AB211">
        <f t="shared" si="48"/>
        <v>8.2256347656250011</v>
      </c>
      <c r="AC211">
        <f t="shared" si="47"/>
        <v>36.868733212916716</v>
      </c>
      <c r="AD211">
        <f t="shared" si="54"/>
        <v>-19.633311685121367</v>
      </c>
      <c r="AE211">
        <f t="shared" ca="1" si="55"/>
        <v>3.7079612135585762</v>
      </c>
      <c r="AG211" s="2"/>
      <c r="AH211" s="2"/>
      <c r="AL211" s="2"/>
      <c r="AM211" s="2"/>
      <c r="AN211" s="2"/>
    </row>
    <row r="212" spans="1:40" x14ac:dyDescent="0.3">
      <c r="A212">
        <f t="shared" si="50"/>
        <v>0</v>
      </c>
      <c r="B212" s="2">
        <f t="shared" si="51"/>
        <v>16.114099999867904</v>
      </c>
      <c r="C212" s="2">
        <f t="shared" si="58"/>
        <v>-0.29343999999999681</v>
      </c>
      <c r="D212" s="2">
        <f t="shared" si="52"/>
        <v>3.1225518000001102</v>
      </c>
      <c r="E212" s="2"/>
      <c r="F212">
        <v>3224.7978493999999</v>
      </c>
      <c r="G212">
        <v>195</v>
      </c>
      <c r="H212">
        <v>19.5</v>
      </c>
      <c r="I212">
        <v>194.01599999999999</v>
      </c>
      <c r="J212">
        <v>13.343</v>
      </c>
      <c r="K212">
        <v>195.989519999999</v>
      </c>
      <c r="L212">
        <v>19.346800000000002</v>
      </c>
      <c r="M212" t="s">
        <v>37</v>
      </c>
      <c r="N212">
        <v>0</v>
      </c>
      <c r="O212">
        <v>0</v>
      </c>
      <c r="P212">
        <v>0</v>
      </c>
      <c r="Q212">
        <v>0</v>
      </c>
      <c r="R212">
        <v>8.2256347656250006E-2</v>
      </c>
      <c r="S212">
        <v>1.6678998947143499E-2</v>
      </c>
      <c r="T212">
        <v>0</v>
      </c>
      <c r="U212">
        <v>160.50399999999999</v>
      </c>
      <c r="V212">
        <v>0.92400000000000004</v>
      </c>
      <c r="W212">
        <v>6.8000000000000005E-2</v>
      </c>
      <c r="X212">
        <v>0.66300000000000003</v>
      </c>
      <c r="Y212" t="b">
        <v>1</v>
      </c>
      <c r="Z212" t="s">
        <v>50</v>
      </c>
      <c r="AA212">
        <f t="shared" si="53"/>
        <v>192.94647920822524</v>
      </c>
      <c r="AB212">
        <f t="shared" si="48"/>
        <v>8.2256347656250011</v>
      </c>
      <c r="AC212">
        <f t="shared" si="47"/>
        <v>37.001281914092388</v>
      </c>
      <c r="AD212">
        <f t="shared" si="54"/>
        <v>-18.210138946785879</v>
      </c>
      <c r="AE212">
        <f t="shared" ca="1" si="55"/>
        <v>12.412423671541465</v>
      </c>
      <c r="AG212" s="2"/>
      <c r="AH212" s="2"/>
      <c r="AL212" s="2"/>
      <c r="AM212" s="2"/>
      <c r="AN212" s="2"/>
    </row>
    <row r="213" spans="1:40" x14ac:dyDescent="0.3">
      <c r="A213">
        <f t="shared" si="50"/>
        <v>0</v>
      </c>
      <c r="B213" s="2">
        <f t="shared" si="51"/>
        <v>15.897000000222761</v>
      </c>
      <c r="C213" s="2">
        <f t="shared" si="58"/>
        <v>-0.26200000000000045</v>
      </c>
      <c r="D213" s="2">
        <f t="shared" si="52"/>
        <v>3.138448800000333</v>
      </c>
      <c r="E213" s="2"/>
      <c r="F213">
        <v>3224.8137464000001</v>
      </c>
      <c r="G213">
        <v>195</v>
      </c>
      <c r="H213">
        <v>19.5</v>
      </c>
      <c r="I213">
        <v>194.13900000000001</v>
      </c>
      <c r="J213">
        <v>13.212</v>
      </c>
      <c r="K213">
        <v>195.83699999999899</v>
      </c>
      <c r="L213">
        <v>19.084800000000001</v>
      </c>
      <c r="M213" t="s">
        <v>37</v>
      </c>
      <c r="N213">
        <v>0</v>
      </c>
      <c r="O213">
        <v>0</v>
      </c>
      <c r="P213">
        <v>0</v>
      </c>
      <c r="Q213">
        <v>0</v>
      </c>
      <c r="R213">
        <v>8.2256347656250006E-2</v>
      </c>
      <c r="S213">
        <v>1.6678998947143499E-2</v>
      </c>
      <c r="T213">
        <v>0</v>
      </c>
      <c r="U213">
        <v>160.50399999999999</v>
      </c>
      <c r="V213">
        <v>0.92400000000000004</v>
      </c>
      <c r="W213">
        <v>6.8000000000000005E-2</v>
      </c>
      <c r="X213">
        <v>0.66300000000000003</v>
      </c>
      <c r="Y213" t="b">
        <v>1</v>
      </c>
      <c r="Z213" t="s">
        <v>50</v>
      </c>
      <c r="AA213">
        <f t="shared" si="53"/>
        <v>192.92749871885417</v>
      </c>
      <c r="AB213">
        <f t="shared" si="48"/>
        <v>8.2256347656250011</v>
      </c>
      <c r="AC213">
        <f t="shared" si="47"/>
        <v>37.132044829963363</v>
      </c>
      <c r="AD213">
        <f t="shared" si="54"/>
        <v>-16.481097062107889</v>
      </c>
      <c r="AE213">
        <f t="shared" ca="1" si="55"/>
        <v>15.813777178462335</v>
      </c>
      <c r="AG213" s="2"/>
      <c r="AH213" s="2"/>
      <c r="AL213" s="2"/>
      <c r="AM213" s="2"/>
      <c r="AN213" s="2"/>
    </row>
    <row r="214" spans="1:40" x14ac:dyDescent="0.3">
      <c r="A214">
        <f t="shared" si="50"/>
        <v>0</v>
      </c>
      <c r="B214" s="2">
        <f t="shared" si="51"/>
        <v>15.569599999707862</v>
      </c>
      <c r="C214" s="2">
        <f t="shared" si="58"/>
        <v>-0.25152000000000285</v>
      </c>
      <c r="D214" s="2">
        <f t="shared" si="52"/>
        <v>3.1540184000000409</v>
      </c>
      <c r="E214" s="2"/>
      <c r="F214">
        <v>3224.8293159999998</v>
      </c>
      <c r="G214">
        <v>195</v>
      </c>
      <c r="H214">
        <v>19.5</v>
      </c>
      <c r="I214">
        <v>194.38499999999999</v>
      </c>
      <c r="J214">
        <v>12.687999999999899</v>
      </c>
      <c r="K214">
        <v>195.69924</v>
      </c>
      <c r="L214">
        <v>18.833279999999998</v>
      </c>
      <c r="M214" t="s">
        <v>37</v>
      </c>
      <c r="N214">
        <v>0</v>
      </c>
      <c r="O214">
        <v>0</v>
      </c>
      <c r="P214">
        <v>0</v>
      </c>
      <c r="Q214">
        <v>0</v>
      </c>
      <c r="R214">
        <v>8.2256347656250006E-2</v>
      </c>
      <c r="S214">
        <v>1.6678998947143499E-2</v>
      </c>
      <c r="T214">
        <v>0</v>
      </c>
      <c r="U214">
        <v>160.50399999999999</v>
      </c>
      <c r="V214">
        <v>0.92400000000000004</v>
      </c>
      <c r="W214">
        <v>6.8000000000000005E-2</v>
      </c>
      <c r="X214">
        <v>0.66300000000000003</v>
      </c>
      <c r="Y214" t="b">
        <v>1</v>
      </c>
      <c r="Z214" t="s">
        <v>50</v>
      </c>
      <c r="AA214">
        <f t="shared" si="53"/>
        <v>192.91035505103525</v>
      </c>
      <c r="AB214">
        <f t="shared" si="48"/>
        <v>8.2256347656250011</v>
      </c>
      <c r="AC214">
        <f t="shared" si="47"/>
        <v>37.260114673007834</v>
      </c>
      <c r="AD214">
        <f t="shared" si="54"/>
        <v>-16.154557599727816</v>
      </c>
      <c r="AE214">
        <f t="shared" ca="1" si="55"/>
        <v>22.115391993854754</v>
      </c>
      <c r="AG214" s="2"/>
      <c r="AH214" s="2"/>
      <c r="AL214" s="2"/>
      <c r="AM214" s="2"/>
      <c r="AN214" s="2"/>
    </row>
    <row r="215" spans="1:40" x14ac:dyDescent="0.3">
      <c r="A215">
        <f t="shared" si="50"/>
        <v>0</v>
      </c>
      <c r="B215" s="2">
        <f t="shared" si="51"/>
        <v>14.890599999944243</v>
      </c>
      <c r="C215" s="2">
        <f t="shared" si="58"/>
        <v>-0.23056000000010002</v>
      </c>
      <c r="D215" s="2">
        <f t="shared" si="52"/>
        <v>3.1689089999999851</v>
      </c>
      <c r="E215" s="2"/>
      <c r="F215">
        <v>3224.8442065999998</v>
      </c>
      <c r="G215">
        <v>195</v>
      </c>
      <c r="H215">
        <v>19.5</v>
      </c>
      <c r="I215">
        <v>194.38499999999999</v>
      </c>
      <c r="J215">
        <v>12.164</v>
      </c>
      <c r="K215">
        <v>195.57131999999999</v>
      </c>
      <c r="L215">
        <v>18.602719999999898</v>
      </c>
      <c r="M215" t="s">
        <v>37</v>
      </c>
      <c r="N215">
        <v>0</v>
      </c>
      <c r="O215">
        <v>0</v>
      </c>
      <c r="P215">
        <v>0</v>
      </c>
      <c r="Q215">
        <v>0</v>
      </c>
      <c r="R215">
        <v>9.0228073120117103E-2</v>
      </c>
      <c r="S215">
        <v>-2.3321392536163302E-3</v>
      </c>
      <c r="T215">
        <v>0</v>
      </c>
      <c r="U215">
        <v>160.49799999999999</v>
      </c>
      <c r="V215">
        <v>1.748</v>
      </c>
      <c r="W215">
        <v>-0.20799999999999999</v>
      </c>
      <c r="X215">
        <v>0.66900000000000004</v>
      </c>
      <c r="Y215" t="b">
        <v>1</v>
      </c>
      <c r="Z215" t="s">
        <v>50</v>
      </c>
      <c r="AA215">
        <f t="shared" si="53"/>
        <v>192.89443593091758</v>
      </c>
      <c r="AB215">
        <f t="shared" si="48"/>
        <v>9.0228073120117109</v>
      </c>
      <c r="AC215">
        <f t="shared" si="47"/>
        <v>37.382599310048391</v>
      </c>
      <c r="AD215">
        <f t="shared" si="54"/>
        <v>-15.483593676612315</v>
      </c>
      <c r="AE215">
        <f t="shared" ca="1" si="55"/>
        <v>24.298826832372818</v>
      </c>
      <c r="AG215" s="2"/>
      <c r="AH215" s="2"/>
      <c r="AL215" s="2"/>
      <c r="AM215" s="2"/>
      <c r="AN215" s="2"/>
    </row>
    <row r="216" spans="1:40" x14ac:dyDescent="0.3">
      <c r="A216">
        <f t="shared" si="50"/>
        <v>0</v>
      </c>
      <c r="B216" s="2">
        <f t="shared" si="51"/>
        <v>16.022500000417494</v>
      </c>
      <c r="C216" s="2">
        <f t="shared" si="58"/>
        <v>-0.22007999999989991</v>
      </c>
      <c r="D216" s="2">
        <f t="shared" si="52"/>
        <v>3.1849315000004026</v>
      </c>
      <c r="E216" s="2"/>
      <c r="F216">
        <v>3224.8602291000002</v>
      </c>
      <c r="G216">
        <v>195</v>
      </c>
      <c r="H216">
        <v>19.5</v>
      </c>
      <c r="I216">
        <v>194.13900000000001</v>
      </c>
      <c r="J216">
        <v>11.247</v>
      </c>
      <c r="K216">
        <v>195.43848</v>
      </c>
      <c r="L216">
        <v>18.382639999999999</v>
      </c>
      <c r="M216" t="s">
        <v>37</v>
      </c>
      <c r="N216">
        <v>0</v>
      </c>
      <c r="O216">
        <v>0</v>
      </c>
      <c r="P216">
        <v>0</v>
      </c>
      <c r="Q216">
        <v>0</v>
      </c>
      <c r="R216">
        <v>9.0228073120117103E-2</v>
      </c>
      <c r="S216">
        <v>-2.3321392536163302E-3</v>
      </c>
      <c r="T216">
        <v>0</v>
      </c>
      <c r="U216">
        <v>160.49799999999999</v>
      </c>
      <c r="V216">
        <v>1.748</v>
      </c>
      <c r="W216">
        <v>-0.20799999999999999</v>
      </c>
      <c r="X216">
        <v>0.66900000000000004</v>
      </c>
      <c r="Y216" t="b">
        <v>1</v>
      </c>
      <c r="Z216" t="s">
        <v>50</v>
      </c>
      <c r="AA216">
        <f t="shared" si="53"/>
        <v>192.87790453694925</v>
      </c>
      <c r="AB216">
        <f t="shared" si="48"/>
        <v>9.0228073120117109</v>
      </c>
      <c r="AC216">
        <f t="shared" si="47"/>
        <v>37.527167240208868</v>
      </c>
      <c r="AD216">
        <f t="shared" si="54"/>
        <v>-13.735684193737891</v>
      </c>
      <c r="AE216">
        <f t="shared" ca="1" si="55"/>
        <v>28.951119560819478</v>
      </c>
      <c r="AG216" s="2"/>
      <c r="AH216" s="2"/>
      <c r="AL216" s="2"/>
      <c r="AM216" s="2"/>
      <c r="AN216" s="2"/>
    </row>
    <row r="217" spans="1:40" x14ac:dyDescent="0.3">
      <c r="A217">
        <f t="shared" si="50"/>
        <v>0</v>
      </c>
      <c r="B217" s="2">
        <f t="shared" si="51"/>
        <v>15.450099999725353</v>
      </c>
      <c r="C217" s="2">
        <f t="shared" si="58"/>
        <v>0.65200000000000102</v>
      </c>
      <c r="D217" s="2">
        <f t="shared" si="52"/>
        <v>3.2003816000001279</v>
      </c>
      <c r="E217" s="2"/>
      <c r="F217">
        <v>3224.8756791999999</v>
      </c>
      <c r="G217">
        <v>195</v>
      </c>
      <c r="H217">
        <v>29.25</v>
      </c>
      <c r="I217">
        <v>194.262</v>
      </c>
      <c r="J217">
        <v>32.000999999999998</v>
      </c>
      <c r="K217">
        <v>195.31056000000001</v>
      </c>
      <c r="L217">
        <v>19.03464</v>
      </c>
      <c r="M217" t="s">
        <v>37</v>
      </c>
      <c r="N217">
        <v>0</v>
      </c>
      <c r="O217">
        <v>0</v>
      </c>
      <c r="P217">
        <v>0</v>
      </c>
      <c r="Q217">
        <v>0</v>
      </c>
      <c r="R217">
        <v>9.0228073120117103E-2</v>
      </c>
      <c r="S217">
        <v>-2.3321392536163302E-3</v>
      </c>
      <c r="T217">
        <v>0</v>
      </c>
      <c r="U217">
        <v>160.49799999999999</v>
      </c>
      <c r="V217">
        <v>1.748</v>
      </c>
      <c r="W217">
        <v>-0.20799999999999999</v>
      </c>
      <c r="X217">
        <v>0.66900000000000004</v>
      </c>
      <c r="Y217" t="b">
        <v>1</v>
      </c>
      <c r="Z217" t="s">
        <v>50</v>
      </c>
      <c r="AA217">
        <f t="shared" si="53"/>
        <v>192.86198541683154</v>
      </c>
      <c r="AB217">
        <f t="shared" si="48"/>
        <v>9.0228073120117109</v>
      </c>
      <c r="AC217">
        <f t="shared" si="47"/>
        <v>37.6665705154577</v>
      </c>
      <c r="AD217">
        <f t="shared" si="54"/>
        <v>42.200374108361189</v>
      </c>
      <c r="AE217">
        <f t="shared" ca="1" si="55"/>
        <v>33.357751631409585</v>
      </c>
      <c r="AG217" s="2"/>
      <c r="AH217" s="2"/>
      <c r="AL217" s="2"/>
      <c r="AM217" s="2"/>
      <c r="AN217" s="2"/>
    </row>
    <row r="218" spans="1:40" x14ac:dyDescent="0.3">
      <c r="A218">
        <f t="shared" si="50"/>
        <v>0</v>
      </c>
      <c r="B218" s="2">
        <f t="shared" si="51"/>
        <v>14.92580000012822</v>
      </c>
      <c r="C218" s="2">
        <f t="shared" si="58"/>
        <v>0.64676000000000045</v>
      </c>
      <c r="D218" s="2">
        <f t="shared" si="52"/>
        <v>3.2153074000002562</v>
      </c>
      <c r="E218" s="2"/>
      <c r="F218">
        <v>3224.8906050000001</v>
      </c>
      <c r="G218">
        <v>195</v>
      </c>
      <c r="H218">
        <v>29.25</v>
      </c>
      <c r="I218">
        <v>193.893</v>
      </c>
      <c r="J218">
        <v>30.56</v>
      </c>
      <c r="K218">
        <v>195.16296</v>
      </c>
      <c r="L218">
        <v>19.6814</v>
      </c>
      <c r="M218" t="s">
        <v>37</v>
      </c>
      <c r="N218">
        <v>0</v>
      </c>
      <c r="O218">
        <v>0</v>
      </c>
      <c r="P218">
        <v>0</v>
      </c>
      <c r="Q218">
        <v>0</v>
      </c>
      <c r="R218">
        <v>0.109498886108398</v>
      </c>
      <c r="S218">
        <v>-1.6653434753417899E-2</v>
      </c>
      <c r="T218">
        <v>0</v>
      </c>
      <c r="U218">
        <v>160.47</v>
      </c>
      <c r="V218">
        <v>1.748</v>
      </c>
      <c r="W218">
        <v>-0.29099999999999998</v>
      </c>
      <c r="X218">
        <v>0.66800000000000004</v>
      </c>
      <c r="Y218" t="b">
        <v>1</v>
      </c>
      <c r="Z218" t="s">
        <v>50</v>
      </c>
      <c r="AA218">
        <f t="shared" si="53"/>
        <v>192.84361720131116</v>
      </c>
      <c r="AB218">
        <f t="shared" si="48"/>
        <v>10.9498886108398</v>
      </c>
      <c r="AC218">
        <f t="shared" si="47"/>
        <v>37.801243132836483</v>
      </c>
      <c r="AD218">
        <f t="shared" si="54"/>
        <v>43.331680713559372</v>
      </c>
      <c r="AE218">
        <f t="shared" ca="1" si="55"/>
        <v>31.88387784088831</v>
      </c>
      <c r="AG218" s="2"/>
      <c r="AH218" s="2"/>
      <c r="AL218" s="2"/>
      <c r="AM218" s="2"/>
      <c r="AN218" s="2"/>
    </row>
    <row r="219" spans="1:40" x14ac:dyDescent="0.3">
      <c r="A219">
        <f t="shared" si="50"/>
        <v>0</v>
      </c>
      <c r="B219" s="2">
        <f t="shared" si="51"/>
        <v>47.617599999739468</v>
      </c>
      <c r="C219" s="2">
        <f t="shared" si="58"/>
        <v>0.63103999999999871</v>
      </c>
      <c r="D219" s="2">
        <f t="shared" si="52"/>
        <v>3.2629249999999956</v>
      </c>
      <c r="E219" s="2"/>
      <c r="F219">
        <v>3224.9382225999998</v>
      </c>
      <c r="G219">
        <v>195</v>
      </c>
      <c r="H219">
        <v>29.25</v>
      </c>
      <c r="I219">
        <v>193.77</v>
      </c>
      <c r="J219">
        <v>28.988</v>
      </c>
      <c r="K219">
        <v>195.00059999999999</v>
      </c>
      <c r="L219">
        <v>20.312439999999999</v>
      </c>
      <c r="M219" t="s">
        <v>37</v>
      </c>
      <c r="N219">
        <v>0</v>
      </c>
      <c r="O219">
        <v>0</v>
      </c>
      <c r="P219">
        <v>0</v>
      </c>
      <c r="Q219">
        <v>0</v>
      </c>
      <c r="R219">
        <v>0.109498886108398</v>
      </c>
      <c r="S219">
        <v>-1.6653434753417899E-2</v>
      </c>
      <c r="T219">
        <v>0</v>
      </c>
      <c r="U219">
        <v>160.47</v>
      </c>
      <c r="V219">
        <v>1.748</v>
      </c>
      <c r="W219">
        <v>-0.29099999999999998</v>
      </c>
      <c r="X219">
        <v>0.66800000000000004</v>
      </c>
      <c r="Y219" t="b">
        <v>1</v>
      </c>
      <c r="Z219" t="s">
        <v>50</v>
      </c>
      <c r="AA219">
        <f t="shared" si="53"/>
        <v>192.82341216423873</v>
      </c>
      <c r="AB219">
        <f t="shared" si="48"/>
        <v>10.9498886108398</v>
      </c>
      <c r="AC219">
        <f t="shared" si="47"/>
        <v>38.322650548749152</v>
      </c>
      <c r="AD219">
        <f t="shared" si="54"/>
        <v>13.252242868255673</v>
      </c>
      <c r="AE219">
        <f t="shared" ca="1" si="55"/>
        <v>28.783281730735546</v>
      </c>
      <c r="AG219" s="2"/>
      <c r="AH219" s="2"/>
      <c r="AL219" s="2"/>
      <c r="AM219" s="2"/>
      <c r="AN219" s="2"/>
    </row>
    <row r="220" spans="1:40" x14ac:dyDescent="0.3">
      <c r="A220">
        <f t="shared" si="50"/>
        <v>0</v>
      </c>
      <c r="B220" s="2">
        <f t="shared" si="51"/>
        <v>16.057400000136113</v>
      </c>
      <c r="C220" s="2">
        <f t="shared" si="58"/>
        <v>0.61007999999999996</v>
      </c>
      <c r="D220" s="2">
        <f t="shared" si="52"/>
        <v>3.2789824000001317</v>
      </c>
      <c r="E220" s="2"/>
      <c r="F220">
        <v>3224.9542799999999</v>
      </c>
      <c r="G220">
        <v>195</v>
      </c>
      <c r="H220">
        <v>29.25</v>
      </c>
      <c r="I220">
        <v>193.64699999999999</v>
      </c>
      <c r="J220">
        <v>27.416</v>
      </c>
      <c r="K220">
        <v>194.82347999999999</v>
      </c>
      <c r="L220">
        <v>20.922519999999999</v>
      </c>
      <c r="M220" t="s">
        <v>37</v>
      </c>
      <c r="N220">
        <v>0</v>
      </c>
      <c r="O220">
        <v>0</v>
      </c>
      <c r="P220">
        <v>0</v>
      </c>
      <c r="Q220">
        <v>0</v>
      </c>
      <c r="R220">
        <v>0.109498886108398</v>
      </c>
      <c r="S220">
        <v>-1.6653434753417899E-2</v>
      </c>
      <c r="T220">
        <v>0</v>
      </c>
      <c r="U220">
        <v>160.47</v>
      </c>
      <c r="V220">
        <v>1.748</v>
      </c>
      <c r="W220">
        <v>-0.29099999999999998</v>
      </c>
      <c r="X220">
        <v>0.66800000000000004</v>
      </c>
      <c r="Y220" t="b">
        <v>1</v>
      </c>
      <c r="Z220" t="s">
        <v>50</v>
      </c>
      <c r="AA220">
        <f t="shared" si="53"/>
        <v>192.80137030561426</v>
      </c>
      <c r="AB220">
        <f t="shared" si="48"/>
        <v>10.9498886108398</v>
      </c>
      <c r="AC220">
        <f t="shared" si="47"/>
        <v>38.498477290130339</v>
      </c>
      <c r="AD220">
        <f t="shared" si="54"/>
        <v>37.993697609502689</v>
      </c>
      <c r="AE220">
        <f t="shared" ca="1" si="55"/>
        <v>29.07755326124515</v>
      </c>
      <c r="AG220" s="2"/>
      <c r="AH220" s="2"/>
      <c r="AL220" s="2"/>
      <c r="AM220" s="2"/>
      <c r="AN220" s="2"/>
    </row>
    <row r="221" spans="1:40" x14ac:dyDescent="0.3">
      <c r="A221">
        <f t="shared" si="50"/>
        <v>0</v>
      </c>
      <c r="B221" s="2">
        <f t="shared" si="51"/>
        <v>15.362999999979365</v>
      </c>
      <c r="C221" s="2">
        <f t="shared" si="58"/>
        <v>1.0356400000000008</v>
      </c>
      <c r="D221" s="2">
        <f t="shared" si="52"/>
        <v>3.2943454000001111</v>
      </c>
      <c r="E221" s="2"/>
      <c r="F221">
        <v>3224.9696429999999</v>
      </c>
      <c r="G221">
        <v>199.875</v>
      </c>
      <c r="H221">
        <v>34.125</v>
      </c>
      <c r="I221">
        <v>192.864</v>
      </c>
      <c r="J221">
        <v>37.137999999999998</v>
      </c>
      <c r="K221">
        <v>194.60028</v>
      </c>
      <c r="L221">
        <v>21.958159999999999</v>
      </c>
      <c r="M221" t="s">
        <v>37</v>
      </c>
      <c r="N221">
        <v>0</v>
      </c>
      <c r="O221">
        <v>0</v>
      </c>
      <c r="P221">
        <v>0</v>
      </c>
      <c r="Q221">
        <v>0</v>
      </c>
      <c r="R221">
        <v>9.7129402160644501E-2</v>
      </c>
      <c r="S221">
        <v>-1.5438673019409099E-2</v>
      </c>
      <c r="T221">
        <v>0</v>
      </c>
      <c r="U221">
        <v>160.36600000000001</v>
      </c>
      <c r="V221">
        <v>2.359</v>
      </c>
      <c r="W221">
        <v>-8.4000000000000005E-2</v>
      </c>
      <c r="X221">
        <v>0.66700000000000004</v>
      </c>
      <c r="Y221" t="b">
        <v>1</v>
      </c>
      <c r="Z221" t="s">
        <v>50</v>
      </c>
      <c r="AA221">
        <f t="shared" si="53"/>
        <v>192.77359397970537</v>
      </c>
      <c r="AB221">
        <f t="shared" si="48"/>
        <v>9.7129402160644496</v>
      </c>
      <c r="AC221">
        <f t="shared" si="47"/>
        <v>38.666700428858448</v>
      </c>
      <c r="AD221">
        <f t="shared" si="54"/>
        <v>67.411312894707535</v>
      </c>
      <c r="AE221">
        <f t="shared" ca="1" si="55"/>
        <v>29.054368105209495</v>
      </c>
      <c r="AG221" s="2"/>
      <c r="AH221" s="2"/>
      <c r="AL221" s="2"/>
      <c r="AM221" s="2"/>
      <c r="AN221" s="2"/>
    </row>
    <row r="222" spans="1:40" x14ac:dyDescent="0.3">
      <c r="A222">
        <f t="shared" si="50"/>
        <v>0</v>
      </c>
      <c r="B222" s="2">
        <f t="shared" si="51"/>
        <v>47.518899999886344</v>
      </c>
      <c r="C222" s="2">
        <f t="shared" si="58"/>
        <v>0.75095999999999918</v>
      </c>
      <c r="D222" s="2">
        <f t="shared" si="52"/>
        <v>3.3418642999999975</v>
      </c>
      <c r="E222" s="2"/>
      <c r="F222">
        <v>3225.0171618999998</v>
      </c>
      <c r="G222">
        <v>195</v>
      </c>
      <c r="H222">
        <v>39</v>
      </c>
      <c r="I222">
        <v>194.01599999999999</v>
      </c>
      <c r="J222">
        <v>46.728999999999999</v>
      </c>
      <c r="K222">
        <v>194.44427999999999</v>
      </c>
      <c r="L222">
        <v>22.709119999999999</v>
      </c>
      <c r="M222" t="s">
        <v>37</v>
      </c>
      <c r="N222">
        <v>0</v>
      </c>
      <c r="O222">
        <v>0</v>
      </c>
      <c r="P222">
        <v>0</v>
      </c>
      <c r="Q222">
        <v>0</v>
      </c>
      <c r="R222">
        <v>9.7129402160644501E-2</v>
      </c>
      <c r="S222">
        <v>-1.5438673019409099E-2</v>
      </c>
      <c r="T222">
        <v>0</v>
      </c>
      <c r="U222">
        <v>160.36600000000001</v>
      </c>
      <c r="V222">
        <v>2.359</v>
      </c>
      <c r="W222">
        <v>-8.4000000000000005E-2</v>
      </c>
      <c r="X222">
        <v>0.66700000000000004</v>
      </c>
      <c r="Y222" t="b">
        <v>1</v>
      </c>
      <c r="Z222" t="s">
        <v>50</v>
      </c>
      <c r="AA222">
        <f t="shared" si="53"/>
        <v>192.75418041858623</v>
      </c>
      <c r="AB222">
        <f t="shared" si="48"/>
        <v>9.7129402160644496</v>
      </c>
      <c r="AC222">
        <f t="shared" si="47"/>
        <v>39.128248663690492</v>
      </c>
      <c r="AD222">
        <f t="shared" si="54"/>
        <v>15.80339612242277</v>
      </c>
      <c r="AE222">
        <f t="shared" ca="1" si="55"/>
        <v>25.914656903910338</v>
      </c>
      <c r="AG222" s="2"/>
      <c r="AH222" s="2"/>
      <c r="AL222" s="2"/>
      <c r="AM222" s="2"/>
      <c r="AN222" s="2"/>
    </row>
    <row r="223" spans="1:40" x14ac:dyDescent="0.3">
      <c r="A223">
        <f t="shared" si="50"/>
        <v>0</v>
      </c>
      <c r="B223" s="2">
        <f t="shared" si="51"/>
        <v>15.687100000377541</v>
      </c>
      <c r="C223" s="2">
        <f t="shared" si="58"/>
        <v>0.73000000000000043</v>
      </c>
      <c r="D223" s="2">
        <f t="shared" si="52"/>
        <v>3.357551400000375</v>
      </c>
      <c r="E223" s="2"/>
      <c r="F223">
        <v>3225.0328490000002</v>
      </c>
      <c r="G223">
        <v>195</v>
      </c>
      <c r="H223">
        <v>39</v>
      </c>
      <c r="I223">
        <v>194.01599999999999</v>
      </c>
      <c r="J223">
        <v>45.55</v>
      </c>
      <c r="K223">
        <v>194.28827999999999</v>
      </c>
      <c r="L223">
        <v>23.439119999999999</v>
      </c>
      <c r="M223" t="s">
        <v>37</v>
      </c>
      <c r="N223">
        <v>0</v>
      </c>
      <c r="O223">
        <v>0</v>
      </c>
      <c r="P223">
        <v>0</v>
      </c>
      <c r="Q223">
        <v>0</v>
      </c>
      <c r="R223">
        <v>0.109153625488281</v>
      </c>
      <c r="S223">
        <v>-2.4169912338256799E-2</v>
      </c>
      <c r="T223">
        <v>0</v>
      </c>
      <c r="U223">
        <v>160.36500000000001</v>
      </c>
      <c r="V223">
        <v>2.5169999999999999</v>
      </c>
      <c r="W223">
        <v>-0.13900000000000001</v>
      </c>
      <c r="X223">
        <v>0.66600000000000004</v>
      </c>
      <c r="Y223" t="b">
        <v>1</v>
      </c>
      <c r="Z223" t="s">
        <v>50</v>
      </c>
      <c r="AA223">
        <f t="shared" si="53"/>
        <v>192.73476685746712</v>
      </c>
      <c r="AB223">
        <f t="shared" si="48"/>
        <v>10.915362548828099</v>
      </c>
      <c r="AC223">
        <f t="shared" si="47"/>
        <v>39.280616528157587</v>
      </c>
      <c r="AD223">
        <f t="shared" si="54"/>
        <v>46.535051091816307</v>
      </c>
      <c r="AE223">
        <f t="shared" ca="1" si="55"/>
        <v>27.916115429504924</v>
      </c>
      <c r="AG223" s="2"/>
      <c r="AH223" s="2"/>
      <c r="AL223" s="2"/>
      <c r="AM223" s="2"/>
      <c r="AN223" s="2"/>
    </row>
    <row r="224" spans="1:40" x14ac:dyDescent="0.3">
      <c r="A224">
        <f t="shared" si="50"/>
        <v>0</v>
      </c>
      <c r="B224" s="2">
        <f t="shared" si="51"/>
        <v>92.651299999943149</v>
      </c>
      <c r="C224" s="2">
        <f t="shared" si="58"/>
        <v>0.5262399999999019</v>
      </c>
      <c r="D224" s="2">
        <f t="shared" si="52"/>
        <v>3.4502027000003181</v>
      </c>
      <c r="E224" s="2"/>
      <c r="F224">
        <v>3225.1255003000001</v>
      </c>
      <c r="G224">
        <v>195</v>
      </c>
      <c r="H224">
        <v>39</v>
      </c>
      <c r="I224">
        <v>193.893</v>
      </c>
      <c r="J224">
        <v>44.633000000000003</v>
      </c>
      <c r="K224">
        <v>194.10623999999899</v>
      </c>
      <c r="L224">
        <v>23.965359999999901</v>
      </c>
      <c r="M224" t="s">
        <v>37</v>
      </c>
      <c r="N224">
        <v>0</v>
      </c>
      <c r="O224">
        <v>0</v>
      </c>
      <c r="P224">
        <v>0</v>
      </c>
      <c r="Q224">
        <v>0</v>
      </c>
      <c r="R224">
        <v>9.6126281738281194E-2</v>
      </c>
      <c r="S224">
        <v>-3.2927272796630797E-2</v>
      </c>
      <c r="T224">
        <v>0</v>
      </c>
      <c r="U224">
        <v>160.35300000000001</v>
      </c>
      <c r="V224">
        <v>2.5169999999999999</v>
      </c>
      <c r="W224">
        <v>-8.8999999999999996E-2</v>
      </c>
      <c r="X224">
        <v>0.67</v>
      </c>
      <c r="Y224" t="b">
        <v>1</v>
      </c>
      <c r="Z224" t="s">
        <v>50</v>
      </c>
      <c r="AA224">
        <f t="shared" si="53"/>
        <v>192.71211272499184</v>
      </c>
      <c r="AB224">
        <f t="shared" si="48"/>
        <v>9.612628173828119</v>
      </c>
      <c r="AC224">
        <f t="shared" si="47"/>
        <v>40.291939058277201</v>
      </c>
      <c r="AD224">
        <f t="shared" si="54"/>
        <v>5.6797907854528198</v>
      </c>
      <c r="AE224">
        <f t="shared" ca="1" si="55"/>
        <v>24.357252999424439</v>
      </c>
      <c r="AG224" s="2"/>
      <c r="AH224" s="2"/>
      <c r="AL224" s="2"/>
      <c r="AM224" s="2"/>
      <c r="AN224" s="2"/>
    </row>
    <row r="225" spans="1:40" x14ac:dyDescent="0.3">
      <c r="A225">
        <f t="shared" si="50"/>
        <v>0</v>
      </c>
      <c r="B225" s="2">
        <f t="shared" si="51"/>
        <v>16.278699999929813</v>
      </c>
      <c r="C225" s="2">
        <f t="shared" si="58"/>
        <v>0.50527999999999906</v>
      </c>
      <c r="D225" s="2">
        <f t="shared" si="52"/>
        <v>3.466481400000248</v>
      </c>
      <c r="E225" s="2"/>
      <c r="F225">
        <v>3225.141779</v>
      </c>
      <c r="G225">
        <v>195</v>
      </c>
      <c r="H225">
        <v>39</v>
      </c>
      <c r="I225">
        <v>193.893</v>
      </c>
      <c r="J225">
        <v>43.847000000000001</v>
      </c>
      <c r="K225">
        <v>193.94388000000001</v>
      </c>
      <c r="L225">
        <v>24.4706399999999</v>
      </c>
      <c r="M225" t="s">
        <v>37</v>
      </c>
      <c r="N225">
        <v>0</v>
      </c>
      <c r="O225">
        <v>0</v>
      </c>
      <c r="P225">
        <v>0</v>
      </c>
      <c r="Q225">
        <v>0</v>
      </c>
      <c r="R225">
        <v>9.6126281738281194E-2</v>
      </c>
      <c r="S225">
        <v>-3.2927272796630797E-2</v>
      </c>
      <c r="T225">
        <v>0</v>
      </c>
      <c r="U225">
        <v>160.35300000000001</v>
      </c>
      <c r="V225">
        <v>2.5169999999999999</v>
      </c>
      <c r="W225">
        <v>-8.8999999999999996E-2</v>
      </c>
      <c r="X225">
        <v>0.67</v>
      </c>
      <c r="Y225" t="b">
        <v>1</v>
      </c>
      <c r="Z225" t="s">
        <v>50</v>
      </c>
      <c r="AA225">
        <f t="shared" si="53"/>
        <v>192.69190768791952</v>
      </c>
      <c r="AB225">
        <f t="shared" si="48"/>
        <v>9.612628173828119</v>
      </c>
      <c r="AC225">
        <f t="shared" si="47"/>
        <v>40.44842014852982</v>
      </c>
      <c r="AD225">
        <f t="shared" si="54"/>
        <v>31.039333607854289</v>
      </c>
      <c r="AE225">
        <f t="shared" ca="1" si="55"/>
        <v>29.993851257053745</v>
      </c>
      <c r="AG225" s="2"/>
      <c r="AH225" s="2"/>
      <c r="AL225" s="2"/>
      <c r="AM225" s="2"/>
      <c r="AN225" s="2"/>
    </row>
    <row r="226" spans="1:40" x14ac:dyDescent="0.3">
      <c r="A226">
        <f t="shared" si="50"/>
        <v>0</v>
      </c>
      <c r="B226" s="2">
        <f t="shared" si="51"/>
        <v>15.104199999768753</v>
      </c>
      <c r="C226" s="2">
        <f t="shared" si="58"/>
        <v>0.45812000000000097</v>
      </c>
      <c r="D226" s="2">
        <f t="shared" si="52"/>
        <v>3.4815856000000167</v>
      </c>
      <c r="E226" s="2"/>
      <c r="F226">
        <v>3225.1568831999998</v>
      </c>
      <c r="G226">
        <v>195</v>
      </c>
      <c r="H226">
        <v>39</v>
      </c>
      <c r="I226">
        <v>194.01599999999999</v>
      </c>
      <c r="J226">
        <v>43.061</v>
      </c>
      <c r="K226">
        <v>193.87007999999901</v>
      </c>
      <c r="L226">
        <v>24.928759999999901</v>
      </c>
      <c r="M226" t="s">
        <v>37</v>
      </c>
      <c r="N226">
        <v>0</v>
      </c>
      <c r="O226">
        <v>0</v>
      </c>
      <c r="P226">
        <v>0</v>
      </c>
      <c r="Q226">
        <v>0</v>
      </c>
      <c r="R226">
        <v>9.6126281738281194E-2</v>
      </c>
      <c r="S226">
        <v>-3.2927272796630797E-2</v>
      </c>
      <c r="T226">
        <v>0</v>
      </c>
      <c r="U226">
        <v>160.35300000000001</v>
      </c>
      <c r="V226">
        <v>2.5169999999999999</v>
      </c>
      <c r="W226">
        <v>-8.8999999999999996E-2</v>
      </c>
      <c r="X226">
        <v>0.67</v>
      </c>
      <c r="Y226" t="b">
        <v>1</v>
      </c>
      <c r="Z226" t="s">
        <v>50</v>
      </c>
      <c r="AA226">
        <f t="shared" si="53"/>
        <v>192.68272358015921</v>
      </c>
      <c r="AB226">
        <f t="shared" si="48"/>
        <v>9.612628173828119</v>
      </c>
      <c r="AC226">
        <f t="shared" si="47"/>
        <v>40.59361120699073</v>
      </c>
      <c r="AD226">
        <f t="shared" si="54"/>
        <v>30.330636512163164</v>
      </c>
      <c r="AE226">
        <f t="shared" ca="1" si="55"/>
        <v>32.979050419024723</v>
      </c>
      <c r="AG226" s="2"/>
      <c r="AH226" s="2"/>
      <c r="AL226" s="2"/>
      <c r="AM226" s="2"/>
      <c r="AN226" s="2"/>
    </row>
    <row r="227" spans="1:40" x14ac:dyDescent="0.3">
      <c r="A227">
        <f t="shared" si="50"/>
        <v>0</v>
      </c>
      <c r="B227" s="2">
        <f t="shared" si="51"/>
        <v>15.346500000305241</v>
      </c>
      <c r="C227" s="2">
        <f t="shared" si="58"/>
        <v>0.42144000000000048</v>
      </c>
      <c r="D227" s="2">
        <f t="shared" si="52"/>
        <v>3.496932100000322</v>
      </c>
      <c r="E227" s="2"/>
      <c r="F227">
        <v>3225.1722297000001</v>
      </c>
      <c r="G227">
        <v>195</v>
      </c>
      <c r="H227">
        <v>39</v>
      </c>
      <c r="I227">
        <v>194.13900000000001</v>
      </c>
      <c r="J227">
        <v>42.274999999999999</v>
      </c>
      <c r="K227">
        <v>193.81595999999999</v>
      </c>
      <c r="L227">
        <v>25.350199999999901</v>
      </c>
      <c r="M227" t="s">
        <v>37</v>
      </c>
      <c r="N227">
        <v>0</v>
      </c>
      <c r="O227">
        <v>0</v>
      </c>
      <c r="P227">
        <v>0</v>
      </c>
      <c r="Q227">
        <v>0</v>
      </c>
      <c r="R227">
        <v>9.3164756774902296E-2</v>
      </c>
      <c r="S227">
        <v>-3.5841152191162101E-2</v>
      </c>
      <c r="T227">
        <v>0</v>
      </c>
      <c r="U227">
        <v>160.25700000000001</v>
      </c>
      <c r="V227">
        <v>2.5169999999999999</v>
      </c>
      <c r="W227">
        <v>0.16900000000000001</v>
      </c>
      <c r="X227">
        <v>0.67600000000000005</v>
      </c>
      <c r="Y227" t="b">
        <v>1</v>
      </c>
      <c r="Z227" t="s">
        <v>50</v>
      </c>
      <c r="AA227">
        <f t="shared" si="53"/>
        <v>192.67598856780185</v>
      </c>
      <c r="AB227">
        <f t="shared" si="48"/>
        <v>9.3164756774902298</v>
      </c>
      <c r="AC227">
        <f t="shared" si="47"/>
        <v>40.741131405263317</v>
      </c>
      <c r="AD227">
        <f t="shared" si="54"/>
        <v>27.461636203148476</v>
      </c>
      <c r="AE227">
        <f t="shared" ca="1" si="55"/>
        <v>35.46347322721725</v>
      </c>
      <c r="AG227" s="2"/>
      <c r="AH227" s="2"/>
      <c r="AL227" s="2"/>
      <c r="AM227" s="2"/>
      <c r="AN227" s="2"/>
    </row>
    <row r="228" spans="1:40" x14ac:dyDescent="0.3">
      <c r="A228">
        <f t="shared" si="50"/>
        <v>0</v>
      </c>
      <c r="B228" s="2">
        <f t="shared" si="51"/>
        <v>30.79089999982898</v>
      </c>
      <c r="C228" s="2">
        <f t="shared" si="58"/>
        <v>0.37951999999999941</v>
      </c>
      <c r="D228" s="2">
        <f t="shared" si="52"/>
        <v>3.5277230000001509</v>
      </c>
      <c r="E228" s="2"/>
      <c r="F228">
        <v>3225.2030205999999</v>
      </c>
      <c r="G228">
        <v>195</v>
      </c>
      <c r="H228">
        <v>39</v>
      </c>
      <c r="I228">
        <v>194.38499999999999</v>
      </c>
      <c r="J228">
        <v>41.750999999999998</v>
      </c>
      <c r="K228">
        <v>193.79628</v>
      </c>
      <c r="L228">
        <v>25.729719999999901</v>
      </c>
      <c r="M228" t="s">
        <v>37</v>
      </c>
      <c r="N228">
        <v>0</v>
      </c>
      <c r="O228">
        <v>0</v>
      </c>
      <c r="P228">
        <v>0</v>
      </c>
      <c r="Q228">
        <v>0</v>
      </c>
      <c r="R228">
        <v>9.3164756774902296E-2</v>
      </c>
      <c r="S228">
        <v>-3.5841152191162101E-2</v>
      </c>
      <c r="T228">
        <v>0</v>
      </c>
      <c r="U228">
        <v>160.25700000000001</v>
      </c>
      <c r="V228">
        <v>2.5910000000000002</v>
      </c>
      <c r="W228">
        <v>0.16900000000000001</v>
      </c>
      <c r="X228">
        <v>0.67600000000000005</v>
      </c>
      <c r="Y228" t="b">
        <v>1</v>
      </c>
      <c r="Z228" t="s">
        <v>50</v>
      </c>
      <c r="AA228">
        <f t="shared" si="53"/>
        <v>192.67353947239914</v>
      </c>
      <c r="AB228">
        <f t="shared" si="48"/>
        <v>9.3164756774902298</v>
      </c>
      <c r="AC228">
        <f t="shared" si="47"/>
        <v>41.027994076199761</v>
      </c>
      <c r="AD228">
        <f t="shared" si="54"/>
        <v>12.325719612031715</v>
      </c>
      <c r="AE228">
        <f t="shared" ca="1" si="55"/>
        <v>38.169848785630677</v>
      </c>
      <c r="AG228" s="2"/>
      <c r="AH228" s="2"/>
      <c r="AL228" s="2"/>
      <c r="AM228" s="2"/>
      <c r="AN228" s="2"/>
    </row>
    <row r="229" spans="1:40" x14ac:dyDescent="0.3">
      <c r="A229">
        <f t="shared" si="50"/>
        <v>0</v>
      </c>
      <c r="B229" s="2">
        <f t="shared" si="51"/>
        <v>31.809900000098423</v>
      </c>
      <c r="C229" s="2">
        <f t="shared" si="58"/>
        <v>0.51516000000009754</v>
      </c>
      <c r="D229" s="2">
        <f t="shared" si="52"/>
        <v>3.5595329000002494</v>
      </c>
      <c r="E229" s="2"/>
      <c r="F229">
        <v>3225.2348305</v>
      </c>
      <c r="G229">
        <v>195</v>
      </c>
      <c r="H229">
        <v>39</v>
      </c>
      <c r="I229">
        <v>194.50800000000001</v>
      </c>
      <c r="J229">
        <v>41.095999999999997</v>
      </c>
      <c r="K229">
        <v>193.82723999999999</v>
      </c>
      <c r="L229">
        <v>26.244879999999998</v>
      </c>
      <c r="M229" t="s">
        <v>37</v>
      </c>
      <c r="N229">
        <v>0</v>
      </c>
      <c r="O229">
        <v>0</v>
      </c>
      <c r="P229">
        <v>0</v>
      </c>
      <c r="Q229">
        <v>0</v>
      </c>
      <c r="R229">
        <v>0.123488807678222</v>
      </c>
      <c r="S229">
        <v>-2.2068407058715801E-2</v>
      </c>
      <c r="T229">
        <v>0</v>
      </c>
      <c r="U229">
        <v>160.22800000000001</v>
      </c>
      <c r="V229">
        <v>2.5910000000000002</v>
      </c>
      <c r="W229">
        <v>0.47399999999999998</v>
      </c>
      <c r="X229">
        <v>0.67</v>
      </c>
      <c r="Y229" t="b">
        <v>1</v>
      </c>
      <c r="Z229" t="s">
        <v>50</v>
      </c>
      <c r="AA229">
        <f t="shared" si="53"/>
        <v>192.67739231760586</v>
      </c>
      <c r="AB229">
        <f t="shared" si="48"/>
        <v>12.3488807678222</v>
      </c>
      <c r="AC229">
        <f t="shared" si="47"/>
        <v>41.324350235854077</v>
      </c>
      <c r="AD229">
        <f t="shared" si="54"/>
        <v>16.194958173351804</v>
      </c>
      <c r="AE229">
        <f t="shared" ca="1" si="55"/>
        <v>38.022388456037177</v>
      </c>
      <c r="AG229" s="2"/>
      <c r="AH229" s="2"/>
      <c r="AL229" s="2"/>
      <c r="AM229" s="2"/>
      <c r="AN229" s="2"/>
    </row>
    <row r="230" spans="1:40" x14ac:dyDescent="0.3">
      <c r="A230">
        <f t="shared" si="50"/>
        <v>0</v>
      </c>
      <c r="B230" s="2">
        <f t="shared" si="51"/>
        <v>31.06309999975565</v>
      </c>
      <c r="C230" s="2">
        <f t="shared" si="58"/>
        <v>1.1730000000000018</v>
      </c>
      <c r="D230" s="2">
        <f t="shared" si="52"/>
        <v>3.590596000000005</v>
      </c>
      <c r="E230" s="2"/>
      <c r="F230">
        <v>3225.2658935999998</v>
      </c>
      <c r="G230">
        <v>195</v>
      </c>
      <c r="H230">
        <v>39</v>
      </c>
      <c r="I230">
        <v>194.631</v>
      </c>
      <c r="J230">
        <v>40.572000000000003</v>
      </c>
      <c r="K230">
        <v>193.86168000000001</v>
      </c>
      <c r="L230">
        <v>27.41788</v>
      </c>
      <c r="M230" t="s">
        <v>37</v>
      </c>
      <c r="N230">
        <v>0</v>
      </c>
      <c r="O230">
        <v>0</v>
      </c>
      <c r="P230">
        <v>0</v>
      </c>
      <c r="Q230">
        <v>0</v>
      </c>
      <c r="R230">
        <v>9.0991195678710904E-2</v>
      </c>
      <c r="S230">
        <v>1.8848432540893498E-2</v>
      </c>
      <c r="T230">
        <v>0</v>
      </c>
      <c r="U230">
        <v>160.41200000000001</v>
      </c>
      <c r="V230">
        <v>2.5910000000000002</v>
      </c>
      <c r="W230">
        <v>0.52700000000000002</v>
      </c>
      <c r="X230">
        <v>0.67300000000000004</v>
      </c>
      <c r="Y230" t="b">
        <v>1</v>
      </c>
      <c r="Z230" t="s">
        <v>50</v>
      </c>
      <c r="AA230">
        <f t="shared" si="53"/>
        <v>192.68167823456062</v>
      </c>
      <c r="AB230">
        <f t="shared" si="48"/>
        <v>9.0991195678710906</v>
      </c>
      <c r="AC230">
        <f t="shared" si="47"/>
        <v>41.707944754029995</v>
      </c>
      <c r="AD230">
        <f t="shared" si="54"/>
        <v>37.761846049146058</v>
      </c>
      <c r="AE230">
        <f t="shared" ca="1" si="55"/>
        <v>41.834719408418252</v>
      </c>
      <c r="AG230" s="2"/>
      <c r="AH230" s="2"/>
      <c r="AL230" s="2"/>
      <c r="AM230" s="2"/>
      <c r="AN230" s="2"/>
    </row>
    <row r="231" spans="1:40" x14ac:dyDescent="0.3">
      <c r="A231">
        <f t="shared" si="50"/>
        <v>0</v>
      </c>
      <c r="B231" s="2">
        <f t="shared" si="51"/>
        <v>31.406500000230153</v>
      </c>
      <c r="C231" s="2">
        <f t="shared" si="58"/>
        <v>1.1310799999999013</v>
      </c>
      <c r="D231" s="2">
        <f t="shared" si="52"/>
        <v>3.6220025000002352</v>
      </c>
      <c r="E231" s="2"/>
      <c r="F231">
        <v>3225.2973001</v>
      </c>
      <c r="G231">
        <v>195</v>
      </c>
      <c r="H231">
        <v>39</v>
      </c>
      <c r="I231">
        <v>194.631</v>
      </c>
      <c r="J231">
        <v>39.917000000000002</v>
      </c>
      <c r="K231">
        <v>193.90595999999999</v>
      </c>
      <c r="L231">
        <v>28.548959999999902</v>
      </c>
      <c r="M231" t="s">
        <v>37</v>
      </c>
      <c r="N231">
        <v>0</v>
      </c>
      <c r="O231">
        <v>0</v>
      </c>
      <c r="P231">
        <v>0</v>
      </c>
      <c r="Q231">
        <v>0</v>
      </c>
      <c r="R231">
        <v>9.0991195678710904E-2</v>
      </c>
      <c r="S231">
        <v>1.8848432540893498E-2</v>
      </c>
      <c r="T231">
        <v>0</v>
      </c>
      <c r="U231">
        <v>160.41200000000001</v>
      </c>
      <c r="V231">
        <v>2.5910000000000002</v>
      </c>
      <c r="W231">
        <v>0.52700000000000002</v>
      </c>
      <c r="X231">
        <v>0.67300000000000004</v>
      </c>
      <c r="Y231" t="b">
        <v>1</v>
      </c>
      <c r="Z231" t="s">
        <v>50</v>
      </c>
      <c r="AA231">
        <f t="shared" si="53"/>
        <v>192.68718869921673</v>
      </c>
      <c r="AB231">
        <f t="shared" si="48"/>
        <v>9.0991195678710906</v>
      </c>
      <c r="AC231">
        <f t="shared" si="47"/>
        <v>41.993716252740434</v>
      </c>
      <c r="AD231">
        <f t="shared" si="54"/>
        <v>36.014200881715965</v>
      </c>
      <c r="AE231">
        <f t="shared" ca="1" si="55"/>
        <v>43.59290437922381</v>
      </c>
      <c r="AG231" s="2"/>
      <c r="AH231" s="2"/>
      <c r="AL231" s="2"/>
      <c r="AM231" s="2"/>
      <c r="AN231" s="2"/>
    </row>
    <row r="232" spans="1:40" x14ac:dyDescent="0.3">
      <c r="A232">
        <f t="shared" si="50"/>
        <v>0</v>
      </c>
      <c r="B232" s="2">
        <f t="shared" si="51"/>
        <v>30.115600000044651</v>
      </c>
      <c r="C232" s="2">
        <f t="shared" si="58"/>
        <v>1.0786799999999985</v>
      </c>
      <c r="D232" s="2">
        <f t="shared" si="52"/>
        <v>3.6521181000002798</v>
      </c>
      <c r="E232" s="2"/>
      <c r="F232">
        <v>3225.3274157000001</v>
      </c>
      <c r="G232">
        <v>195</v>
      </c>
      <c r="H232">
        <v>39</v>
      </c>
      <c r="I232">
        <v>194.38499999999999</v>
      </c>
      <c r="J232">
        <v>39.131</v>
      </c>
      <c r="K232">
        <v>193.95024000000001</v>
      </c>
      <c r="L232">
        <v>29.6276399999999</v>
      </c>
      <c r="M232" t="s">
        <v>37</v>
      </c>
      <c r="N232">
        <v>0</v>
      </c>
      <c r="O232">
        <v>0</v>
      </c>
      <c r="P232">
        <v>0</v>
      </c>
      <c r="Q232">
        <v>0</v>
      </c>
      <c r="R232">
        <v>9.0991195678710904E-2</v>
      </c>
      <c r="S232">
        <v>1.8848432540893498E-2</v>
      </c>
      <c r="T232">
        <v>0</v>
      </c>
      <c r="U232">
        <v>160.41200000000001</v>
      </c>
      <c r="V232">
        <v>2.476</v>
      </c>
      <c r="W232">
        <v>0.52700000000000002</v>
      </c>
      <c r="X232">
        <v>0.67300000000000004</v>
      </c>
      <c r="Y232" t="b">
        <v>1</v>
      </c>
      <c r="Z232" t="s">
        <v>50</v>
      </c>
      <c r="AA232">
        <f t="shared" si="53"/>
        <v>192.69269916387285</v>
      </c>
      <c r="AB232">
        <f t="shared" si="48"/>
        <v>9.0991195678710906</v>
      </c>
      <c r="AC232">
        <f t="shared" si="47"/>
        <v>42.267741697999021</v>
      </c>
      <c r="AD232">
        <f t="shared" si="54"/>
        <v>35.817981378368657</v>
      </c>
      <c r="AE232">
        <f t="shared" ca="1" si="55"/>
        <v>45.536563082056958</v>
      </c>
      <c r="AG232" s="2"/>
      <c r="AH232" s="2"/>
      <c r="AL232" s="2"/>
      <c r="AM232" s="2"/>
      <c r="AN232" s="2"/>
    </row>
    <row r="233" spans="1:40" x14ac:dyDescent="0.3">
      <c r="A233">
        <f t="shared" si="50"/>
        <v>0</v>
      </c>
      <c r="B233" s="2">
        <f t="shared" si="51"/>
        <v>93.276099999911821</v>
      </c>
      <c r="C233" s="2">
        <f t="shared" si="58"/>
        <v>1.0210400000000988</v>
      </c>
      <c r="D233" s="2">
        <f t="shared" si="52"/>
        <v>3.7453942000001916</v>
      </c>
      <c r="E233" s="2"/>
      <c r="F233">
        <v>3225.4206918</v>
      </c>
      <c r="G233">
        <v>195</v>
      </c>
      <c r="H233">
        <v>39</v>
      </c>
      <c r="I233">
        <v>194.13900000000001</v>
      </c>
      <c r="J233">
        <v>38.344999999999999</v>
      </c>
      <c r="K233">
        <v>193.9896</v>
      </c>
      <c r="L233">
        <v>30.648679999999999</v>
      </c>
      <c r="M233" t="s">
        <v>37</v>
      </c>
      <c r="N233">
        <v>0</v>
      </c>
      <c r="O233">
        <v>0</v>
      </c>
      <c r="P233">
        <v>0</v>
      </c>
      <c r="Q233">
        <v>0</v>
      </c>
      <c r="R233">
        <v>8.6896705627441395E-2</v>
      </c>
      <c r="S233">
        <v>6.9625496864318803E-3</v>
      </c>
      <c r="T233">
        <v>0</v>
      </c>
      <c r="U233">
        <v>160.434</v>
      </c>
      <c r="V233">
        <v>2.476</v>
      </c>
      <c r="W233">
        <v>8.3000000000000004E-2</v>
      </c>
      <c r="X233">
        <v>0.67600000000000005</v>
      </c>
      <c r="Y233" t="b">
        <v>1</v>
      </c>
      <c r="Z233" t="s">
        <v>50</v>
      </c>
      <c r="AA233">
        <f t="shared" si="53"/>
        <v>192.69759735467829</v>
      </c>
      <c r="AB233">
        <f t="shared" si="48"/>
        <v>8.6896705627441388</v>
      </c>
      <c r="AC233">
        <f t="shared" si="47"/>
        <v>43.116472084722922</v>
      </c>
      <c r="AD233">
        <f t="shared" si="54"/>
        <v>10.94642679101146</v>
      </c>
      <c r="AE233">
        <f t="shared" ca="1" si="55"/>
        <v>41.959609318690241</v>
      </c>
      <c r="AG233" s="2"/>
      <c r="AH233" s="2"/>
      <c r="AL233" s="2"/>
      <c r="AM233" s="2"/>
      <c r="AN233" s="2"/>
    </row>
    <row r="234" spans="1:40" x14ac:dyDescent="0.3">
      <c r="A234">
        <f t="shared" si="50"/>
        <v>0</v>
      </c>
      <c r="B234" s="2">
        <f t="shared" si="51"/>
        <v>15.611700000135897</v>
      </c>
      <c r="C234" s="2">
        <f t="shared" si="58"/>
        <v>0.96864000000000061</v>
      </c>
      <c r="D234" s="2">
        <f t="shared" si="52"/>
        <v>3.7610059000003275</v>
      </c>
      <c r="E234" s="2"/>
      <c r="F234">
        <v>3225.4363035000001</v>
      </c>
      <c r="G234">
        <v>195</v>
      </c>
      <c r="H234">
        <v>39</v>
      </c>
      <c r="I234">
        <v>194.01599999999999</v>
      </c>
      <c r="J234">
        <v>37.558999999999997</v>
      </c>
      <c r="K234">
        <v>194.02896000000001</v>
      </c>
      <c r="L234">
        <v>31.617319999999999</v>
      </c>
      <c r="M234" t="s">
        <v>37</v>
      </c>
      <c r="N234">
        <v>0</v>
      </c>
      <c r="O234">
        <v>0</v>
      </c>
      <c r="P234">
        <v>0</v>
      </c>
      <c r="Q234">
        <v>0</v>
      </c>
      <c r="R234">
        <v>8.6896705627441395E-2</v>
      </c>
      <c r="S234">
        <v>6.9625496864318803E-3</v>
      </c>
      <c r="T234">
        <v>0</v>
      </c>
      <c r="U234">
        <v>160.434</v>
      </c>
      <c r="V234">
        <v>2.476</v>
      </c>
      <c r="W234">
        <v>8.3000000000000004E-2</v>
      </c>
      <c r="X234">
        <v>0.67600000000000005</v>
      </c>
      <c r="Y234" t="b">
        <v>1</v>
      </c>
      <c r="Z234" t="s">
        <v>50</v>
      </c>
      <c r="AA234">
        <f t="shared" si="53"/>
        <v>192.70249554548374</v>
      </c>
      <c r="AB234">
        <f t="shared" si="48"/>
        <v>8.6896705627441388</v>
      </c>
      <c r="AC234">
        <f t="shared" si="47"/>
        <v>43.252132614648495</v>
      </c>
      <c r="AD234">
        <f t="shared" si="54"/>
        <v>62.045773361745916</v>
      </c>
      <c r="AE234">
        <f t="shared" ca="1" si="55"/>
        <v>41.045756163454378</v>
      </c>
      <c r="AG234" s="2"/>
      <c r="AH234" s="2"/>
      <c r="AL234" s="2"/>
      <c r="AM234" s="2"/>
      <c r="AN234" s="2"/>
    </row>
    <row r="235" spans="1:40" x14ac:dyDescent="0.3">
      <c r="A235">
        <f t="shared" si="50"/>
        <v>0</v>
      </c>
      <c r="B235" s="2">
        <f t="shared" si="51"/>
        <v>15.305299999909039</v>
      </c>
      <c r="C235" s="2">
        <f t="shared" si="58"/>
        <v>0.93195999999989709</v>
      </c>
      <c r="D235" s="2">
        <f t="shared" si="52"/>
        <v>3.7763112000002366</v>
      </c>
      <c r="E235" s="2"/>
      <c r="F235">
        <v>3225.4516088</v>
      </c>
      <c r="G235">
        <v>195</v>
      </c>
      <c r="H235">
        <v>39</v>
      </c>
      <c r="I235">
        <v>193.77</v>
      </c>
      <c r="J235">
        <v>36.903999999999897</v>
      </c>
      <c r="K235">
        <v>194.05356</v>
      </c>
      <c r="L235">
        <v>32.549279999999897</v>
      </c>
      <c r="M235" t="s">
        <v>37</v>
      </c>
      <c r="N235">
        <v>0</v>
      </c>
      <c r="O235">
        <v>0</v>
      </c>
      <c r="P235">
        <v>0</v>
      </c>
      <c r="Q235">
        <v>0</v>
      </c>
      <c r="R235">
        <v>4.3761917114257802E-2</v>
      </c>
      <c r="S235">
        <v>1.26529788970947E-3</v>
      </c>
      <c r="T235">
        <v>0</v>
      </c>
      <c r="U235">
        <v>160.35599999999999</v>
      </c>
      <c r="V235">
        <v>2.391</v>
      </c>
      <c r="W235">
        <v>-0.22700000000000001</v>
      </c>
      <c r="X235">
        <v>0.67600000000000005</v>
      </c>
      <c r="Y235" t="b">
        <v>1</v>
      </c>
      <c r="Z235" t="s">
        <v>50</v>
      </c>
      <c r="AA235">
        <f t="shared" si="53"/>
        <v>192.70555691473714</v>
      </c>
      <c r="AB235">
        <f t="shared" si="48"/>
        <v>4.37619171142578</v>
      </c>
      <c r="AC235">
        <f t="shared" si="47"/>
        <v>43.385130629511671</v>
      </c>
      <c r="AD235">
        <f t="shared" si="54"/>
        <v>60.891325227564039</v>
      </c>
      <c r="AE235">
        <f t="shared" ca="1" si="55"/>
        <v>36.482950329826494</v>
      </c>
      <c r="AG235" s="2"/>
      <c r="AH235" s="2"/>
      <c r="AL235" s="2"/>
      <c r="AM235" s="2"/>
      <c r="AN235" s="2"/>
    </row>
    <row r="236" spans="1:40" x14ac:dyDescent="0.3">
      <c r="A236">
        <f t="shared" si="50"/>
        <v>0</v>
      </c>
      <c r="B236" s="2">
        <f t="shared" si="51"/>
        <v>16.321199999765668</v>
      </c>
      <c r="C236" s="2">
        <f t="shared" si="58"/>
        <v>0.90052000000010679</v>
      </c>
      <c r="D236" s="2">
        <f t="shared" si="52"/>
        <v>3.7926324000000022</v>
      </c>
      <c r="E236" s="2"/>
      <c r="F236">
        <v>3225.4679299999998</v>
      </c>
      <c r="G236">
        <v>195</v>
      </c>
      <c r="H236">
        <v>39</v>
      </c>
      <c r="I236">
        <v>193.77</v>
      </c>
      <c r="J236">
        <v>36.118000000000002</v>
      </c>
      <c r="K236">
        <v>194.06832</v>
      </c>
      <c r="L236">
        <v>33.449800000000003</v>
      </c>
      <c r="M236" t="s">
        <v>37</v>
      </c>
      <c r="N236">
        <v>0</v>
      </c>
      <c r="O236">
        <v>0</v>
      </c>
      <c r="P236">
        <v>0</v>
      </c>
      <c r="Q236">
        <v>0</v>
      </c>
      <c r="R236">
        <v>4.3761917114257802E-2</v>
      </c>
      <c r="S236">
        <v>1.26529788970947E-3</v>
      </c>
      <c r="T236">
        <v>0</v>
      </c>
      <c r="U236">
        <v>160.35599999999999</v>
      </c>
      <c r="V236">
        <v>2.391</v>
      </c>
      <c r="W236">
        <v>-0.22700000000000001</v>
      </c>
      <c r="X236">
        <v>0.67600000000000005</v>
      </c>
      <c r="Y236" t="b">
        <v>1</v>
      </c>
      <c r="Z236" t="s">
        <v>50</v>
      </c>
      <c r="AA236">
        <f t="shared" si="53"/>
        <v>192.70739373628916</v>
      </c>
      <c r="AB236">
        <f t="shared" si="48"/>
        <v>4.37619171142578</v>
      </c>
      <c r="AC236">
        <f t="shared" si="47"/>
        <v>43.456555329671168</v>
      </c>
      <c r="AD236">
        <f t="shared" si="54"/>
        <v>55.174864594088426</v>
      </c>
      <c r="AE236">
        <f t="shared" ca="1" si="55"/>
        <v>33.492877441588014</v>
      </c>
      <c r="AG236" s="2"/>
      <c r="AH236" s="2"/>
      <c r="AL236" s="2"/>
      <c r="AM236" s="2"/>
      <c r="AN236" s="2"/>
    </row>
    <row r="237" spans="1:40" x14ac:dyDescent="0.3">
      <c r="A237">
        <f t="shared" si="50"/>
        <v>0</v>
      </c>
      <c r="B237" s="2">
        <f t="shared" si="51"/>
        <v>16.131200000017998</v>
      </c>
      <c r="C237" s="2">
        <f t="shared" si="58"/>
        <v>0.8795599999999979</v>
      </c>
      <c r="D237" s="2">
        <f t="shared" si="52"/>
        <v>3.8087636000000202</v>
      </c>
      <c r="E237" s="2"/>
      <c r="F237">
        <v>3225.4840611999998</v>
      </c>
      <c r="G237">
        <v>195</v>
      </c>
      <c r="H237">
        <v>39</v>
      </c>
      <c r="I237">
        <v>193.40100000000001</v>
      </c>
      <c r="J237">
        <v>35.332000000000001</v>
      </c>
      <c r="K237">
        <v>194.04372000000001</v>
      </c>
      <c r="L237">
        <v>34.329360000000001</v>
      </c>
      <c r="M237" t="s">
        <v>37</v>
      </c>
      <c r="N237">
        <v>0</v>
      </c>
      <c r="O237">
        <v>0</v>
      </c>
      <c r="P237">
        <v>0</v>
      </c>
      <c r="Q237">
        <v>0</v>
      </c>
      <c r="R237" s="5">
        <v>-1.47483310699462E-2</v>
      </c>
      <c r="S237">
        <v>-1.0791399955749501E-2</v>
      </c>
      <c r="T237">
        <v>0</v>
      </c>
      <c r="U237">
        <v>160.23400000000001</v>
      </c>
      <c r="V237">
        <v>2.391</v>
      </c>
      <c r="W237">
        <v>-0.32600000000000001</v>
      </c>
      <c r="X237">
        <v>0.68200000000000005</v>
      </c>
      <c r="Y237" t="b">
        <v>1</v>
      </c>
      <c r="Z237" t="s">
        <v>50</v>
      </c>
      <c r="AA237">
        <f t="shared" si="53"/>
        <v>192.70433236703576</v>
      </c>
      <c r="AB237">
        <f t="shared" si="48"/>
        <v>-1.4748331069946199</v>
      </c>
      <c r="AC237">
        <f t="shared" si="47"/>
        <v>43.527148553406597</v>
      </c>
      <c r="AD237">
        <f t="shared" si="54"/>
        <v>54.525391787282814</v>
      </c>
      <c r="AE237">
        <f t="shared" ca="1" si="55"/>
        <v>29.827222162315884</v>
      </c>
      <c r="AG237" s="2"/>
      <c r="AH237" s="2"/>
      <c r="AL237" s="2"/>
      <c r="AM237" s="2"/>
      <c r="AN237" s="2"/>
    </row>
    <row r="238" spans="1:40" x14ac:dyDescent="0.3">
      <c r="A238">
        <f t="shared" si="50"/>
        <v>0</v>
      </c>
      <c r="B238" s="2">
        <f t="shared" si="51"/>
        <v>78.642599999966478</v>
      </c>
      <c r="C238" s="2">
        <f t="shared" si="58"/>
        <v>0.85335999999989554</v>
      </c>
      <c r="D238" s="2">
        <f t="shared" si="52"/>
        <v>3.8874061999999867</v>
      </c>
      <c r="E238" s="2"/>
      <c r="F238">
        <v>3225.5627037999998</v>
      </c>
      <c r="G238">
        <v>195</v>
      </c>
      <c r="H238">
        <v>39</v>
      </c>
      <c r="I238">
        <v>193.155</v>
      </c>
      <c r="J238">
        <v>34.545999999999999</v>
      </c>
      <c r="K238">
        <v>194.00435999999999</v>
      </c>
      <c r="L238">
        <v>35.182719999999897</v>
      </c>
      <c r="M238" t="s">
        <v>37</v>
      </c>
      <c r="N238">
        <v>0</v>
      </c>
      <c r="O238">
        <v>0</v>
      </c>
      <c r="P238">
        <v>0</v>
      </c>
      <c r="Q238">
        <v>0</v>
      </c>
      <c r="R238" s="5">
        <v>-1.9168882369995099E-2</v>
      </c>
      <c r="S238">
        <v>-5.09799156188964E-2</v>
      </c>
      <c r="T238">
        <v>0</v>
      </c>
      <c r="U238">
        <v>160.166</v>
      </c>
      <c r="V238">
        <v>2.4329999999999998</v>
      </c>
      <c r="W238">
        <v>-0.24</v>
      </c>
      <c r="X238">
        <v>0.68799999999999994</v>
      </c>
      <c r="Y238" t="b">
        <v>1</v>
      </c>
      <c r="Z238" t="s">
        <v>50</v>
      </c>
      <c r="AA238">
        <f t="shared" si="53"/>
        <v>192.69943417623034</v>
      </c>
      <c r="AB238">
        <f t="shared" si="48"/>
        <v>-1.9168882369995099</v>
      </c>
      <c r="AC238">
        <f t="shared" si="47"/>
        <v>43.411163843306511</v>
      </c>
      <c r="AD238">
        <f t="shared" si="54"/>
        <v>10.85111631609661</v>
      </c>
      <c r="AE238">
        <f t="shared" ca="1" si="55"/>
        <v>24.904416990724858</v>
      </c>
      <c r="AG238" s="2"/>
      <c r="AH238" s="2"/>
      <c r="AL238" s="2"/>
      <c r="AM238" s="2"/>
      <c r="AN238" s="2"/>
    </row>
    <row r="239" spans="1:40" x14ac:dyDescent="0.3">
      <c r="A239">
        <f t="shared" si="50"/>
        <v>0</v>
      </c>
      <c r="B239" s="2">
        <f t="shared" si="51"/>
        <v>15.613900000062131</v>
      </c>
      <c r="C239" s="2">
        <f t="shared" si="58"/>
        <v>0.84812000000010102</v>
      </c>
      <c r="D239" s="2">
        <f t="shared" si="52"/>
        <v>3.9030201000000488</v>
      </c>
      <c r="E239" s="2"/>
      <c r="F239">
        <v>3225.5783176999998</v>
      </c>
      <c r="G239">
        <v>195</v>
      </c>
      <c r="H239">
        <v>39</v>
      </c>
      <c r="I239">
        <v>192.66300000000001</v>
      </c>
      <c r="J239">
        <v>33.890999999999998</v>
      </c>
      <c r="K239">
        <v>193.93548000000001</v>
      </c>
      <c r="L239">
        <v>36.030839999999998</v>
      </c>
      <c r="M239" t="s">
        <v>37</v>
      </c>
      <c r="N239">
        <v>0</v>
      </c>
      <c r="O239">
        <v>0</v>
      </c>
      <c r="P239">
        <v>0</v>
      </c>
      <c r="Q239">
        <v>0</v>
      </c>
      <c r="R239">
        <v>-1.9168882369995099E-2</v>
      </c>
      <c r="S239">
        <v>-5.09799156188964E-2</v>
      </c>
      <c r="T239">
        <v>0</v>
      </c>
      <c r="U239">
        <v>160.166</v>
      </c>
      <c r="V239">
        <v>2.4329999999999998</v>
      </c>
      <c r="W239">
        <v>-0.24</v>
      </c>
      <c r="X239">
        <v>0.68799999999999994</v>
      </c>
      <c r="Y239" t="b">
        <v>1</v>
      </c>
      <c r="Z239" t="s">
        <v>50</v>
      </c>
      <c r="AA239">
        <f t="shared" si="53"/>
        <v>192.69086234232083</v>
      </c>
      <c r="AB239">
        <f t="shared" si="48"/>
        <v>-1.9168882369995099</v>
      </c>
      <c r="AC239">
        <f t="shared" si="47"/>
        <v>43.381233742062705</v>
      </c>
      <c r="AD239">
        <f t="shared" si="54"/>
        <v>54.31826769716254</v>
      </c>
      <c r="AE239">
        <f t="shared" ca="1" si="55"/>
        <v>24.492016717301304</v>
      </c>
      <c r="AG239" s="2"/>
      <c r="AH239" s="2"/>
      <c r="AL239" s="2"/>
      <c r="AM239" s="2"/>
      <c r="AN239" s="2"/>
    </row>
    <row r="240" spans="1:40" x14ac:dyDescent="0.3">
      <c r="A240">
        <f t="shared" si="50"/>
        <v>0</v>
      </c>
      <c r="B240" s="2">
        <f t="shared" si="51"/>
        <v>15.324599999985367</v>
      </c>
      <c r="C240" s="2">
        <f t="shared" si="58"/>
        <v>0.84812000000000154</v>
      </c>
      <c r="D240" s="2">
        <f t="shared" si="52"/>
        <v>3.9183447000000342</v>
      </c>
      <c r="E240" s="2"/>
      <c r="F240">
        <v>3225.5936422999998</v>
      </c>
      <c r="G240">
        <v>195</v>
      </c>
      <c r="H240">
        <v>39</v>
      </c>
      <c r="I240">
        <v>192.29400000000001</v>
      </c>
      <c r="J240">
        <v>33.366999999999997</v>
      </c>
      <c r="K240">
        <v>193.85184000000001</v>
      </c>
      <c r="L240">
        <v>36.878959999999999</v>
      </c>
      <c r="M240" t="s">
        <v>37</v>
      </c>
      <c r="N240">
        <v>0</v>
      </c>
      <c r="O240">
        <v>0</v>
      </c>
      <c r="P240">
        <v>0</v>
      </c>
      <c r="Q240">
        <v>0</v>
      </c>
      <c r="R240">
        <v>-1.9168882369995099E-2</v>
      </c>
      <c r="S240">
        <v>-5.09799156188964E-2</v>
      </c>
      <c r="T240">
        <v>0</v>
      </c>
      <c r="U240">
        <v>160.166</v>
      </c>
      <c r="V240">
        <v>2.5179999999999998</v>
      </c>
      <c r="W240">
        <v>-0.24</v>
      </c>
      <c r="X240">
        <v>0.68799999999999994</v>
      </c>
      <c r="Y240" t="b">
        <v>1</v>
      </c>
      <c r="Z240" t="s">
        <v>50</v>
      </c>
      <c r="AA240">
        <f t="shared" si="53"/>
        <v>192.68045368685927</v>
      </c>
      <c r="AB240">
        <f t="shared" si="48"/>
        <v>-1.9168882369995099</v>
      </c>
      <c r="AC240">
        <f t="shared" si="47"/>
        <v>43.351858196586008</v>
      </c>
      <c r="AD240">
        <f t="shared" si="54"/>
        <v>55.343695757201587</v>
      </c>
      <c r="AE240">
        <f t="shared" ca="1" si="55"/>
        <v>19.806697906489067</v>
      </c>
      <c r="AG240" s="2"/>
      <c r="AH240" s="2"/>
      <c r="AL240" s="2"/>
      <c r="AM240" s="2"/>
      <c r="AN240" s="2"/>
    </row>
    <row r="241" spans="1:40" x14ac:dyDescent="0.3">
      <c r="A241">
        <f t="shared" si="50"/>
        <v>0</v>
      </c>
      <c r="B241" s="2">
        <f t="shared" si="51"/>
        <v>15.48400000001493</v>
      </c>
      <c r="C241" s="2">
        <f t="shared" si="58"/>
        <v>0.85860000000000269</v>
      </c>
      <c r="D241" s="2">
        <f t="shared" si="52"/>
        <v>3.9338287000000491</v>
      </c>
      <c r="E241" s="2"/>
      <c r="F241">
        <v>3225.6091262999998</v>
      </c>
      <c r="G241">
        <v>195</v>
      </c>
      <c r="H241">
        <v>39</v>
      </c>
      <c r="I241">
        <v>191.92500000000001</v>
      </c>
      <c r="J241">
        <v>32.712000000000003</v>
      </c>
      <c r="K241">
        <v>193.76327999999901</v>
      </c>
      <c r="L241">
        <v>37.737560000000002</v>
      </c>
      <c r="M241" t="s">
        <v>37</v>
      </c>
      <c r="N241">
        <v>0</v>
      </c>
      <c r="O241">
        <v>0</v>
      </c>
      <c r="P241">
        <v>0</v>
      </c>
      <c r="Q241">
        <v>0</v>
      </c>
      <c r="R241">
        <v>-4.2526473999023404E-3</v>
      </c>
      <c r="S241">
        <v>-3.2953968048095701E-2</v>
      </c>
      <c r="T241">
        <v>0</v>
      </c>
      <c r="U241">
        <v>160.30500000000001</v>
      </c>
      <c r="V241">
        <v>2.669</v>
      </c>
      <c r="W241">
        <v>0.34599999999999997</v>
      </c>
      <c r="X241">
        <v>0.69299999999999995</v>
      </c>
      <c r="Y241" t="b">
        <v>1</v>
      </c>
      <c r="Z241" t="s">
        <v>50</v>
      </c>
      <c r="AA241">
        <f t="shared" si="53"/>
        <v>192.6694327575469</v>
      </c>
      <c r="AB241">
        <f t="shared" si="48"/>
        <v>-0.42526473999023406</v>
      </c>
      <c r="AC241">
        <f t="shared" si="47"/>
        <v>43.322177099124282</v>
      </c>
      <c r="AD241">
        <f t="shared" si="54"/>
        <v>55.450787910047453</v>
      </c>
      <c r="AE241">
        <f t="shared" ca="1" si="55"/>
        <v>15.153861129933285</v>
      </c>
      <c r="AG241" s="2"/>
      <c r="AH241" s="2"/>
      <c r="AL241" s="2"/>
      <c r="AM241" s="2"/>
      <c r="AN241" s="2"/>
    </row>
    <row r="242" spans="1:40" x14ac:dyDescent="0.3">
      <c r="A242">
        <f t="shared" si="50"/>
        <v>0</v>
      </c>
      <c r="B242" s="2">
        <f t="shared" si="51"/>
        <v>46.239199999945413</v>
      </c>
      <c r="C242" s="2">
        <f t="shared" si="58"/>
        <v>2.2400000000004638E-3</v>
      </c>
      <c r="D242" s="2">
        <f t="shared" si="52"/>
        <v>3.9800678999999946</v>
      </c>
      <c r="E242" s="2"/>
      <c r="F242">
        <v>3225.6553654999998</v>
      </c>
      <c r="G242">
        <v>195</v>
      </c>
      <c r="H242">
        <v>39</v>
      </c>
      <c r="I242">
        <v>191.80199999999999</v>
      </c>
      <c r="J242">
        <v>32.057000000000002</v>
      </c>
      <c r="K242">
        <v>193.66488000000001</v>
      </c>
      <c r="L242">
        <v>37.739800000000002</v>
      </c>
      <c r="M242" t="s">
        <v>37</v>
      </c>
      <c r="N242">
        <v>0</v>
      </c>
      <c r="O242">
        <v>0</v>
      </c>
      <c r="P242">
        <v>0</v>
      </c>
      <c r="Q242">
        <v>0</v>
      </c>
      <c r="R242">
        <v>-4.2526473999023404E-3</v>
      </c>
      <c r="S242">
        <v>-3.2953968048095701E-2</v>
      </c>
      <c r="T242">
        <v>0</v>
      </c>
      <c r="U242">
        <v>160.30500000000001</v>
      </c>
      <c r="V242">
        <v>2.669</v>
      </c>
      <c r="W242">
        <v>0.34599999999999997</v>
      </c>
      <c r="X242">
        <v>0.69299999999999995</v>
      </c>
      <c r="Y242" t="b">
        <v>1</v>
      </c>
      <c r="Z242" t="s">
        <v>50</v>
      </c>
      <c r="AA242">
        <f t="shared" si="53"/>
        <v>192.65718728053344</v>
      </c>
      <c r="AB242">
        <f t="shared" si="48"/>
        <v>-0.42526473999023406</v>
      </c>
      <c r="AC242">
        <f t="shared" si="47"/>
        <v>43.302513197758948</v>
      </c>
      <c r="AD242">
        <f t="shared" si="54"/>
        <v>4.8443744701532641E-2</v>
      </c>
      <c r="AE242">
        <f t="shared" ca="1" si="55"/>
        <v>10.307921025372085</v>
      </c>
      <c r="AG242" s="2"/>
      <c r="AH242" s="2"/>
      <c r="AL242" s="2"/>
      <c r="AM242" s="2"/>
      <c r="AN242" s="2"/>
    </row>
    <row r="243" spans="1:40" x14ac:dyDescent="0.3">
      <c r="A243">
        <f t="shared" si="50"/>
        <v>0</v>
      </c>
      <c r="B243" s="2">
        <f t="shared" si="51"/>
        <v>15.731000000414497</v>
      </c>
      <c r="C243" s="2">
        <f t="shared" si="58"/>
        <v>2.8439999999996246E-2</v>
      </c>
      <c r="D243" s="2">
        <f t="shared" si="52"/>
        <v>3.995798900000409</v>
      </c>
      <c r="E243" s="2"/>
      <c r="F243">
        <v>3225.6710965000002</v>
      </c>
      <c r="G243">
        <v>195</v>
      </c>
      <c r="H243">
        <v>39</v>
      </c>
      <c r="I243">
        <v>191.80199999999999</v>
      </c>
      <c r="J243">
        <v>31.271000000000001</v>
      </c>
      <c r="K243">
        <v>193.58124000000001</v>
      </c>
      <c r="L243">
        <v>37.768239999999999</v>
      </c>
      <c r="M243" t="s">
        <v>37</v>
      </c>
      <c r="N243">
        <v>0</v>
      </c>
      <c r="O243">
        <v>0</v>
      </c>
      <c r="P243">
        <v>0</v>
      </c>
      <c r="Q243">
        <v>0</v>
      </c>
      <c r="R243">
        <v>-1.8963607788085899E-2</v>
      </c>
      <c r="S243">
        <v>-4.0504379272460903E-3</v>
      </c>
      <c r="T243">
        <v>0</v>
      </c>
      <c r="U243">
        <v>160.33500000000001</v>
      </c>
      <c r="V243">
        <v>2.669</v>
      </c>
      <c r="W243">
        <v>0.59599999999999997</v>
      </c>
      <c r="X243">
        <v>0.69899999999999995</v>
      </c>
      <c r="Y243" t="b">
        <v>1</v>
      </c>
      <c r="Z243" t="s">
        <v>50</v>
      </c>
      <c r="AA243">
        <f t="shared" si="53"/>
        <v>192.64677862507187</v>
      </c>
      <c r="AB243">
        <f t="shared" si="48"/>
        <v>-1.8963607788085899</v>
      </c>
      <c r="AC243">
        <f t="shared" ref="AC243:AC306" si="59">AC242+(AB242*(D243-D242))</f>
        <v>43.295823358133987</v>
      </c>
      <c r="AD243">
        <f t="shared" si="54"/>
        <v>1.8078952386527798</v>
      </c>
      <c r="AE243">
        <f t="shared" ca="1" si="55"/>
        <v>11.565976107351037</v>
      </c>
      <c r="AG243" s="2"/>
      <c r="AH243" s="2"/>
      <c r="AL243" s="2"/>
      <c r="AM243" s="2"/>
      <c r="AN243" s="2"/>
    </row>
    <row r="244" spans="1:40" x14ac:dyDescent="0.3">
      <c r="A244">
        <f t="shared" si="50"/>
        <v>0</v>
      </c>
      <c r="B244" s="2">
        <f t="shared" si="51"/>
        <v>46.588699999574601</v>
      </c>
      <c r="C244" s="2">
        <f t="shared" si="58"/>
        <v>0.76487999999999801</v>
      </c>
      <c r="D244" s="2">
        <f t="shared" si="52"/>
        <v>4.0423875999999836</v>
      </c>
      <c r="E244" s="2"/>
      <c r="F244">
        <v>3225.7176851999998</v>
      </c>
      <c r="G244">
        <v>198.9</v>
      </c>
      <c r="H244">
        <v>46.8</v>
      </c>
      <c r="I244">
        <v>191.643</v>
      </c>
      <c r="J244">
        <v>48.11</v>
      </c>
      <c r="K244">
        <v>193.49615999999901</v>
      </c>
      <c r="L244">
        <v>38.533119999999997</v>
      </c>
      <c r="M244" t="s">
        <v>37</v>
      </c>
      <c r="N244">
        <v>0</v>
      </c>
      <c r="O244">
        <v>0</v>
      </c>
      <c r="P244">
        <v>0</v>
      </c>
      <c r="Q244">
        <v>0</v>
      </c>
      <c r="R244">
        <v>-1.8963607788085899E-2</v>
      </c>
      <c r="S244">
        <v>-4.0504379272460903E-3</v>
      </c>
      <c r="T244">
        <v>0</v>
      </c>
      <c r="U244">
        <v>160.33500000000001</v>
      </c>
      <c r="V244">
        <v>2.5630000000000002</v>
      </c>
      <c r="W244">
        <v>0.59599999999999997</v>
      </c>
      <c r="X244">
        <v>0.69899999999999995</v>
      </c>
      <c r="Y244" t="b">
        <v>1</v>
      </c>
      <c r="Z244" t="s">
        <v>50</v>
      </c>
      <c r="AA244">
        <f t="shared" si="53"/>
        <v>192.63619076750754</v>
      </c>
      <c r="AB244">
        <f t="shared" si="48"/>
        <v>-1.8963607788085899</v>
      </c>
      <c r="AC244">
        <f t="shared" si="59"/>
        <v>43.207474374719112</v>
      </c>
      <c r="AD244">
        <f t="shared" si="54"/>
        <v>16.417715025467164</v>
      </c>
      <c r="AE244">
        <f t="shared" ca="1" si="55"/>
        <v>12.777023065204828</v>
      </c>
      <c r="AG244" s="2"/>
      <c r="AH244" s="2"/>
      <c r="AL244" s="2"/>
      <c r="AM244" s="2"/>
      <c r="AN244" s="2"/>
    </row>
    <row r="245" spans="1:40" x14ac:dyDescent="0.3">
      <c r="A245">
        <f t="shared" si="50"/>
        <v>0</v>
      </c>
      <c r="B245" s="2">
        <f t="shared" si="51"/>
        <v>31.59410000034768</v>
      </c>
      <c r="C245" s="2">
        <f t="shared" si="58"/>
        <v>0.97912000000000177</v>
      </c>
      <c r="D245" s="2">
        <f t="shared" si="52"/>
        <v>4.0739817000003313</v>
      </c>
      <c r="E245" s="2"/>
      <c r="F245">
        <v>3225.7492793000001</v>
      </c>
      <c r="G245">
        <v>195</v>
      </c>
      <c r="H245">
        <v>48.75</v>
      </c>
      <c r="I245">
        <v>192.54</v>
      </c>
      <c r="J245">
        <v>51.893999999999998</v>
      </c>
      <c r="K245">
        <v>193.45187999999999</v>
      </c>
      <c r="L245">
        <v>39.512239999999998</v>
      </c>
      <c r="M245" t="s">
        <v>37</v>
      </c>
      <c r="N245">
        <v>0</v>
      </c>
      <c r="O245">
        <v>0</v>
      </c>
      <c r="P245">
        <v>0</v>
      </c>
      <c r="Q245">
        <v>0</v>
      </c>
      <c r="R245">
        <v>-2.3212724685668901E-2</v>
      </c>
      <c r="S245">
        <v>-2.32256698608398E-3</v>
      </c>
      <c r="T245">
        <v>0</v>
      </c>
      <c r="U245">
        <v>160.245</v>
      </c>
      <c r="V245">
        <v>2.5630000000000002</v>
      </c>
      <c r="W245">
        <v>0.47499999999999998</v>
      </c>
      <c r="X245">
        <v>0.70599999999999996</v>
      </c>
      <c r="Y245" t="b">
        <v>1</v>
      </c>
      <c r="Z245" t="s">
        <v>50</v>
      </c>
      <c r="AA245">
        <f t="shared" si="53"/>
        <v>192.63068030285154</v>
      </c>
      <c r="AB245">
        <f t="shared" si="48"/>
        <v>-2.3212724685668902</v>
      </c>
      <c r="AC245">
        <f t="shared" si="59"/>
        <v>43.147560562636698</v>
      </c>
      <c r="AD245">
        <f t="shared" si="54"/>
        <v>30.990596345179224</v>
      </c>
      <c r="AE245">
        <f t="shared" ca="1" si="55"/>
        <v>12.656832228850094</v>
      </c>
      <c r="AG245" s="2"/>
      <c r="AH245" s="2"/>
      <c r="AL245" s="2"/>
      <c r="AM245" s="2"/>
      <c r="AN245" s="2"/>
    </row>
    <row r="246" spans="1:40" x14ac:dyDescent="0.3">
      <c r="A246">
        <f t="shared" si="50"/>
        <v>0</v>
      </c>
      <c r="B246" s="2">
        <f t="shared" si="51"/>
        <v>30.458499999895139</v>
      </c>
      <c r="C246" s="2">
        <f t="shared" si="58"/>
        <v>0.56403999999999854</v>
      </c>
      <c r="D246" s="2">
        <f t="shared" si="52"/>
        <v>4.1044402000002265</v>
      </c>
      <c r="E246" s="2"/>
      <c r="F246">
        <v>3225.7797378</v>
      </c>
      <c r="G246">
        <v>195</v>
      </c>
      <c r="H246">
        <v>48.75</v>
      </c>
      <c r="I246">
        <v>192.90899999999999</v>
      </c>
      <c r="J246">
        <v>51.238999999999997</v>
      </c>
      <c r="K246">
        <v>193.45367999999999</v>
      </c>
      <c r="L246">
        <v>40.076279999999997</v>
      </c>
      <c r="M246" t="s">
        <v>37</v>
      </c>
      <c r="N246">
        <v>0</v>
      </c>
      <c r="O246">
        <v>0</v>
      </c>
      <c r="P246">
        <v>0</v>
      </c>
      <c r="Q246">
        <v>0</v>
      </c>
      <c r="R246">
        <v>-2.3212724685668901E-2</v>
      </c>
      <c r="S246">
        <v>-2.32256698608398E-3</v>
      </c>
      <c r="T246">
        <v>0</v>
      </c>
      <c r="U246">
        <v>160.245</v>
      </c>
      <c r="V246">
        <v>2.4279999999999999</v>
      </c>
      <c r="W246">
        <v>0.47499999999999998</v>
      </c>
      <c r="X246">
        <v>0.70599999999999996</v>
      </c>
      <c r="Y246" t="b">
        <v>1</v>
      </c>
      <c r="Z246" t="s">
        <v>50</v>
      </c>
      <c r="AA246">
        <f t="shared" si="53"/>
        <v>192.63090430547985</v>
      </c>
      <c r="AB246">
        <f t="shared" si="48"/>
        <v>-2.3212724685668902</v>
      </c>
      <c r="AC246">
        <f t="shared" si="59"/>
        <v>43.076858085153098</v>
      </c>
      <c r="AD246">
        <f t="shared" si="54"/>
        <v>18.518311801367119</v>
      </c>
      <c r="AE246">
        <f t="shared" ca="1" si="55"/>
        <v>11.184130091712255</v>
      </c>
      <c r="AG246" s="2"/>
      <c r="AH246" s="2"/>
      <c r="AL246" s="2"/>
      <c r="AM246" s="2"/>
      <c r="AN246" s="2"/>
    </row>
    <row r="247" spans="1:40" x14ac:dyDescent="0.3">
      <c r="A247">
        <f t="shared" si="50"/>
        <v>0</v>
      </c>
      <c r="B247" s="2">
        <f t="shared" si="51"/>
        <v>31.087299999853713</v>
      </c>
      <c r="C247" s="2">
        <f t="shared" si="58"/>
        <v>0.16468000000000416</v>
      </c>
      <c r="D247" s="2">
        <f t="shared" si="52"/>
        <v>4.1355275000000802</v>
      </c>
      <c r="E247" s="2"/>
      <c r="F247">
        <v>3225.8108250999999</v>
      </c>
      <c r="G247">
        <v>195</v>
      </c>
      <c r="H247">
        <v>48.75</v>
      </c>
      <c r="I247">
        <v>193.155</v>
      </c>
      <c r="J247">
        <v>50.845999999999997</v>
      </c>
      <c r="K247">
        <v>193.41924</v>
      </c>
      <c r="L247">
        <v>40.240960000000001</v>
      </c>
      <c r="M247" t="s">
        <v>37</v>
      </c>
      <c r="N247">
        <v>0</v>
      </c>
      <c r="O247">
        <v>0</v>
      </c>
      <c r="P247">
        <v>0</v>
      </c>
      <c r="Q247">
        <v>0</v>
      </c>
      <c r="R247">
        <v>1.4554488182067799E-2</v>
      </c>
      <c r="S247">
        <v>4.3956252932548498E-4</v>
      </c>
      <c r="T247">
        <v>0</v>
      </c>
      <c r="U247">
        <v>160.21799999999999</v>
      </c>
      <c r="V247">
        <v>2.524</v>
      </c>
      <c r="W247">
        <v>0.28399999999999997</v>
      </c>
      <c r="X247">
        <v>0.71099999999999997</v>
      </c>
      <c r="Y247" t="b">
        <v>1</v>
      </c>
      <c r="Z247" t="s">
        <v>51</v>
      </c>
      <c r="AA247">
        <f t="shared" si="53"/>
        <v>192.62661838852509</v>
      </c>
      <c r="AB247">
        <f t="shared" si="48"/>
        <v>1.45544881820678</v>
      </c>
      <c r="AC247">
        <f t="shared" si="59"/>
        <v>43.004695991541361</v>
      </c>
      <c r="AD247">
        <f t="shared" si="54"/>
        <v>5.2973400713725249</v>
      </c>
      <c r="AE247">
        <f t="shared" ca="1" si="55"/>
        <v>11.110044616135903</v>
      </c>
      <c r="AG247" s="2"/>
      <c r="AH247" s="2"/>
      <c r="AL247" s="2"/>
      <c r="AM247" s="2"/>
      <c r="AN247" s="2"/>
    </row>
    <row r="248" spans="1:40" x14ac:dyDescent="0.3">
      <c r="A248">
        <f t="shared" si="50"/>
        <v>0</v>
      </c>
      <c r="B248" s="2">
        <f t="shared" si="51"/>
        <v>29.932599999938247</v>
      </c>
      <c r="C248" s="2">
        <f t="shared" si="58"/>
        <v>0.20136000000000109</v>
      </c>
      <c r="D248" s="2">
        <f t="shared" si="52"/>
        <v>4.1654601000000184</v>
      </c>
      <c r="E248" s="2"/>
      <c r="F248">
        <v>3225.8407576999998</v>
      </c>
      <c r="G248">
        <v>195</v>
      </c>
      <c r="H248">
        <v>48.75</v>
      </c>
      <c r="I248">
        <v>193.27799999999999</v>
      </c>
      <c r="J248">
        <v>50.584000000000003</v>
      </c>
      <c r="K248">
        <v>193.38972000000001</v>
      </c>
      <c r="L248">
        <v>40.442320000000002</v>
      </c>
      <c r="M248" t="s">
        <v>37</v>
      </c>
      <c r="N248">
        <v>0</v>
      </c>
      <c r="O248">
        <v>0</v>
      </c>
      <c r="P248">
        <v>0</v>
      </c>
      <c r="Q248">
        <v>0</v>
      </c>
      <c r="R248">
        <v>1.4554488182067799E-2</v>
      </c>
      <c r="S248">
        <v>4.3956252932548498E-4</v>
      </c>
      <c r="T248">
        <v>0</v>
      </c>
      <c r="U248">
        <v>160.21799999999999</v>
      </c>
      <c r="V248">
        <v>2.524</v>
      </c>
      <c r="W248">
        <v>0.28399999999999997</v>
      </c>
      <c r="X248">
        <v>0.71099999999999997</v>
      </c>
      <c r="Y248" t="b">
        <v>1</v>
      </c>
      <c r="Z248" t="s">
        <v>51</v>
      </c>
      <c r="AA248">
        <f t="shared" si="53"/>
        <v>192.62294474542102</v>
      </c>
      <c r="AB248">
        <f t="shared" si="48"/>
        <v>1.45544881820678</v>
      </c>
      <c r="AC248">
        <f t="shared" si="59"/>
        <v>43.048261358837131</v>
      </c>
      <c r="AD248">
        <f t="shared" si="54"/>
        <v>6.7271135818611318</v>
      </c>
      <c r="AE248">
        <f t="shared" ca="1" si="55"/>
        <v>10.918578077887</v>
      </c>
      <c r="AG248" s="2"/>
      <c r="AH248" s="2"/>
      <c r="AL248" s="2"/>
      <c r="AM248" s="2"/>
      <c r="AN248" s="2"/>
    </row>
    <row r="249" spans="1:40" x14ac:dyDescent="0.3">
      <c r="A249">
        <f t="shared" si="50"/>
        <v>0</v>
      </c>
      <c r="B249" s="2">
        <f t="shared" si="51"/>
        <v>31.185199999981705</v>
      </c>
      <c r="C249" s="2">
        <f t="shared" si="58"/>
        <v>0.23279999999999745</v>
      </c>
      <c r="D249" s="2">
        <f t="shared" si="52"/>
        <v>4.1966453000000001</v>
      </c>
      <c r="E249" s="2"/>
      <c r="F249">
        <v>3225.8719428999998</v>
      </c>
      <c r="G249">
        <v>195</v>
      </c>
      <c r="H249">
        <v>48.75</v>
      </c>
      <c r="I249">
        <v>193.27799999999999</v>
      </c>
      <c r="J249">
        <v>50.453000000000003</v>
      </c>
      <c r="K249">
        <v>193.36511999999999</v>
      </c>
      <c r="L249">
        <v>40.67512</v>
      </c>
      <c r="M249" t="s">
        <v>37</v>
      </c>
      <c r="N249">
        <v>0</v>
      </c>
      <c r="O249">
        <v>0</v>
      </c>
      <c r="P249">
        <v>0</v>
      </c>
      <c r="Q249">
        <v>0</v>
      </c>
      <c r="R249">
        <v>5.0445655822753899E-2</v>
      </c>
      <c r="S249">
        <v>-2.90245366096496E-3</v>
      </c>
      <c r="T249">
        <v>0</v>
      </c>
      <c r="U249">
        <v>160.22399999999999</v>
      </c>
      <c r="V249">
        <v>2.524</v>
      </c>
      <c r="W249">
        <v>0.109</v>
      </c>
      <c r="X249">
        <v>0.71799999999999997</v>
      </c>
      <c r="Y249" t="b">
        <v>1</v>
      </c>
      <c r="Z249" t="s">
        <v>51</v>
      </c>
      <c r="AA249">
        <f t="shared" si="53"/>
        <v>192.61988337616762</v>
      </c>
      <c r="AB249">
        <f t="shared" si="48"/>
        <v>5.0445655822753901</v>
      </c>
      <c r="AC249">
        <f t="shared" si="59"/>
        <v>43.093649821322643</v>
      </c>
      <c r="AD249">
        <f t="shared" si="54"/>
        <v>7.4650795890401227</v>
      </c>
      <c r="AE249">
        <f t="shared" ca="1" si="55"/>
        <v>10.584134188589237</v>
      </c>
      <c r="AG249" s="2"/>
      <c r="AH249" s="2"/>
      <c r="AL249" s="2"/>
      <c r="AM249" s="2"/>
      <c r="AN249" s="2"/>
    </row>
    <row r="250" spans="1:40" x14ac:dyDescent="0.3">
      <c r="A250">
        <f t="shared" si="50"/>
        <v>0</v>
      </c>
      <c r="B250" s="2">
        <f t="shared" si="51"/>
        <v>31.163900000137801</v>
      </c>
      <c r="C250" s="2">
        <f t="shared" si="58"/>
        <v>0.27472000000000207</v>
      </c>
      <c r="D250" s="2">
        <f t="shared" si="52"/>
        <v>4.2278092000001379</v>
      </c>
      <c r="E250" s="2"/>
      <c r="F250">
        <v>3225.9031067999999</v>
      </c>
      <c r="G250">
        <v>195</v>
      </c>
      <c r="H250">
        <v>48.75</v>
      </c>
      <c r="I250">
        <v>193.155</v>
      </c>
      <c r="J250">
        <v>50.715000000000003</v>
      </c>
      <c r="K250">
        <v>193.3356</v>
      </c>
      <c r="L250">
        <v>40.949840000000002</v>
      </c>
      <c r="M250" t="s">
        <v>37</v>
      </c>
      <c r="N250">
        <v>0</v>
      </c>
      <c r="O250">
        <v>0</v>
      </c>
      <c r="P250">
        <v>0</v>
      </c>
      <c r="Q250">
        <v>0</v>
      </c>
      <c r="R250">
        <v>5.0445655822753899E-2</v>
      </c>
      <c r="S250">
        <v>-2.90245366096496E-3</v>
      </c>
      <c r="T250">
        <v>0</v>
      </c>
      <c r="U250">
        <v>160.22399999999999</v>
      </c>
      <c r="V250">
        <v>2.5129999999999999</v>
      </c>
      <c r="W250">
        <v>0.109</v>
      </c>
      <c r="X250">
        <v>0.71799999999999997</v>
      </c>
      <c r="Y250" t="b">
        <v>1</v>
      </c>
      <c r="Z250" t="s">
        <v>51</v>
      </c>
      <c r="AA250">
        <f t="shared" si="53"/>
        <v>192.61620973306353</v>
      </c>
      <c r="AB250">
        <f t="shared" si="48"/>
        <v>5.0445655822753901</v>
      </c>
      <c r="AC250">
        <f t="shared" si="59"/>
        <v>43.250858158672813</v>
      </c>
      <c r="AD250">
        <f t="shared" si="54"/>
        <v>8.8153279916437715</v>
      </c>
      <c r="AE250">
        <f t="shared" ca="1" si="55"/>
        <v>10.93069581076136</v>
      </c>
      <c r="AG250" s="2"/>
      <c r="AH250" s="2"/>
      <c r="AL250" s="2"/>
      <c r="AM250" s="2"/>
      <c r="AN250" s="2"/>
    </row>
    <row r="251" spans="1:40" x14ac:dyDescent="0.3">
      <c r="A251">
        <f t="shared" si="50"/>
        <v>0</v>
      </c>
      <c r="B251" s="2">
        <f t="shared" si="51"/>
        <v>46.788999999989755</v>
      </c>
      <c r="C251" s="2">
        <f t="shared" si="58"/>
        <v>0.32712000000000074</v>
      </c>
      <c r="D251" s="2">
        <f t="shared" si="52"/>
        <v>4.2745982000001277</v>
      </c>
      <c r="E251" s="2"/>
      <c r="F251">
        <v>3225.9498957999999</v>
      </c>
      <c r="G251">
        <v>195</v>
      </c>
      <c r="H251">
        <v>48.75</v>
      </c>
      <c r="I251">
        <v>192.786</v>
      </c>
      <c r="J251">
        <v>51.238999999999997</v>
      </c>
      <c r="K251">
        <v>193.28639999999999</v>
      </c>
      <c r="L251">
        <v>41.276960000000003</v>
      </c>
      <c r="M251" t="s">
        <v>37</v>
      </c>
      <c r="N251">
        <v>0</v>
      </c>
      <c r="O251">
        <v>0</v>
      </c>
      <c r="P251">
        <v>0</v>
      </c>
      <c r="Q251">
        <v>0</v>
      </c>
      <c r="R251">
        <v>4.3464126586914002E-2</v>
      </c>
      <c r="S251">
        <v>-1.99130153656005E-2</v>
      </c>
      <c r="T251">
        <v>0</v>
      </c>
      <c r="U251">
        <v>160.197</v>
      </c>
      <c r="V251">
        <v>2.5129999999999999</v>
      </c>
      <c r="W251">
        <v>3.5000000000000003E-2</v>
      </c>
      <c r="X251">
        <v>0.72399999999999998</v>
      </c>
      <c r="Y251" t="b">
        <v>1</v>
      </c>
      <c r="Z251" t="s">
        <v>51</v>
      </c>
      <c r="AA251">
        <f t="shared" si="53"/>
        <v>192.61008699455672</v>
      </c>
      <c r="AB251">
        <f t="shared" si="48"/>
        <v>4.3464126586914</v>
      </c>
      <c r="AC251">
        <f t="shared" si="59"/>
        <v>43.486888337701842</v>
      </c>
      <c r="AD251">
        <f t="shared" si="54"/>
        <v>6.9913868644354951</v>
      </c>
      <c r="AE251">
        <f t="shared" ca="1" si="55"/>
        <v>9.2622038603058741</v>
      </c>
      <c r="AG251" s="2"/>
      <c r="AH251" s="2"/>
      <c r="AL251" s="2"/>
      <c r="AM251" s="2"/>
      <c r="AN251" s="2"/>
    </row>
    <row r="252" spans="1:40" x14ac:dyDescent="0.3">
      <c r="A252">
        <f t="shared" si="50"/>
        <v>0</v>
      </c>
      <c r="B252" s="2">
        <f t="shared" si="51"/>
        <v>30.466400000022986</v>
      </c>
      <c r="C252" s="2">
        <f t="shared" si="58"/>
        <v>0.38475999999990051</v>
      </c>
      <c r="D252" s="2">
        <f t="shared" si="52"/>
        <v>4.3050646000001507</v>
      </c>
      <c r="E252" s="2"/>
      <c r="F252">
        <v>3225.9803621999999</v>
      </c>
      <c r="G252">
        <v>195</v>
      </c>
      <c r="H252">
        <v>48.75</v>
      </c>
      <c r="I252">
        <v>192.417</v>
      </c>
      <c r="J252">
        <v>51.893999999999998</v>
      </c>
      <c r="K252">
        <v>193.21752000000001</v>
      </c>
      <c r="L252">
        <v>41.661719999999903</v>
      </c>
      <c r="M252" t="s">
        <v>37</v>
      </c>
      <c r="N252">
        <v>0</v>
      </c>
      <c r="O252">
        <v>0</v>
      </c>
      <c r="P252">
        <v>0</v>
      </c>
      <c r="Q252">
        <v>0</v>
      </c>
      <c r="R252">
        <v>4.3464126586914002E-2</v>
      </c>
      <c r="S252">
        <v>-1.99130153656005E-2</v>
      </c>
      <c r="T252">
        <v>0</v>
      </c>
      <c r="U252">
        <v>160.197</v>
      </c>
      <c r="V252">
        <v>2.6070000000000002</v>
      </c>
      <c r="W252">
        <v>3.5000000000000003E-2</v>
      </c>
      <c r="X252">
        <v>0.72399999999999998</v>
      </c>
      <c r="Y252" t="b">
        <v>1</v>
      </c>
      <c r="Z252" t="s">
        <v>51</v>
      </c>
      <c r="AA252">
        <f t="shared" si="53"/>
        <v>192.60151516064721</v>
      </c>
      <c r="AB252">
        <f t="shared" si="48"/>
        <v>4.3464126586914</v>
      </c>
      <c r="AC252">
        <f t="shared" si="59"/>
        <v>43.619307884326695</v>
      </c>
      <c r="AD252">
        <f t="shared" si="54"/>
        <v>12.628994564491054</v>
      </c>
      <c r="AE252">
        <f t="shared" ca="1" si="55"/>
        <v>10.40812977834597</v>
      </c>
      <c r="AG252" s="2"/>
      <c r="AH252" s="2"/>
      <c r="AL252" s="2"/>
      <c r="AM252" s="2"/>
      <c r="AN252" s="2"/>
    </row>
    <row r="253" spans="1:40" x14ac:dyDescent="0.3">
      <c r="A253">
        <f t="shared" si="50"/>
        <v>0</v>
      </c>
      <c r="B253" s="2">
        <f t="shared" si="51"/>
        <v>30.655900000056135</v>
      </c>
      <c r="C253" s="2">
        <f t="shared" si="58"/>
        <v>0.42668000000009698</v>
      </c>
      <c r="D253" s="2">
        <f t="shared" si="52"/>
        <v>4.3357205000002068</v>
      </c>
      <c r="E253" s="2"/>
      <c r="F253">
        <v>3226.0110181</v>
      </c>
      <c r="G253">
        <v>195</v>
      </c>
      <c r="H253">
        <v>48.75</v>
      </c>
      <c r="I253">
        <v>191.679</v>
      </c>
      <c r="J253">
        <v>52.417999999999999</v>
      </c>
      <c r="K253">
        <v>193.10928000000001</v>
      </c>
      <c r="L253">
        <v>42.0884</v>
      </c>
      <c r="M253" t="s">
        <v>37</v>
      </c>
      <c r="N253">
        <v>0</v>
      </c>
      <c r="O253">
        <v>0</v>
      </c>
      <c r="P253">
        <v>0</v>
      </c>
      <c r="Q253">
        <v>0</v>
      </c>
      <c r="R253">
        <v>1.06536769866943E-2</v>
      </c>
      <c r="S253">
        <v>-2.2062450408935501E-2</v>
      </c>
      <c r="T253">
        <v>0</v>
      </c>
      <c r="U253">
        <v>160.239</v>
      </c>
      <c r="V253">
        <v>2.6070000000000002</v>
      </c>
      <c r="W253">
        <v>0.34</v>
      </c>
      <c r="X253">
        <v>0.73299999999999998</v>
      </c>
      <c r="Y253" t="b">
        <v>1</v>
      </c>
      <c r="Z253" t="s">
        <v>51</v>
      </c>
      <c r="AA253">
        <f t="shared" si="53"/>
        <v>192.58804513593225</v>
      </c>
      <c r="AB253">
        <f t="shared" si="48"/>
        <v>1.06536769866943</v>
      </c>
      <c r="AC253">
        <f t="shared" si="59"/>
        <v>43.752551076150517</v>
      </c>
      <c r="AD253">
        <f t="shared" si="54"/>
        <v>13.918364817190676</v>
      </c>
      <c r="AE253">
        <f t="shared" ca="1" si="55"/>
        <v>11.51248267976594</v>
      </c>
      <c r="AG253" s="2"/>
      <c r="AH253" s="2"/>
      <c r="AL253" s="2"/>
      <c r="AM253" s="2"/>
      <c r="AN253" s="2"/>
    </row>
    <row r="254" spans="1:40" x14ac:dyDescent="0.3">
      <c r="A254">
        <f t="shared" si="50"/>
        <v>0</v>
      </c>
      <c r="B254" s="2">
        <f t="shared" si="51"/>
        <v>31.141299999944749</v>
      </c>
      <c r="C254" s="2">
        <f t="shared" si="58"/>
        <v>0.4738400000000027</v>
      </c>
      <c r="D254" s="2">
        <f t="shared" si="52"/>
        <v>4.3668618000001516</v>
      </c>
      <c r="E254" s="2"/>
      <c r="F254">
        <v>3226.0421593999999</v>
      </c>
      <c r="G254">
        <v>195</v>
      </c>
      <c r="H254">
        <v>48.75</v>
      </c>
      <c r="I254">
        <v>191.18700000000001</v>
      </c>
      <c r="J254">
        <v>52.942</v>
      </c>
      <c r="K254">
        <v>192.97644</v>
      </c>
      <c r="L254">
        <v>42.562240000000003</v>
      </c>
      <c r="M254" t="s">
        <v>37</v>
      </c>
      <c r="N254">
        <v>0</v>
      </c>
      <c r="O254">
        <v>0</v>
      </c>
      <c r="P254">
        <v>0</v>
      </c>
      <c r="Q254">
        <v>0</v>
      </c>
      <c r="R254">
        <v>1.06536769866943E-2</v>
      </c>
      <c r="S254">
        <v>-2.2062450408935501E-2</v>
      </c>
      <c r="T254">
        <v>0</v>
      </c>
      <c r="U254">
        <v>160.239</v>
      </c>
      <c r="V254">
        <v>2.4849999999999999</v>
      </c>
      <c r="W254">
        <v>0.34</v>
      </c>
      <c r="X254">
        <v>0.73299999999999998</v>
      </c>
      <c r="Y254" t="b">
        <v>1</v>
      </c>
      <c r="Z254" t="s">
        <v>51</v>
      </c>
      <c r="AA254">
        <f t="shared" si="53"/>
        <v>192.57151374196391</v>
      </c>
      <c r="AB254">
        <f t="shared" si="48"/>
        <v>1.06536769866943</v>
      </c>
      <c r="AC254">
        <f t="shared" si="59"/>
        <v>43.785728011265036</v>
      </c>
      <c r="AD254">
        <f t="shared" si="54"/>
        <v>15.21580666191981</v>
      </c>
      <c r="AE254">
        <f t="shared" ca="1" si="55"/>
        <v>12.557956999125274</v>
      </c>
      <c r="AG254" s="2"/>
      <c r="AH254" s="2"/>
      <c r="AL254" s="2"/>
      <c r="AM254" s="2"/>
      <c r="AN254" s="2"/>
    </row>
    <row r="255" spans="1:40" x14ac:dyDescent="0.3">
      <c r="A255">
        <f t="shared" si="50"/>
        <v>0</v>
      </c>
      <c r="B255" s="2">
        <f t="shared" si="51"/>
        <v>31.068199999936041</v>
      </c>
      <c r="C255" s="2">
        <f t="shared" si="58"/>
        <v>0.50527999999999906</v>
      </c>
      <c r="D255" s="2">
        <f t="shared" si="52"/>
        <v>4.3979300000000876</v>
      </c>
      <c r="E255" s="2"/>
      <c r="F255">
        <v>3226.0732275999999</v>
      </c>
      <c r="G255">
        <v>195</v>
      </c>
      <c r="H255">
        <v>48.75</v>
      </c>
      <c r="I255">
        <v>190.81800000000001</v>
      </c>
      <c r="J255">
        <v>53.204000000000001</v>
      </c>
      <c r="K255">
        <v>192.82391999999999</v>
      </c>
      <c r="L255">
        <v>43.067520000000002</v>
      </c>
      <c r="M255" t="s">
        <v>37</v>
      </c>
      <c r="N255">
        <v>0</v>
      </c>
      <c r="O255">
        <v>0</v>
      </c>
      <c r="P255">
        <v>0</v>
      </c>
      <c r="Q255">
        <v>0</v>
      </c>
      <c r="R255">
        <v>-2.0642814636230401E-2</v>
      </c>
      <c r="S255">
        <v>6.52337837219238E-3</v>
      </c>
      <c r="T255">
        <v>0</v>
      </c>
      <c r="U255">
        <v>160.30000000000001</v>
      </c>
      <c r="V255">
        <v>1.631</v>
      </c>
      <c r="W255">
        <v>0.60099999999999998</v>
      </c>
      <c r="X255">
        <v>0.73799999999999999</v>
      </c>
      <c r="Y255" t="b">
        <v>1</v>
      </c>
      <c r="Z255" t="s">
        <v>51</v>
      </c>
      <c r="AA255">
        <f t="shared" si="53"/>
        <v>192.55253325259284</v>
      </c>
      <c r="AB255">
        <f t="shared" si="48"/>
        <v>-2.0642814636230402</v>
      </c>
      <c r="AC255">
        <f t="shared" si="59"/>
        <v>43.818827068000772</v>
      </c>
      <c r="AD255">
        <f t="shared" si="54"/>
        <v>16.263574973800839</v>
      </c>
      <c r="AE255">
        <f t="shared" ca="1" si="55"/>
        <v>12.574189968992178</v>
      </c>
      <c r="AG255" s="2"/>
      <c r="AH255" s="2"/>
      <c r="AL255" s="2"/>
      <c r="AM255" s="2"/>
      <c r="AN255" s="2"/>
    </row>
    <row r="256" spans="1:40" x14ac:dyDescent="0.3">
      <c r="A256">
        <f t="shared" si="50"/>
        <v>0</v>
      </c>
      <c r="B256" s="2">
        <f t="shared" si="51"/>
        <v>30.485799999951269</v>
      </c>
      <c r="C256" s="2">
        <f t="shared" si="58"/>
        <v>0.541959999999996</v>
      </c>
      <c r="D256" s="2">
        <f t="shared" si="52"/>
        <v>4.4284158000000389</v>
      </c>
      <c r="E256" s="2"/>
      <c r="F256">
        <v>3226.1037133999998</v>
      </c>
      <c r="G256">
        <v>195</v>
      </c>
      <c r="H256">
        <v>48.75</v>
      </c>
      <c r="I256">
        <v>190.69499999999999</v>
      </c>
      <c r="J256">
        <v>53.466000000000001</v>
      </c>
      <c r="K256">
        <v>192.66648000000001</v>
      </c>
      <c r="L256">
        <v>43.609479999999998</v>
      </c>
      <c r="M256" t="s">
        <v>37</v>
      </c>
      <c r="N256">
        <v>0</v>
      </c>
      <c r="O256">
        <v>0</v>
      </c>
      <c r="P256">
        <v>0</v>
      </c>
      <c r="Q256">
        <v>0</v>
      </c>
      <c r="R256">
        <v>-2.0642814636230401E-2</v>
      </c>
      <c r="S256">
        <v>6.52337837219238E-3</v>
      </c>
      <c r="T256">
        <v>0</v>
      </c>
      <c r="U256">
        <v>160.30000000000001</v>
      </c>
      <c r="V256">
        <v>1.631</v>
      </c>
      <c r="W256">
        <v>0.60099999999999998</v>
      </c>
      <c r="X256">
        <v>0.73799999999999999</v>
      </c>
      <c r="Y256" t="b">
        <v>1</v>
      </c>
      <c r="Z256" t="s">
        <v>51</v>
      </c>
      <c r="AA256">
        <f t="shared" si="53"/>
        <v>192.53294048937107</v>
      </c>
      <c r="AB256">
        <f t="shared" si="48"/>
        <v>-2.0642814636230402</v>
      </c>
      <c r="AC256">
        <f t="shared" si="59"/>
        <v>43.755895796157155</v>
      </c>
      <c r="AD256">
        <f t="shared" si="54"/>
        <v>17.777457045603605</v>
      </c>
      <c r="AE256">
        <f t="shared" ca="1" si="55"/>
        <v>13.28926109175133</v>
      </c>
      <c r="AG256" s="2"/>
      <c r="AH256" s="2"/>
      <c r="AL256" s="2"/>
      <c r="AM256" s="2"/>
      <c r="AN256" s="2"/>
    </row>
    <row r="257" spans="1:40" x14ac:dyDescent="0.3">
      <c r="A257">
        <f t="shared" si="50"/>
        <v>0</v>
      </c>
      <c r="B257" s="2">
        <f t="shared" si="51"/>
        <v>46.803200000340439</v>
      </c>
      <c r="C257" s="2">
        <f t="shared" si="58"/>
        <v>0.15831999999990387</v>
      </c>
      <c r="D257" s="2">
        <f t="shared" si="52"/>
        <v>4.4752190000003793</v>
      </c>
      <c r="E257" s="2"/>
      <c r="F257">
        <v>3226.1505166000002</v>
      </c>
      <c r="G257">
        <v>195</v>
      </c>
      <c r="H257">
        <v>43.875</v>
      </c>
      <c r="I257">
        <v>190.572</v>
      </c>
      <c r="J257">
        <v>43.088999999999999</v>
      </c>
      <c r="K257">
        <v>192.51396</v>
      </c>
      <c r="L257">
        <v>43.767799999999902</v>
      </c>
      <c r="M257" t="s">
        <v>37</v>
      </c>
      <c r="N257">
        <v>0</v>
      </c>
      <c r="O257">
        <v>0</v>
      </c>
      <c r="P257">
        <v>0</v>
      </c>
      <c r="Q257">
        <v>0</v>
      </c>
      <c r="R257">
        <v>-3.50583152770996E-2</v>
      </c>
      <c r="S257">
        <v>-1.8229263305664E-2</v>
      </c>
      <c r="T257">
        <v>0</v>
      </c>
      <c r="U257">
        <v>160.18799999999999</v>
      </c>
      <c r="V257">
        <v>1.631</v>
      </c>
      <c r="W257">
        <v>0.48</v>
      </c>
      <c r="X257">
        <v>0.74299999999999999</v>
      </c>
      <c r="Y257" t="b">
        <v>1</v>
      </c>
      <c r="Z257" t="s">
        <v>51</v>
      </c>
      <c r="AA257">
        <f t="shared" si="53"/>
        <v>192.51396</v>
      </c>
      <c r="AB257">
        <f t="shared" si="48"/>
        <v>-3.5058315277099599</v>
      </c>
      <c r="AC257">
        <f t="shared" si="59"/>
        <v>43.659280817958212</v>
      </c>
      <c r="AD257">
        <f t="shared" si="54"/>
        <v>3.3826746888835011</v>
      </c>
      <c r="AE257">
        <f t="shared" ca="1" si="55"/>
        <v>13.801447498625466</v>
      </c>
      <c r="AG257" s="2"/>
      <c r="AH257" s="2"/>
      <c r="AL257" s="2"/>
      <c r="AM257" s="2"/>
      <c r="AN257" s="2"/>
    </row>
    <row r="258" spans="1:40" x14ac:dyDescent="0.3">
      <c r="A258">
        <f t="shared" si="50"/>
        <v>0</v>
      </c>
      <c r="B258" s="2">
        <f t="shared" si="51"/>
        <v>31.821499999750813</v>
      </c>
      <c r="C258" s="2">
        <f t="shared" si="58"/>
        <v>-43.767799999999902</v>
      </c>
      <c r="D258" s="2">
        <f t="shared" si="52"/>
        <v>4.5070405000001301</v>
      </c>
      <c r="E258" s="2"/>
      <c r="F258">
        <v>3226.1823380999999</v>
      </c>
      <c r="G258" t="s">
        <v>39</v>
      </c>
      <c r="H258" t="s">
        <v>40</v>
      </c>
      <c r="V258">
        <v>1.532</v>
      </c>
      <c r="AA258">
        <f t="shared" si="53"/>
        <v>168.55638609779953</v>
      </c>
      <c r="AB258">
        <f>AB257</f>
        <v>-3.5058315277099599</v>
      </c>
      <c r="AC258">
        <f t="shared" si="59"/>
        <v>43.547720000000062</v>
      </c>
      <c r="AD258">
        <f t="shared" si="54"/>
        <v>3.3826746888835011</v>
      </c>
      <c r="AE258">
        <f t="shared" ca="1" si="55"/>
        <v>15.941253337265273</v>
      </c>
      <c r="AG258" s="2"/>
      <c r="AH258" s="2"/>
      <c r="AL258" s="2"/>
      <c r="AM258" s="2"/>
      <c r="AN258" s="2"/>
    </row>
    <row r="259" spans="1:40" x14ac:dyDescent="0.3">
      <c r="A259">
        <f t="shared" si="50"/>
        <v>10</v>
      </c>
      <c r="B259" s="2">
        <f t="shared" si="51"/>
        <v>0</v>
      </c>
      <c r="C259" s="2">
        <f t="shared" si="58"/>
        <v>43.547719999999998</v>
      </c>
      <c r="D259" s="2">
        <f>F259-$F$7+0.001</f>
        <v>4.5080405000001305</v>
      </c>
      <c r="E259" s="2"/>
      <c r="F259">
        <v>3226.1823380999999</v>
      </c>
      <c r="G259">
        <v>195</v>
      </c>
      <c r="H259">
        <v>39</v>
      </c>
      <c r="I259">
        <v>190.572</v>
      </c>
      <c r="J259">
        <v>32.843000000000004</v>
      </c>
      <c r="K259">
        <v>192.37128000000001</v>
      </c>
      <c r="L259">
        <v>43.547719999999998</v>
      </c>
      <c r="M259">
        <v>43.547719999999998</v>
      </c>
      <c r="N259">
        <v>0.1</v>
      </c>
      <c r="O259">
        <v>0</v>
      </c>
      <c r="P259">
        <v>0</v>
      </c>
      <c r="Q259">
        <v>0</v>
      </c>
      <c r="R259">
        <v>-3.50583152770996E-2</v>
      </c>
      <c r="S259">
        <v>-1.8229263305664E-2</v>
      </c>
      <c r="T259">
        <v>0</v>
      </c>
      <c r="U259">
        <v>160.18799999999999</v>
      </c>
      <c r="V259">
        <v>1.532</v>
      </c>
      <c r="W259">
        <v>0.48</v>
      </c>
      <c r="X259">
        <v>0.74299999999999999</v>
      </c>
      <c r="Y259" t="b">
        <v>1</v>
      </c>
      <c r="Z259" t="s">
        <v>51</v>
      </c>
      <c r="AA259">
        <f t="shared" si="53"/>
        <v>192.49620405833028</v>
      </c>
      <c r="AB259">
        <f t="shared" ref="AB259:AB290" si="60">R259*100</f>
        <v>-3.5058315277099599</v>
      </c>
      <c r="AC259">
        <f t="shared" si="59"/>
        <v>43.544214168472351</v>
      </c>
      <c r="AD259" t="b">
        <f t="shared" si="54"/>
        <v>0</v>
      </c>
      <c r="AE259">
        <f t="shared" ca="1" si="55"/>
        <v>18.058170348295622</v>
      </c>
      <c r="AG259" s="2"/>
      <c r="AH259" s="2"/>
      <c r="AL259" s="2"/>
      <c r="AM259" s="2"/>
      <c r="AN259" s="2"/>
    </row>
    <row r="260" spans="1:40" x14ac:dyDescent="0.3">
      <c r="A260">
        <f t="shared" si="50"/>
        <v>10</v>
      </c>
      <c r="B260" s="2">
        <f t="shared" si="51"/>
        <v>30.575400000088848</v>
      </c>
      <c r="C260" s="2">
        <f t="shared" si="58"/>
        <v>-0.1833999999999989</v>
      </c>
      <c r="D260" s="2">
        <f t="shared" si="52"/>
        <v>4.537615900000219</v>
      </c>
      <c r="E260" s="2"/>
      <c r="F260">
        <v>3226.2129135</v>
      </c>
      <c r="G260">
        <v>195</v>
      </c>
      <c r="H260">
        <v>39</v>
      </c>
      <c r="I260">
        <v>190.69499999999999</v>
      </c>
      <c r="J260">
        <v>32.973999999999997</v>
      </c>
      <c r="K260">
        <v>192.23844</v>
      </c>
      <c r="L260">
        <v>43.364319999999999</v>
      </c>
      <c r="M260">
        <v>43.399510226369301</v>
      </c>
      <c r="N260">
        <v>0.1</v>
      </c>
      <c r="O260">
        <v>0</v>
      </c>
      <c r="P260">
        <v>0</v>
      </c>
      <c r="Q260">
        <v>0</v>
      </c>
      <c r="R260">
        <v>-1.9211751937866201E-2</v>
      </c>
      <c r="S260">
        <v>1.34873714447021E-2</v>
      </c>
      <c r="T260">
        <v>0</v>
      </c>
      <c r="U260">
        <v>160.24799999999999</v>
      </c>
      <c r="V260">
        <v>1.4970000000000001</v>
      </c>
      <c r="W260">
        <v>0.59799999999999998</v>
      </c>
      <c r="X260">
        <v>0.747</v>
      </c>
      <c r="Y260" t="b">
        <v>1</v>
      </c>
      <c r="Z260" t="s">
        <v>51</v>
      </c>
      <c r="AA260">
        <f t="shared" si="53"/>
        <v>192.47967266436191</v>
      </c>
      <c r="AB260">
        <f t="shared" si="60"/>
        <v>-1.9211751937866199</v>
      </c>
      <c r="AC260">
        <f t="shared" si="59"/>
        <v>43.440527798707407</v>
      </c>
      <c r="AD260">
        <f t="shared" si="54"/>
        <v>-6.2010995624556227</v>
      </c>
      <c r="AE260">
        <f t="shared" ca="1" si="55"/>
        <v>18.622929355631069</v>
      </c>
      <c r="AG260" s="2">
        <f>AC259-L259</f>
        <v>-3.505831527647274E-3</v>
      </c>
      <c r="AH260" s="2"/>
      <c r="AL260" s="2"/>
      <c r="AM260" s="2"/>
      <c r="AN260" s="2"/>
    </row>
    <row r="261" spans="1:40" x14ac:dyDescent="0.3">
      <c r="A261">
        <f t="shared" si="50"/>
        <v>10</v>
      </c>
      <c r="B261" s="2">
        <f t="shared" si="51"/>
        <v>15.205100000002858</v>
      </c>
      <c r="C261" s="2">
        <f t="shared" si="58"/>
        <v>0.26312000000000069</v>
      </c>
      <c r="D261" s="2">
        <f t="shared" si="52"/>
        <v>4.5528210000002218</v>
      </c>
      <c r="E261" s="2"/>
      <c r="F261">
        <v>3226.2281186</v>
      </c>
      <c r="G261">
        <v>199.875</v>
      </c>
      <c r="H261">
        <v>43.875</v>
      </c>
      <c r="I261">
        <v>190.65</v>
      </c>
      <c r="J261">
        <v>43.481999999999999</v>
      </c>
      <c r="K261">
        <v>192.11363999999901</v>
      </c>
      <c r="L261">
        <v>43.62744</v>
      </c>
      <c r="M261">
        <v>43.706012798231001</v>
      </c>
      <c r="N261">
        <v>0.1</v>
      </c>
      <c r="O261">
        <v>0</v>
      </c>
      <c r="P261">
        <v>0</v>
      </c>
      <c r="Q261">
        <v>0</v>
      </c>
      <c r="R261">
        <v>-1.9211751937866201E-2</v>
      </c>
      <c r="S261">
        <v>1.34873714447021E-2</v>
      </c>
      <c r="T261">
        <v>0</v>
      </c>
      <c r="U261">
        <v>160.24799999999999</v>
      </c>
      <c r="V261">
        <v>1.4970000000000001</v>
      </c>
      <c r="W261">
        <v>0.59799999999999998</v>
      </c>
      <c r="X261">
        <v>0.747</v>
      </c>
      <c r="Y261" t="b">
        <v>1</v>
      </c>
      <c r="Z261" t="s">
        <v>51</v>
      </c>
      <c r="AA261">
        <f t="shared" si="53"/>
        <v>192.46414181546652</v>
      </c>
      <c r="AB261">
        <f t="shared" si="60"/>
        <v>-1.9211751937866199</v>
      </c>
      <c r="AC261">
        <f t="shared" si="59"/>
        <v>43.41131613776836</v>
      </c>
      <c r="AD261">
        <f t="shared" si="54"/>
        <v>17.304720126796354</v>
      </c>
      <c r="AE261">
        <f t="shared" ca="1" si="55"/>
        <v>19.388325785732732</v>
      </c>
      <c r="AG261" s="2">
        <v>-16.512734332710956</v>
      </c>
      <c r="AH261" s="2"/>
      <c r="AL261" s="2"/>
      <c r="AM261" s="2"/>
      <c r="AN261" s="2"/>
    </row>
    <row r="262" spans="1:40" x14ac:dyDescent="0.3">
      <c r="A262">
        <f t="shared" si="50"/>
        <v>10</v>
      </c>
      <c r="B262" s="2">
        <f t="shared" si="51"/>
        <v>31.212100000175269</v>
      </c>
      <c r="C262" s="2">
        <f t="shared" si="58"/>
        <v>0.70439999999999969</v>
      </c>
      <c r="D262" s="2">
        <f t="shared" si="52"/>
        <v>4.5840331000003971</v>
      </c>
      <c r="E262" s="2"/>
      <c r="F262">
        <v>3226.2593307000002</v>
      </c>
      <c r="G262">
        <v>195</v>
      </c>
      <c r="H262">
        <v>48.75</v>
      </c>
      <c r="I262">
        <v>191.06399999999999</v>
      </c>
      <c r="J262">
        <v>53.728000000000002</v>
      </c>
      <c r="K262">
        <v>192.00540000000001</v>
      </c>
      <c r="L262">
        <v>44.33184</v>
      </c>
      <c r="M262">
        <v>44.552231100176797</v>
      </c>
      <c r="N262">
        <v>0.1</v>
      </c>
      <c r="O262">
        <v>0</v>
      </c>
      <c r="P262">
        <v>0</v>
      </c>
      <c r="Q262">
        <v>0</v>
      </c>
      <c r="R262">
        <v>-2.2199587821960399E-3</v>
      </c>
      <c r="S262">
        <v>2.2490222930908198E-2</v>
      </c>
      <c r="T262">
        <v>0</v>
      </c>
      <c r="U262">
        <v>160.20099999999999</v>
      </c>
      <c r="V262">
        <v>1.1519999999999999</v>
      </c>
      <c r="W262">
        <v>0.41699999999999998</v>
      </c>
      <c r="X262">
        <v>0.747</v>
      </c>
      <c r="Y262" t="b">
        <v>1</v>
      </c>
      <c r="Z262" t="s">
        <v>51</v>
      </c>
      <c r="AA262">
        <f t="shared" si="53"/>
        <v>192.45067179075167</v>
      </c>
      <c r="AB262">
        <f t="shared" si="60"/>
        <v>-0.22199587821960398</v>
      </c>
      <c r="AC262">
        <f t="shared" si="59"/>
        <v>43.351352225502033</v>
      </c>
      <c r="AD262">
        <f t="shared" si="54"/>
        <v>22.568170677270807</v>
      </c>
      <c r="AE262">
        <f t="shared" ca="1" si="55"/>
        <v>17.421724288090974</v>
      </c>
      <c r="AG262" s="2"/>
      <c r="AH262" s="2"/>
      <c r="AL262" s="2"/>
      <c r="AM262" s="2"/>
      <c r="AN262" s="2"/>
    </row>
    <row r="263" spans="1:40" x14ac:dyDescent="0.3">
      <c r="A263">
        <f t="shared" si="50"/>
        <v>10</v>
      </c>
      <c r="B263" s="2">
        <f t="shared" si="51"/>
        <v>30.645199999980832</v>
      </c>
      <c r="C263" s="2">
        <f t="shared" si="58"/>
        <v>0.71488000000000085</v>
      </c>
      <c r="D263" s="2">
        <f t="shared" si="52"/>
        <v>4.6146783000003779</v>
      </c>
      <c r="E263" s="2"/>
      <c r="F263">
        <v>3226.2899759000002</v>
      </c>
      <c r="G263">
        <v>195</v>
      </c>
      <c r="H263">
        <v>48.75</v>
      </c>
      <c r="I263">
        <v>191.06399999999999</v>
      </c>
      <c r="J263">
        <v>53.204000000000001</v>
      </c>
      <c r="K263">
        <v>191.91192000000001</v>
      </c>
      <c r="L263">
        <v>45.046720000000001</v>
      </c>
      <c r="M263">
        <v>45.473978832654602</v>
      </c>
      <c r="N263">
        <v>0.1</v>
      </c>
      <c r="O263">
        <v>0</v>
      </c>
      <c r="P263">
        <v>0</v>
      </c>
      <c r="Q263">
        <v>0</v>
      </c>
      <c r="R263">
        <v>-2.2199587821960399E-3</v>
      </c>
      <c r="S263">
        <v>2.2490222930908198E-2</v>
      </c>
      <c r="T263">
        <v>0</v>
      </c>
      <c r="U263">
        <v>160.20099999999999</v>
      </c>
      <c r="V263">
        <v>1.1519999999999999</v>
      </c>
      <c r="W263">
        <v>0.41699999999999998</v>
      </c>
      <c r="X263">
        <v>0.747</v>
      </c>
      <c r="Y263" t="b">
        <v>1</v>
      </c>
      <c r="Z263" t="s">
        <v>51</v>
      </c>
      <c r="AA263">
        <f t="shared" si="53"/>
        <v>192.43903858758875</v>
      </c>
      <c r="AB263">
        <f t="shared" si="60"/>
        <v>-0.22199587821960398</v>
      </c>
      <c r="AC263">
        <f t="shared" si="59"/>
        <v>43.344549117414822</v>
      </c>
      <c r="AD263">
        <f t="shared" si="54"/>
        <v>23.327633691424694</v>
      </c>
      <c r="AE263">
        <f t="shared" ca="1" si="55"/>
        <v>15.062826646841893</v>
      </c>
      <c r="AG263" s="2"/>
      <c r="AH263" s="2"/>
      <c r="AL263" s="2"/>
      <c r="AM263" s="2"/>
      <c r="AN263" s="2"/>
    </row>
    <row r="264" spans="1:40" x14ac:dyDescent="0.3">
      <c r="A264">
        <f t="shared" ref="A264:A327" si="61">N264*100</f>
        <v>10</v>
      </c>
      <c r="B264" s="2">
        <f t="shared" ref="B264:B327" si="62">(F264-F263)*1000</f>
        <v>46.535899999980757</v>
      </c>
      <c r="C264" s="2">
        <f t="shared" si="58"/>
        <v>0.71488000000000085</v>
      </c>
      <c r="D264" s="2">
        <f t="shared" ref="D264:D327" si="63">F264-$F$7</f>
        <v>4.6612142000003587</v>
      </c>
      <c r="E264" s="2"/>
      <c r="F264">
        <v>3226.3365118000002</v>
      </c>
      <c r="G264">
        <v>195</v>
      </c>
      <c r="H264">
        <v>48.75</v>
      </c>
      <c r="I264">
        <v>191.06399999999999</v>
      </c>
      <c r="J264">
        <v>52.417999999999999</v>
      </c>
      <c r="K264">
        <v>191.82828000000001</v>
      </c>
      <c r="L264">
        <v>45.761600000000001</v>
      </c>
      <c r="M264">
        <v>46.627449389442297</v>
      </c>
      <c r="N264">
        <v>0.1</v>
      </c>
      <c r="O264">
        <v>0</v>
      </c>
      <c r="P264">
        <v>0</v>
      </c>
      <c r="Q264">
        <v>0</v>
      </c>
      <c r="R264">
        <v>-1.1212217330932601E-2</v>
      </c>
      <c r="S264">
        <v>8.0898780822753896E-3</v>
      </c>
      <c r="T264">
        <v>0</v>
      </c>
      <c r="U264">
        <v>160.274</v>
      </c>
      <c r="V264">
        <v>1.163</v>
      </c>
      <c r="W264">
        <v>0.33400000000000002</v>
      </c>
      <c r="X264">
        <v>0.749</v>
      </c>
      <c r="Y264" t="b">
        <v>1</v>
      </c>
      <c r="Z264" t="s">
        <v>51</v>
      </c>
      <c r="AA264">
        <f t="shared" ref="AA264:AA327" si="64">$K$4+($AA$4/$K$3*(K264-$K$4))</f>
        <v>192.42862993212719</v>
      </c>
      <c r="AB264">
        <f t="shared" si="60"/>
        <v>-1.1212217330932601</v>
      </c>
      <c r="AC264">
        <f t="shared" si="59"/>
        <v>43.33421833942559</v>
      </c>
      <c r="AD264">
        <f t="shared" ref="AD264:AD327" si="65">IF((L264-L263)/(D264-D263)&lt;100,IF((L264-L263)/(D264-D263)&gt;(-1*20),(L264-L263)/(D264-D263),AD263))</f>
        <v>15.361903390721926</v>
      </c>
      <c r="AE264">
        <f t="shared" ref="AE264:AE327" ca="1" si="66">IF(ROW(AD264)-ROW($AD$7)+1&gt;=$AE$6, AVERAGE(OFFSET(AD264, 0, 0, $AE$6, 1)), NA())</f>
        <v>12.730063277699635</v>
      </c>
      <c r="AG264" s="2"/>
      <c r="AH264" s="2"/>
      <c r="AL264" s="2"/>
      <c r="AM264" s="2"/>
      <c r="AN264" s="2"/>
    </row>
    <row r="265" spans="1:40" x14ac:dyDescent="0.3">
      <c r="A265">
        <f t="shared" si="61"/>
        <v>10</v>
      </c>
      <c r="B265" s="2">
        <f t="shared" si="62"/>
        <v>31.493599999976141</v>
      </c>
      <c r="C265" s="2">
        <f t="shared" ref="C265:C328" si="67">L265-L264</f>
        <v>0.71487999999990137</v>
      </c>
      <c r="D265" s="2">
        <f t="shared" si="63"/>
        <v>4.6927078000003348</v>
      </c>
      <c r="E265" s="2"/>
      <c r="F265">
        <v>3226.3680054000001</v>
      </c>
      <c r="G265">
        <v>195</v>
      </c>
      <c r="H265">
        <v>48.75</v>
      </c>
      <c r="I265">
        <v>190.81800000000001</v>
      </c>
      <c r="J265">
        <v>51.762999999999998</v>
      </c>
      <c r="K265">
        <v>191.75448</v>
      </c>
      <c r="L265">
        <v>46.476479999999903</v>
      </c>
      <c r="M265">
        <v>47.721848635003298</v>
      </c>
      <c r="N265">
        <v>0.1</v>
      </c>
      <c r="O265">
        <v>0</v>
      </c>
      <c r="P265">
        <v>0</v>
      </c>
      <c r="Q265">
        <v>0</v>
      </c>
      <c r="R265">
        <v>-1.1212217330932601E-2</v>
      </c>
      <c r="S265">
        <v>8.0898780822753896E-3</v>
      </c>
      <c r="T265">
        <v>0</v>
      </c>
      <c r="U265">
        <v>160.274</v>
      </c>
      <c r="V265">
        <v>1.163</v>
      </c>
      <c r="W265">
        <v>0.33400000000000002</v>
      </c>
      <c r="X265">
        <v>0.749</v>
      </c>
      <c r="Y265" t="b">
        <v>1</v>
      </c>
      <c r="Z265" t="s">
        <v>51</v>
      </c>
      <c r="AA265">
        <f t="shared" si="64"/>
        <v>192.41944582436702</v>
      </c>
      <c r="AB265">
        <f t="shared" si="60"/>
        <v>-1.1212217330932601</v>
      </c>
      <c r="AC265">
        <f t="shared" si="59"/>
        <v>43.298907030652273</v>
      </c>
      <c r="AD265">
        <f t="shared" si="65"/>
        <v>22.699215078633213</v>
      </c>
      <c r="AE265">
        <f t="shared" ca="1" si="66"/>
        <v>11.330394377573864</v>
      </c>
      <c r="AG265" s="2"/>
      <c r="AH265" s="2"/>
      <c r="AL265" s="2"/>
      <c r="AM265" s="2"/>
      <c r="AN265" s="2"/>
    </row>
    <row r="266" spans="1:40" x14ac:dyDescent="0.3">
      <c r="A266">
        <f t="shared" si="61"/>
        <v>10</v>
      </c>
      <c r="B266" s="2">
        <f t="shared" si="62"/>
        <v>31.464499999856343</v>
      </c>
      <c r="C266" s="2">
        <f t="shared" si="67"/>
        <v>0.70439999999999969</v>
      </c>
      <c r="D266" s="2">
        <f t="shared" si="63"/>
        <v>4.7241723000001912</v>
      </c>
      <c r="E266" s="2"/>
      <c r="F266">
        <v>3226.3994699</v>
      </c>
      <c r="G266">
        <v>195</v>
      </c>
      <c r="H266">
        <v>48.75</v>
      </c>
      <c r="I266">
        <v>190.572</v>
      </c>
      <c r="J266">
        <v>50.976999999999997</v>
      </c>
      <c r="K266">
        <v>191.68559999999999</v>
      </c>
      <c r="L266">
        <v>47.180879999999902</v>
      </c>
      <c r="M266">
        <v>48.870145131601703</v>
      </c>
      <c r="N266">
        <v>0.1</v>
      </c>
      <c r="O266">
        <v>0</v>
      </c>
      <c r="P266">
        <v>0</v>
      </c>
      <c r="Q266">
        <v>0</v>
      </c>
      <c r="R266">
        <v>-6.85362815856933E-3</v>
      </c>
      <c r="S266">
        <v>1.53215656280517E-2</v>
      </c>
      <c r="T266">
        <v>0</v>
      </c>
      <c r="U266">
        <v>160.327</v>
      </c>
      <c r="V266">
        <v>1.1879999999999999</v>
      </c>
      <c r="W266">
        <v>0.28299999999999997</v>
      </c>
      <c r="X266">
        <v>0.749</v>
      </c>
      <c r="Y266" t="b">
        <v>1</v>
      </c>
      <c r="Z266" t="s">
        <v>51</v>
      </c>
      <c r="AA266">
        <f t="shared" si="64"/>
        <v>192.41087399045747</v>
      </c>
      <c r="AB266">
        <f t="shared" si="60"/>
        <v>-0.68536281585693304</v>
      </c>
      <c r="AC266">
        <f t="shared" si="59"/>
        <v>43.263628349431521</v>
      </c>
      <c r="AD266">
        <f t="shared" si="65"/>
        <v>22.387134707470825</v>
      </c>
      <c r="AE266">
        <f t="shared" ca="1" si="66"/>
        <v>9.1915289781070584</v>
      </c>
      <c r="AG266" s="2"/>
      <c r="AH266" s="2"/>
      <c r="AL266" s="2"/>
      <c r="AM266" s="2"/>
      <c r="AN266" s="2"/>
    </row>
    <row r="267" spans="1:40" x14ac:dyDescent="0.3">
      <c r="A267">
        <f t="shared" si="61"/>
        <v>10</v>
      </c>
      <c r="B267" s="2">
        <f t="shared" si="62"/>
        <v>31.111799999962386</v>
      </c>
      <c r="C267" s="2">
        <f t="shared" si="67"/>
        <v>0.70440000000009917</v>
      </c>
      <c r="D267" s="2">
        <f t="shared" si="63"/>
        <v>4.7552841000001536</v>
      </c>
      <c r="E267" s="2"/>
      <c r="F267">
        <v>3226.4305816999999</v>
      </c>
      <c r="G267">
        <v>195</v>
      </c>
      <c r="H267">
        <v>48.75</v>
      </c>
      <c r="I267">
        <v>190.203</v>
      </c>
      <c r="J267">
        <v>50.322000000000003</v>
      </c>
      <c r="K267">
        <v>191.61671999999999</v>
      </c>
      <c r="L267">
        <v>47.885280000000002</v>
      </c>
      <c r="M267">
        <v>50.075490988117103</v>
      </c>
      <c r="N267">
        <v>0.1</v>
      </c>
      <c r="O267">
        <v>0</v>
      </c>
      <c r="P267">
        <v>0</v>
      </c>
      <c r="Q267">
        <v>0</v>
      </c>
      <c r="R267">
        <v>-6.85362815856933E-3</v>
      </c>
      <c r="S267">
        <v>1.53215656280517E-2</v>
      </c>
      <c r="T267">
        <v>0</v>
      </c>
      <c r="U267">
        <v>160.327</v>
      </c>
      <c r="V267">
        <v>1.1879999999999999</v>
      </c>
      <c r="W267">
        <v>0.28299999999999997</v>
      </c>
      <c r="X267">
        <v>0.749</v>
      </c>
      <c r="Y267" t="b">
        <v>1</v>
      </c>
      <c r="Z267" t="s">
        <v>51</v>
      </c>
      <c r="AA267">
        <f t="shared" si="64"/>
        <v>192.40230215654796</v>
      </c>
      <c r="AB267">
        <f t="shared" si="60"/>
        <v>-0.68536281585693304</v>
      </c>
      <c r="AC267">
        <f t="shared" si="59"/>
        <v>43.242305478577165</v>
      </c>
      <c r="AD267">
        <f t="shared" si="65"/>
        <v>22.640927236641751</v>
      </c>
      <c r="AE267">
        <f t="shared" ca="1" si="66"/>
        <v>7.124780602383912</v>
      </c>
      <c r="AG267" s="2"/>
      <c r="AH267" s="2"/>
      <c r="AL267" s="2"/>
      <c r="AM267" s="2"/>
      <c r="AN267" s="2"/>
    </row>
    <row r="268" spans="1:40" x14ac:dyDescent="0.3">
      <c r="A268">
        <f t="shared" si="61"/>
        <v>10</v>
      </c>
      <c r="B268" s="2">
        <f t="shared" si="62"/>
        <v>31.864600000062637</v>
      </c>
      <c r="C268" s="2">
        <f t="shared" si="67"/>
        <v>0.71487999999990137</v>
      </c>
      <c r="D268" s="2">
        <f t="shared" si="63"/>
        <v>4.7871487000002162</v>
      </c>
      <c r="E268" s="2"/>
      <c r="F268">
        <v>3226.4624463</v>
      </c>
      <c r="G268">
        <v>195</v>
      </c>
      <c r="H268">
        <v>48.75</v>
      </c>
      <c r="I268">
        <v>189.95699999999999</v>
      </c>
      <c r="J268">
        <v>49.929000000000002</v>
      </c>
      <c r="K268">
        <v>191.54292000000001</v>
      </c>
      <c r="L268">
        <v>48.600159999999903</v>
      </c>
      <c r="M268">
        <v>51.365767098946499</v>
      </c>
      <c r="N268">
        <v>0.1</v>
      </c>
      <c r="O268">
        <v>0</v>
      </c>
      <c r="P268">
        <v>0</v>
      </c>
      <c r="Q268">
        <v>0</v>
      </c>
      <c r="R268">
        <v>1.1604148864746E-2</v>
      </c>
      <c r="S268">
        <v>2.3650562286376901E-2</v>
      </c>
      <c r="T268">
        <v>0</v>
      </c>
      <c r="U268">
        <v>160.28299999999999</v>
      </c>
      <c r="V268">
        <v>1.2050000000000001</v>
      </c>
      <c r="W268">
        <v>0.21</v>
      </c>
      <c r="X268">
        <v>0.751</v>
      </c>
      <c r="Y268" t="b">
        <v>1</v>
      </c>
      <c r="Z268" t="s">
        <v>51</v>
      </c>
      <c r="AA268">
        <f t="shared" si="64"/>
        <v>192.39311804878778</v>
      </c>
      <c r="AB268">
        <f t="shared" si="60"/>
        <v>1.1604148864746</v>
      </c>
      <c r="AC268">
        <f t="shared" si="59"/>
        <v>43.220466666594966</v>
      </c>
      <c r="AD268">
        <f t="shared" si="65"/>
        <v>22.434927788156642</v>
      </c>
      <c r="AE268">
        <f t="shared" ca="1" si="66"/>
        <v>5.0459504411533969</v>
      </c>
      <c r="AG268" s="2"/>
      <c r="AH268" s="2"/>
      <c r="AL268" s="2"/>
      <c r="AM268" s="2"/>
      <c r="AN268" s="2"/>
    </row>
    <row r="269" spans="1:40" x14ac:dyDescent="0.3">
      <c r="A269">
        <f t="shared" si="61"/>
        <v>10</v>
      </c>
      <c r="B269" s="2">
        <f t="shared" si="62"/>
        <v>31.261600000107137</v>
      </c>
      <c r="C269" s="2">
        <f t="shared" si="67"/>
        <v>0.74107999999999663</v>
      </c>
      <c r="D269" s="2">
        <f t="shared" si="63"/>
        <v>4.8184103000003233</v>
      </c>
      <c r="E269" s="2"/>
      <c r="F269">
        <v>3226.4937079000001</v>
      </c>
      <c r="G269">
        <v>195</v>
      </c>
      <c r="H269">
        <v>48.75</v>
      </c>
      <c r="I269">
        <v>189.834</v>
      </c>
      <c r="J269">
        <v>49.798000000000002</v>
      </c>
      <c r="K269">
        <v>191.46420000000001</v>
      </c>
      <c r="L269">
        <v>49.3412399999999</v>
      </c>
      <c r="M269">
        <v>52.731115787156099</v>
      </c>
      <c r="N269">
        <v>0.1</v>
      </c>
      <c r="O269">
        <v>0</v>
      </c>
      <c r="P269">
        <v>0</v>
      </c>
      <c r="Q269">
        <v>0</v>
      </c>
      <c r="R269">
        <v>1.1604148864746E-2</v>
      </c>
      <c r="S269">
        <v>2.3650562286376901E-2</v>
      </c>
      <c r="T269">
        <v>0</v>
      </c>
      <c r="U269">
        <v>160.28299999999999</v>
      </c>
      <c r="V269">
        <v>1.2050000000000001</v>
      </c>
      <c r="W269">
        <v>0.21</v>
      </c>
      <c r="X269">
        <v>0.751</v>
      </c>
      <c r="Y269" t="b">
        <v>1</v>
      </c>
      <c r="Z269" t="s">
        <v>51</v>
      </c>
      <c r="AA269">
        <f t="shared" si="64"/>
        <v>192.38332166717689</v>
      </c>
      <c r="AB269">
        <f t="shared" si="60"/>
        <v>1.1604148864746</v>
      </c>
      <c r="AC269">
        <f t="shared" si="59"/>
        <v>43.256743092610101</v>
      </c>
      <c r="AD269">
        <f t="shared" si="65"/>
        <v>23.705760421650105</v>
      </c>
      <c r="AE269">
        <f t="shared" ca="1" si="66"/>
        <v>3.0056470375492914</v>
      </c>
      <c r="AG269" s="2"/>
      <c r="AH269" s="2"/>
      <c r="AL269" s="2"/>
      <c r="AM269" s="2"/>
      <c r="AN269" s="2"/>
    </row>
    <row r="270" spans="1:40" x14ac:dyDescent="0.3">
      <c r="A270">
        <f t="shared" si="61"/>
        <v>10</v>
      </c>
      <c r="B270" s="2">
        <f t="shared" si="62"/>
        <v>46.473699999751261</v>
      </c>
      <c r="C270" s="2">
        <f t="shared" si="67"/>
        <v>6.7520000000101277E-2</v>
      </c>
      <c r="D270" s="2">
        <f t="shared" si="63"/>
        <v>4.8648840000000746</v>
      </c>
      <c r="E270" s="2"/>
      <c r="F270">
        <v>3226.5401815999999</v>
      </c>
      <c r="G270">
        <v>195</v>
      </c>
      <c r="H270">
        <v>48.75</v>
      </c>
      <c r="I270">
        <v>189.834</v>
      </c>
      <c r="J270">
        <v>49.798000000000002</v>
      </c>
      <c r="K270">
        <v>191.39184</v>
      </c>
      <c r="L270">
        <v>49.408760000000001</v>
      </c>
      <c r="M270">
        <v>53.832905373869501</v>
      </c>
      <c r="N270">
        <v>0.1</v>
      </c>
      <c r="O270">
        <v>0</v>
      </c>
      <c r="P270">
        <v>0</v>
      </c>
      <c r="Q270">
        <v>0</v>
      </c>
      <c r="R270">
        <v>4.8526710510253902E-2</v>
      </c>
      <c r="S270">
        <v>2.0451021194458002E-2</v>
      </c>
      <c r="T270">
        <v>0</v>
      </c>
      <c r="U270">
        <v>160.30000000000001</v>
      </c>
      <c r="V270">
        <v>1.2270000000000001</v>
      </c>
      <c r="W270">
        <v>7.4999999999999997E-2</v>
      </c>
      <c r="X270">
        <v>0.752</v>
      </c>
      <c r="Y270" t="b">
        <v>1</v>
      </c>
      <c r="Z270" t="s">
        <v>51</v>
      </c>
      <c r="AA270">
        <f t="shared" si="64"/>
        <v>192.37431676151934</v>
      </c>
      <c r="AB270">
        <f t="shared" si="60"/>
        <v>4.8526710510253901</v>
      </c>
      <c r="AC270">
        <f t="shared" si="59"/>
        <v>43.310671865919367</v>
      </c>
      <c r="AD270">
        <f t="shared" si="65"/>
        <v>1.4528647385610067</v>
      </c>
      <c r="AE270">
        <f t="shared" ca="1" si="66"/>
        <v>0.85086938925270172</v>
      </c>
      <c r="AG270" s="2"/>
      <c r="AH270" s="2"/>
      <c r="AL270" s="2"/>
      <c r="AM270" s="2"/>
      <c r="AN270" s="2"/>
    </row>
    <row r="271" spans="1:40" x14ac:dyDescent="0.3">
      <c r="A271">
        <f t="shared" si="61"/>
        <v>10</v>
      </c>
      <c r="B271" s="2">
        <f t="shared" si="62"/>
        <v>31.067700000221521</v>
      </c>
      <c r="C271" s="2">
        <f t="shared" si="67"/>
        <v>-7.3360000000100456E-2</v>
      </c>
      <c r="D271" s="2">
        <f t="shared" si="63"/>
        <v>4.8959517000002961</v>
      </c>
      <c r="E271" s="2"/>
      <c r="F271">
        <v>3226.5712493000001</v>
      </c>
      <c r="G271">
        <v>195</v>
      </c>
      <c r="H271">
        <v>48.75</v>
      </c>
      <c r="I271">
        <v>189.71100000000001</v>
      </c>
      <c r="J271">
        <v>50.06</v>
      </c>
      <c r="K271">
        <v>191.27868000000001</v>
      </c>
      <c r="L271">
        <v>49.3353999999999</v>
      </c>
      <c r="M271">
        <v>54.519748935239697</v>
      </c>
      <c r="N271">
        <v>0.1</v>
      </c>
      <c r="O271">
        <v>0</v>
      </c>
      <c r="P271">
        <v>0</v>
      </c>
      <c r="Q271">
        <v>0</v>
      </c>
      <c r="R271">
        <v>4.8526710510253902E-2</v>
      </c>
      <c r="S271">
        <v>2.0451021194458002E-2</v>
      </c>
      <c r="T271">
        <v>0</v>
      </c>
      <c r="U271">
        <v>160.30000000000001</v>
      </c>
      <c r="V271">
        <v>1.2270000000000001</v>
      </c>
      <c r="W271">
        <v>7.4999999999999997E-2</v>
      </c>
      <c r="X271">
        <v>0.752</v>
      </c>
      <c r="Y271" t="b">
        <v>1</v>
      </c>
      <c r="Z271" t="s">
        <v>51</v>
      </c>
      <c r="AA271">
        <f t="shared" si="64"/>
        <v>192.36023446295368</v>
      </c>
      <c r="AB271">
        <f t="shared" si="60"/>
        <v>4.8526710510253901</v>
      </c>
      <c r="AC271">
        <f t="shared" si="59"/>
        <v>43.461433194332386</v>
      </c>
      <c r="AD271">
        <f t="shared" si="65"/>
        <v>-2.3612948496212267</v>
      </c>
      <c r="AE271">
        <f t="shared" ca="1" si="66"/>
        <v>-0.36124693419026377</v>
      </c>
      <c r="AG271" s="2"/>
      <c r="AH271" s="2"/>
      <c r="AL271" s="2"/>
      <c r="AM271" s="2"/>
      <c r="AN271" s="2"/>
    </row>
    <row r="272" spans="1:40" x14ac:dyDescent="0.3">
      <c r="A272">
        <f t="shared" si="61"/>
        <v>10</v>
      </c>
      <c r="B272" s="2">
        <f t="shared" si="62"/>
        <v>30.799199999819393</v>
      </c>
      <c r="C272" s="2">
        <f t="shared" si="67"/>
        <v>-3.1440000000003465E-2</v>
      </c>
      <c r="D272" s="2">
        <f t="shared" si="63"/>
        <v>4.9267509000001155</v>
      </c>
      <c r="E272" s="2"/>
      <c r="F272">
        <v>3226.6020484999999</v>
      </c>
      <c r="G272">
        <v>195</v>
      </c>
      <c r="H272">
        <v>48.75</v>
      </c>
      <c r="I272">
        <v>189.71100000000001</v>
      </c>
      <c r="J272">
        <v>50.453000000000003</v>
      </c>
      <c r="K272">
        <v>191.15075999999999</v>
      </c>
      <c r="L272">
        <v>49.303959999999897</v>
      </c>
      <c r="M272">
        <v>55.294791599857398</v>
      </c>
      <c r="N272">
        <v>0.1</v>
      </c>
      <c r="O272">
        <v>0</v>
      </c>
      <c r="P272">
        <v>0</v>
      </c>
      <c r="Q272">
        <v>0</v>
      </c>
      <c r="R272">
        <v>7.0969512939453097E-2</v>
      </c>
      <c r="S272">
        <v>1.2659514427184999E-2</v>
      </c>
      <c r="T272">
        <v>0</v>
      </c>
      <c r="U272">
        <v>160.405</v>
      </c>
      <c r="V272">
        <v>1.552</v>
      </c>
      <c r="W272">
        <v>-4.2999999999999997E-2</v>
      </c>
      <c r="X272">
        <v>0.754</v>
      </c>
      <c r="Y272" t="b">
        <v>1</v>
      </c>
      <c r="Z272" t="s">
        <v>51</v>
      </c>
      <c r="AA272">
        <f t="shared" si="64"/>
        <v>192.34431534283601</v>
      </c>
      <c r="AB272">
        <f t="shared" si="60"/>
        <v>7.0969512939453097</v>
      </c>
      <c r="AC272">
        <f t="shared" si="59"/>
        <v>43.610891580566253</v>
      </c>
      <c r="AD272">
        <f t="shared" si="65"/>
        <v>-1.0208057352200002</v>
      </c>
      <c r="AE272">
        <f t="shared" ca="1" si="66"/>
        <v>-1.1919472988150062</v>
      </c>
      <c r="AG272" s="2"/>
      <c r="AH272" s="2"/>
      <c r="AL272" s="2"/>
      <c r="AM272" s="2"/>
      <c r="AN272" s="2"/>
    </row>
    <row r="273" spans="1:40" x14ac:dyDescent="0.3">
      <c r="A273">
        <f t="shared" si="61"/>
        <v>10</v>
      </c>
      <c r="B273" s="2">
        <f t="shared" si="62"/>
        <v>47.111100000165607</v>
      </c>
      <c r="C273" s="2">
        <f t="shared" si="67"/>
        <v>9.9475983006414026E-14</v>
      </c>
      <c r="D273" s="2">
        <f t="shared" si="63"/>
        <v>4.9738620000002811</v>
      </c>
      <c r="E273" s="2"/>
      <c r="F273">
        <v>3226.6491596000001</v>
      </c>
      <c r="G273">
        <v>195</v>
      </c>
      <c r="H273">
        <v>48.75</v>
      </c>
      <c r="I273">
        <v>189.71100000000001</v>
      </c>
      <c r="J273">
        <v>50.845999999999997</v>
      </c>
      <c r="K273">
        <v>191.01300000000001</v>
      </c>
      <c r="L273">
        <v>49.303959999999996</v>
      </c>
      <c r="M273">
        <v>56.627269841491099</v>
      </c>
      <c r="N273">
        <v>0.1</v>
      </c>
      <c r="O273">
        <v>0</v>
      </c>
      <c r="P273">
        <v>0</v>
      </c>
      <c r="Q273">
        <v>0</v>
      </c>
      <c r="R273">
        <v>7.0969512939453097E-2</v>
      </c>
      <c r="S273">
        <v>1.2659514427184999E-2</v>
      </c>
      <c r="T273">
        <v>0</v>
      </c>
      <c r="U273">
        <v>160.405</v>
      </c>
      <c r="V273">
        <v>1.552</v>
      </c>
      <c r="W273">
        <v>-4.2999999999999997E-2</v>
      </c>
      <c r="X273">
        <v>0.754</v>
      </c>
      <c r="Y273" t="b">
        <v>1</v>
      </c>
      <c r="Z273" t="s">
        <v>51</v>
      </c>
      <c r="AA273">
        <f t="shared" si="64"/>
        <v>192.32717167501698</v>
      </c>
      <c r="AB273">
        <f t="shared" si="60"/>
        <v>7.0969512939453097</v>
      </c>
      <c r="AC273">
        <f t="shared" si="59"/>
        <v>43.945236762671612</v>
      </c>
      <c r="AD273">
        <f t="shared" si="65"/>
        <v>2.1115190052039614E-12</v>
      </c>
      <c r="AE273">
        <f t="shared" ca="1" si="66"/>
        <v>-2.5979728378295306</v>
      </c>
      <c r="AG273" s="2"/>
      <c r="AH273" s="2"/>
      <c r="AL273" s="2"/>
      <c r="AM273" s="2"/>
      <c r="AN273" s="2"/>
    </row>
    <row r="274" spans="1:40" x14ac:dyDescent="0.3">
      <c r="A274">
        <f t="shared" si="61"/>
        <v>10</v>
      </c>
      <c r="B274" s="2">
        <f t="shared" si="62"/>
        <v>15.352899999925285</v>
      </c>
      <c r="C274" s="2">
        <f t="shared" si="67"/>
        <v>2.0959999999902834E-2</v>
      </c>
      <c r="D274" s="2">
        <f t="shared" si="63"/>
        <v>4.9892149000002064</v>
      </c>
      <c r="E274" s="2"/>
      <c r="F274">
        <v>3226.6645125</v>
      </c>
      <c r="G274">
        <v>195</v>
      </c>
      <c r="H274">
        <v>48.75</v>
      </c>
      <c r="I274">
        <v>189.834</v>
      </c>
      <c r="J274">
        <v>51.107999999999997</v>
      </c>
      <c r="K274">
        <v>190.87523999999999</v>
      </c>
      <c r="L274">
        <v>49.324919999999899</v>
      </c>
      <c r="M274">
        <v>57.107658238318002</v>
      </c>
      <c r="N274">
        <v>0.1</v>
      </c>
      <c r="O274">
        <v>0</v>
      </c>
      <c r="P274">
        <v>0</v>
      </c>
      <c r="Q274">
        <v>0</v>
      </c>
      <c r="R274">
        <v>0.11867857360839799</v>
      </c>
      <c r="S274">
        <v>9.6928911209106395E-3</v>
      </c>
      <c r="T274">
        <v>0</v>
      </c>
      <c r="U274">
        <v>160.36600000000001</v>
      </c>
      <c r="V274">
        <v>1.373</v>
      </c>
      <c r="W274">
        <v>-6.8000000000000005E-2</v>
      </c>
      <c r="X274">
        <v>0.754</v>
      </c>
      <c r="Y274" t="b">
        <v>1</v>
      </c>
      <c r="Z274" t="s">
        <v>51</v>
      </c>
      <c r="AA274">
        <f t="shared" si="64"/>
        <v>192.31002800719796</v>
      </c>
      <c r="AB274">
        <f t="shared" si="60"/>
        <v>11.8678573608398</v>
      </c>
      <c r="AC274">
        <f t="shared" si="59"/>
        <v>44.054195546191892</v>
      </c>
      <c r="AD274">
        <f t="shared" si="65"/>
        <v>1.3652143894641948</v>
      </c>
      <c r="AE274">
        <f t="shared" ca="1" si="66"/>
        <v>-3.5091632101670882</v>
      </c>
      <c r="AG274" s="2"/>
      <c r="AH274" s="2"/>
      <c r="AL274" s="2"/>
      <c r="AM274" s="2"/>
      <c r="AN274" s="2"/>
    </row>
    <row r="275" spans="1:40" x14ac:dyDescent="0.3">
      <c r="A275">
        <f t="shared" si="61"/>
        <v>10</v>
      </c>
      <c r="B275" s="2">
        <f t="shared" si="62"/>
        <v>31.986299999971379</v>
      </c>
      <c r="C275" s="2">
        <f t="shared" si="67"/>
        <v>4.1919999999997515E-2</v>
      </c>
      <c r="D275" s="2">
        <f t="shared" si="63"/>
        <v>5.0212012000001778</v>
      </c>
      <c r="E275" s="2"/>
      <c r="F275">
        <v>3226.6964988</v>
      </c>
      <c r="G275">
        <v>195</v>
      </c>
      <c r="H275">
        <v>48.75</v>
      </c>
      <c r="I275">
        <v>189.95699999999999</v>
      </c>
      <c r="J275">
        <v>51.500999999999998</v>
      </c>
      <c r="K275">
        <v>190.7424</v>
      </c>
      <c r="L275">
        <v>49.366839999999897</v>
      </c>
      <c r="M275">
        <v>58.145529776792998</v>
      </c>
      <c r="N275">
        <v>0.1</v>
      </c>
      <c r="O275">
        <v>0</v>
      </c>
      <c r="P275">
        <v>0</v>
      </c>
      <c r="Q275">
        <v>0</v>
      </c>
      <c r="R275">
        <v>0.11867857360839799</v>
      </c>
      <c r="S275">
        <v>9.6928911209106395E-3</v>
      </c>
      <c r="T275">
        <v>0</v>
      </c>
      <c r="U275">
        <v>160.36600000000001</v>
      </c>
      <c r="V275">
        <f>V274</f>
        <v>1.373</v>
      </c>
      <c r="W275">
        <v>-6.8000000000000005E-2</v>
      </c>
      <c r="X275">
        <v>0.754</v>
      </c>
      <c r="Y275" t="b">
        <v>1</v>
      </c>
      <c r="Z275" t="s">
        <v>51</v>
      </c>
      <c r="AA275">
        <f t="shared" si="64"/>
        <v>192.29349661322959</v>
      </c>
      <c r="AB275">
        <f t="shared" si="60"/>
        <v>11.8678573608398</v>
      </c>
      <c r="AC275">
        <f t="shared" si="59"/>
        <v>44.433804392092583</v>
      </c>
      <c r="AD275">
        <f t="shared" si="65"/>
        <v>1.3105610839651671</v>
      </c>
      <c r="AE275">
        <f t="shared" ca="1" si="66"/>
        <v>-3.2281228831104491</v>
      </c>
      <c r="AG275" s="2"/>
      <c r="AH275" s="2"/>
      <c r="AL275" s="2"/>
      <c r="AM275" s="2"/>
      <c r="AN275" s="2"/>
    </row>
    <row r="276" spans="1:40" x14ac:dyDescent="0.3">
      <c r="A276">
        <f t="shared" si="61"/>
        <v>10</v>
      </c>
      <c r="B276" s="2">
        <f t="shared" si="62"/>
        <v>30.471300000044721</v>
      </c>
      <c r="C276" s="2">
        <f t="shared" si="67"/>
        <v>5.2400000000105251E-2</v>
      </c>
      <c r="D276" s="2">
        <f t="shared" si="63"/>
        <v>5.0516725000002225</v>
      </c>
      <c r="E276" s="2"/>
      <c r="F276">
        <v>3226.7269701</v>
      </c>
      <c r="G276">
        <v>195</v>
      </c>
      <c r="H276">
        <v>48.75</v>
      </c>
      <c r="I276">
        <v>189.95699999999999</v>
      </c>
      <c r="J276">
        <v>52.024999999999999</v>
      </c>
      <c r="K276">
        <v>190.61447999999999</v>
      </c>
      <c r="L276">
        <v>49.419240000000002</v>
      </c>
      <c r="M276">
        <v>59.194437876320599</v>
      </c>
      <c r="N276">
        <v>0.1</v>
      </c>
      <c r="O276">
        <v>0</v>
      </c>
      <c r="P276">
        <v>0</v>
      </c>
      <c r="Q276">
        <v>0</v>
      </c>
      <c r="R276">
        <v>0.18835075378417901</v>
      </c>
      <c r="S276">
        <v>-1.17118186950683E-2</v>
      </c>
      <c r="T276">
        <v>0</v>
      </c>
      <c r="U276">
        <v>160.42500000000001</v>
      </c>
      <c r="V276">
        <v>1.373</v>
      </c>
      <c r="W276">
        <v>0.03</v>
      </c>
      <c r="X276">
        <v>0.75700000000000001</v>
      </c>
      <c r="Y276" t="b">
        <v>1</v>
      </c>
      <c r="Z276" t="s">
        <v>51</v>
      </c>
      <c r="AA276">
        <f t="shared" si="64"/>
        <v>192.27757749311192</v>
      </c>
      <c r="AB276">
        <f t="shared" si="60"/>
        <v>18.835075378417901</v>
      </c>
      <c r="AC276">
        <f t="shared" si="59"/>
        <v>44.795433434092473</v>
      </c>
      <c r="AD276">
        <f t="shared" si="65"/>
        <v>1.7196509502393513</v>
      </c>
      <c r="AE276">
        <f t="shared" ca="1" si="66"/>
        <v>-2.9715389576682698</v>
      </c>
      <c r="AG276" s="2"/>
      <c r="AH276" s="2"/>
      <c r="AL276" s="2"/>
      <c r="AM276" s="2"/>
      <c r="AN276" s="2"/>
    </row>
    <row r="277" spans="1:40" x14ac:dyDescent="0.3">
      <c r="A277">
        <f t="shared" si="61"/>
        <v>10</v>
      </c>
      <c r="B277" s="2">
        <f t="shared" si="62"/>
        <v>31.112600000142265</v>
      </c>
      <c r="C277" s="2">
        <f t="shared" si="67"/>
        <v>5.7639999999999247E-2</v>
      </c>
      <c r="D277" s="2">
        <f t="shared" si="63"/>
        <v>5.0827851000003648</v>
      </c>
      <c r="E277" s="2"/>
      <c r="F277">
        <v>3226.7580827000002</v>
      </c>
      <c r="G277">
        <v>195</v>
      </c>
      <c r="H277">
        <v>48.75</v>
      </c>
      <c r="I277">
        <v>190.08</v>
      </c>
      <c r="J277">
        <v>52.68</v>
      </c>
      <c r="K277">
        <v>190.50623999999999</v>
      </c>
      <c r="L277">
        <v>49.476880000000001</v>
      </c>
      <c r="M277">
        <v>60.316416111509497</v>
      </c>
      <c r="N277">
        <v>0.1</v>
      </c>
      <c r="O277">
        <v>0</v>
      </c>
      <c r="P277">
        <v>0</v>
      </c>
      <c r="Q277">
        <v>0</v>
      </c>
      <c r="R277">
        <v>0.18835075378417901</v>
      </c>
      <c r="S277">
        <v>-1.17118186950683E-2</v>
      </c>
      <c r="T277">
        <v>0</v>
      </c>
      <c r="U277">
        <v>160.42500000000001</v>
      </c>
      <c r="V277">
        <v>0.82399999999999995</v>
      </c>
      <c r="W277">
        <v>0.03</v>
      </c>
      <c r="X277">
        <v>0.75700000000000001</v>
      </c>
      <c r="Y277" t="b">
        <v>1</v>
      </c>
      <c r="Z277" t="s">
        <v>51</v>
      </c>
      <c r="AA277">
        <f t="shared" si="64"/>
        <v>192.26410746839696</v>
      </c>
      <c r="AB277">
        <f t="shared" si="60"/>
        <v>18.835075378417901</v>
      </c>
      <c r="AC277">
        <f t="shared" si="59"/>
        <v>45.381441600313721</v>
      </c>
      <c r="AD277">
        <f t="shared" si="65"/>
        <v>1.852625624336625</v>
      </c>
      <c r="AE277">
        <f t="shared" ca="1" si="66"/>
        <v>-4.17161147740467</v>
      </c>
      <c r="AG277" s="2"/>
      <c r="AH277" s="2"/>
      <c r="AL277" s="2"/>
      <c r="AM277" s="2"/>
      <c r="AN277" s="2"/>
    </row>
    <row r="278" spans="1:40" x14ac:dyDescent="0.3">
      <c r="A278">
        <f t="shared" si="61"/>
        <v>10</v>
      </c>
      <c r="B278" s="2">
        <f t="shared" si="62"/>
        <v>30.946500000027299</v>
      </c>
      <c r="C278" s="2">
        <f t="shared" si="67"/>
        <v>6.2879999999900349E-2</v>
      </c>
      <c r="D278" s="2">
        <f t="shared" si="63"/>
        <v>5.1137316000003921</v>
      </c>
      <c r="E278" s="2"/>
      <c r="F278">
        <v>3226.7890292000002</v>
      </c>
      <c r="G278">
        <v>195</v>
      </c>
      <c r="H278">
        <v>48.75</v>
      </c>
      <c r="I278">
        <v>190.08</v>
      </c>
      <c r="J278">
        <v>53.466000000000001</v>
      </c>
      <c r="K278">
        <v>190.41275999999999</v>
      </c>
      <c r="L278">
        <v>49.539759999999902</v>
      </c>
      <c r="M278">
        <v>61.483765095936</v>
      </c>
      <c r="N278">
        <v>0.1</v>
      </c>
      <c r="O278">
        <v>0</v>
      </c>
      <c r="P278">
        <v>0</v>
      </c>
      <c r="Q278">
        <v>0</v>
      </c>
      <c r="R278">
        <v>0.218739669799804</v>
      </c>
      <c r="S278">
        <v>-4.3821411132812498E-3</v>
      </c>
      <c r="T278">
        <v>0</v>
      </c>
      <c r="U278">
        <v>160.42500000000001</v>
      </c>
      <c r="V278">
        <v>0.82399999999999995</v>
      </c>
      <c r="W278">
        <v>0.17199999999999999</v>
      </c>
      <c r="X278">
        <v>0.75600000000000001</v>
      </c>
      <c r="Y278" t="b">
        <v>1</v>
      </c>
      <c r="Z278" t="s">
        <v>52</v>
      </c>
      <c r="AA278">
        <f t="shared" si="64"/>
        <v>192.25247426523404</v>
      </c>
      <c r="AB278">
        <f t="shared" si="60"/>
        <v>21.873966979980398</v>
      </c>
      <c r="AC278">
        <f t="shared" si="59"/>
        <v>45.964321260512442</v>
      </c>
      <c r="AD278">
        <f t="shared" si="65"/>
        <v>2.0318937521155829</v>
      </c>
      <c r="AE278">
        <f t="shared" ca="1" si="66"/>
        <v>-5.3849814645507994</v>
      </c>
      <c r="AG278" s="2"/>
      <c r="AH278" s="2"/>
      <c r="AL278" s="2"/>
      <c r="AM278" s="2"/>
      <c r="AN278" s="2"/>
    </row>
    <row r="279" spans="1:40" x14ac:dyDescent="0.3">
      <c r="A279">
        <f t="shared" si="61"/>
        <v>10</v>
      </c>
      <c r="B279" s="2">
        <f t="shared" si="62"/>
        <v>31.566499999826192</v>
      </c>
      <c r="C279" s="2">
        <f t="shared" si="67"/>
        <v>6.8120000000099878E-2</v>
      </c>
      <c r="D279" s="2">
        <f t="shared" si="63"/>
        <v>5.1452981000002183</v>
      </c>
      <c r="E279" s="2"/>
      <c r="F279">
        <v>3226.8205957</v>
      </c>
      <c r="G279">
        <v>195</v>
      </c>
      <c r="H279">
        <v>48.75</v>
      </c>
      <c r="I279">
        <v>190.203</v>
      </c>
      <c r="J279">
        <v>54.121000000000002</v>
      </c>
      <c r="K279">
        <v>190.35372000000001</v>
      </c>
      <c r="L279">
        <v>49.607880000000002</v>
      </c>
      <c r="M279">
        <v>62.724383898813201</v>
      </c>
      <c r="N279">
        <v>0.1</v>
      </c>
      <c r="O279">
        <v>0</v>
      </c>
      <c r="P279">
        <v>0</v>
      </c>
      <c r="Q279">
        <v>0</v>
      </c>
      <c r="R279">
        <v>0.218739669799804</v>
      </c>
      <c r="S279">
        <v>-4.3821411132812498E-3</v>
      </c>
      <c r="T279">
        <v>0</v>
      </c>
      <c r="U279">
        <v>160.42500000000001</v>
      </c>
      <c r="V279">
        <v>0.27500000000000002</v>
      </c>
      <c r="W279">
        <v>0.17199999999999999</v>
      </c>
      <c r="X279">
        <v>0.75600000000000001</v>
      </c>
      <c r="Y279" t="b">
        <v>1</v>
      </c>
      <c r="Z279" t="s">
        <v>52</v>
      </c>
      <c r="AA279">
        <f t="shared" si="64"/>
        <v>192.24512697902588</v>
      </c>
      <c r="AB279">
        <f t="shared" si="60"/>
        <v>21.873966979980398</v>
      </c>
      <c r="AC279">
        <f t="shared" si="59"/>
        <v>46.654805839182188</v>
      </c>
      <c r="AD279">
        <f t="shared" si="65"/>
        <v>2.1579839386842048</v>
      </c>
      <c r="AE279">
        <f t="shared" ca="1" si="66"/>
        <v>-7.2137629492936899</v>
      </c>
      <c r="AG279" s="2"/>
      <c r="AH279" s="2"/>
      <c r="AL279" s="2"/>
      <c r="AM279" s="2"/>
      <c r="AN279" s="2"/>
    </row>
    <row r="280" spans="1:40" x14ac:dyDescent="0.3">
      <c r="A280">
        <f t="shared" si="61"/>
        <v>10</v>
      </c>
      <c r="B280" s="2">
        <f t="shared" si="62"/>
        <v>31.049000000166416</v>
      </c>
      <c r="C280" s="2">
        <f t="shared" si="67"/>
        <v>-0.33124000000000109</v>
      </c>
      <c r="D280" s="2">
        <f t="shared" si="63"/>
        <v>5.1763471000003847</v>
      </c>
      <c r="E280" s="2"/>
      <c r="F280">
        <v>3226.8516447000002</v>
      </c>
      <c r="G280">
        <v>199.875</v>
      </c>
      <c r="H280">
        <v>43.875</v>
      </c>
      <c r="I280">
        <v>190.15799999999999</v>
      </c>
      <c r="J280">
        <v>44.661000000000001</v>
      </c>
      <c r="K280">
        <v>190.31255999999999</v>
      </c>
      <c r="L280">
        <v>49.27664</v>
      </c>
      <c r="M280">
        <v>63.590520970445901</v>
      </c>
      <c r="N280">
        <v>0.1</v>
      </c>
      <c r="O280">
        <v>0</v>
      </c>
      <c r="P280">
        <v>0</v>
      </c>
      <c r="Q280">
        <v>0</v>
      </c>
      <c r="R280">
        <v>0.24901806640624999</v>
      </c>
      <c r="S280">
        <v>9.1701292991638102E-4</v>
      </c>
      <c r="T280">
        <v>0</v>
      </c>
      <c r="U280">
        <v>160.458</v>
      </c>
      <c r="V280">
        <v>0.27500000000000002</v>
      </c>
      <c r="W280">
        <v>0.218</v>
      </c>
      <c r="X280">
        <v>0.75900000000000001</v>
      </c>
      <c r="Y280" t="b">
        <v>1</v>
      </c>
      <c r="Z280" t="s">
        <v>52</v>
      </c>
      <c r="AA280">
        <f t="shared" si="64"/>
        <v>192.24000478559213</v>
      </c>
      <c r="AB280">
        <f t="shared" si="60"/>
        <v>24.901806640624997</v>
      </c>
      <c r="AC280">
        <f t="shared" si="59"/>
        <v>47.333970639947239</v>
      </c>
      <c r="AD280">
        <f t="shared" si="65"/>
        <v>-10.668298495868649</v>
      </c>
      <c r="AE280">
        <f t="shared" ca="1" si="66"/>
        <v>-7.7361494545305618</v>
      </c>
      <c r="AG280" s="2"/>
      <c r="AH280" s="2"/>
      <c r="AL280" s="2"/>
      <c r="AM280" s="2"/>
      <c r="AN280" s="2"/>
    </row>
    <row r="281" spans="1:40" x14ac:dyDescent="0.3">
      <c r="A281">
        <f t="shared" si="61"/>
        <v>10</v>
      </c>
      <c r="B281" s="2">
        <f t="shared" si="62"/>
        <v>30.106599999726313</v>
      </c>
      <c r="C281" s="2">
        <f t="shared" si="67"/>
        <v>-0.72536000000010148</v>
      </c>
      <c r="D281" s="2">
        <f t="shared" si="63"/>
        <v>5.206453700000111</v>
      </c>
      <c r="E281" s="2"/>
      <c r="F281">
        <v>3226.8817512999999</v>
      </c>
      <c r="G281">
        <v>195</v>
      </c>
      <c r="H281">
        <v>39</v>
      </c>
      <c r="I281">
        <v>190.203</v>
      </c>
      <c r="J281">
        <v>35.07</v>
      </c>
      <c r="K281">
        <v>190.28796</v>
      </c>
      <c r="L281">
        <v>48.551279999999899</v>
      </c>
      <c r="M281">
        <v>64.066931306427506</v>
      </c>
      <c r="N281">
        <v>0.1</v>
      </c>
      <c r="O281">
        <v>0</v>
      </c>
      <c r="P281">
        <v>0</v>
      </c>
      <c r="Q281">
        <v>0</v>
      </c>
      <c r="R281">
        <v>0.24901806640624999</v>
      </c>
      <c r="S281">
        <v>9.1701292991638102E-4</v>
      </c>
      <c r="T281">
        <v>0</v>
      </c>
      <c r="U281">
        <v>160.458</v>
      </c>
      <c r="V281">
        <v>-0.41099999999999998</v>
      </c>
      <c r="W281">
        <v>0.218</v>
      </c>
      <c r="X281">
        <v>0.75900000000000001</v>
      </c>
      <c r="Y281" t="b">
        <v>1</v>
      </c>
      <c r="Z281" t="s">
        <v>52</v>
      </c>
      <c r="AA281">
        <f t="shared" si="64"/>
        <v>192.23694341633876</v>
      </c>
      <c r="AB281">
        <f t="shared" si="60"/>
        <v>24.901806640624997</v>
      </c>
      <c r="AC281">
        <f t="shared" si="59"/>
        <v>48.083679371747067</v>
      </c>
      <c r="AD281">
        <f t="shared" si="65"/>
        <v>-10.668298495868649</v>
      </c>
      <c r="AE281">
        <f t="shared" ca="1" si="66"/>
        <v>-6.4831384821078712</v>
      </c>
      <c r="AG281" s="2"/>
      <c r="AH281" s="2"/>
      <c r="AL281" s="2"/>
      <c r="AM281" s="2"/>
      <c r="AN281" s="2"/>
    </row>
    <row r="282" spans="1:40" x14ac:dyDescent="0.3">
      <c r="A282">
        <f t="shared" si="61"/>
        <v>10</v>
      </c>
      <c r="B282" s="2">
        <f t="shared" si="62"/>
        <v>47.40250000031665</v>
      </c>
      <c r="C282" s="2">
        <f t="shared" si="67"/>
        <v>-0.71487999999990137</v>
      </c>
      <c r="D282" s="2">
        <f t="shared" si="63"/>
        <v>5.2538562000004276</v>
      </c>
      <c r="E282" s="2"/>
      <c r="F282">
        <v>3226.9291538000002</v>
      </c>
      <c r="G282">
        <v>195</v>
      </c>
      <c r="H282">
        <v>39</v>
      </c>
      <c r="I282">
        <v>190.32599999999999</v>
      </c>
      <c r="J282">
        <v>35.594000000000001</v>
      </c>
      <c r="K282">
        <v>190.2732</v>
      </c>
      <c r="L282">
        <v>47.836399999999998</v>
      </c>
      <c r="M282">
        <v>65.3231785566947</v>
      </c>
      <c r="N282">
        <v>0.1</v>
      </c>
      <c r="O282">
        <v>0</v>
      </c>
      <c r="P282">
        <v>0</v>
      </c>
      <c r="Q282">
        <v>0</v>
      </c>
      <c r="R282">
        <v>0.24953628540039</v>
      </c>
      <c r="S282">
        <v>-6.45036792755126E-3</v>
      </c>
      <c r="T282">
        <v>0</v>
      </c>
      <c r="U282">
        <v>160.345</v>
      </c>
      <c r="V282">
        <v>-0.41099999999999998</v>
      </c>
      <c r="W282">
        <v>0.156</v>
      </c>
      <c r="X282">
        <v>0.76</v>
      </c>
      <c r="Y282" t="b">
        <v>1</v>
      </c>
      <c r="Z282" t="s">
        <v>52</v>
      </c>
      <c r="AA282">
        <f t="shared" si="64"/>
        <v>192.23510659478671</v>
      </c>
      <c r="AB282">
        <f t="shared" si="60"/>
        <v>24.953628540038999</v>
      </c>
      <c r="AC282">
        <f t="shared" si="59"/>
        <v>49.264087261037176</v>
      </c>
      <c r="AD282">
        <f t="shared" si="65"/>
        <v>-15.081061125365244</v>
      </c>
      <c r="AE282">
        <f t="shared" ca="1" si="66"/>
        <v>-5.2512068617733858</v>
      </c>
      <c r="AJ282" s="2"/>
      <c r="AK282" s="2"/>
    </row>
    <row r="283" spans="1:40" x14ac:dyDescent="0.3">
      <c r="A283">
        <f t="shared" si="61"/>
        <v>10</v>
      </c>
      <c r="B283" s="2">
        <f t="shared" si="62"/>
        <v>31.17679999968459</v>
      </c>
      <c r="C283" s="2">
        <f t="shared" si="67"/>
        <v>-0.28407999999999589</v>
      </c>
      <c r="D283" s="2">
        <f t="shared" si="63"/>
        <v>5.2850330000001122</v>
      </c>
      <c r="E283" s="2"/>
      <c r="F283">
        <v>3226.9603305999999</v>
      </c>
      <c r="G283">
        <v>195</v>
      </c>
      <c r="H283">
        <v>39</v>
      </c>
      <c r="I283">
        <v>190.44900000000001</v>
      </c>
      <c r="J283">
        <v>35.987000000000002</v>
      </c>
      <c r="K283">
        <v>190.26827999999901</v>
      </c>
      <c r="L283">
        <v>47.552320000000002</v>
      </c>
      <c r="M283">
        <v>66.386645030740397</v>
      </c>
      <c r="N283">
        <v>0.1</v>
      </c>
      <c r="O283">
        <v>0</v>
      </c>
      <c r="P283">
        <v>0</v>
      </c>
      <c r="Q283">
        <v>0</v>
      </c>
      <c r="R283">
        <v>0.24953628540039</v>
      </c>
      <c r="S283">
        <v>-6.45036792755126E-3</v>
      </c>
      <c r="T283">
        <v>0</v>
      </c>
      <c r="U283">
        <v>160.345</v>
      </c>
      <c r="V283">
        <v>-1.345</v>
      </c>
      <c r="W283">
        <v>0.156</v>
      </c>
      <c r="X283">
        <v>0.76</v>
      </c>
      <c r="Y283" t="b">
        <v>1</v>
      </c>
      <c r="Z283" t="s">
        <v>52</v>
      </c>
      <c r="AA283">
        <f t="shared" si="64"/>
        <v>192.23449432093591</v>
      </c>
      <c r="AB283">
        <f t="shared" si="60"/>
        <v>24.953628540038999</v>
      </c>
      <c r="AC283">
        <f t="shared" si="59"/>
        <v>50.042061547296392</v>
      </c>
      <c r="AD283">
        <f t="shared" si="65"/>
        <v>-9.1119037233734659</v>
      </c>
      <c r="AE283">
        <f t="shared" ca="1" si="66"/>
        <v>-3.6428581135955396</v>
      </c>
      <c r="AJ283" s="2"/>
      <c r="AK283" s="2"/>
    </row>
    <row r="284" spans="1:40" x14ac:dyDescent="0.3">
      <c r="A284">
        <f t="shared" si="61"/>
        <v>10</v>
      </c>
      <c r="B284" s="2">
        <f t="shared" si="62"/>
        <v>30.11770000011893</v>
      </c>
      <c r="C284" s="2">
        <f t="shared" si="67"/>
        <v>0.12575999999999965</v>
      </c>
      <c r="D284" s="2">
        <f t="shared" si="63"/>
        <v>5.3151507000002312</v>
      </c>
      <c r="E284" s="2"/>
      <c r="F284">
        <v>3226.9904483</v>
      </c>
      <c r="G284">
        <v>195</v>
      </c>
      <c r="H284">
        <v>39</v>
      </c>
      <c r="I284">
        <v>190.69499999999999</v>
      </c>
      <c r="J284">
        <v>35.987000000000002</v>
      </c>
      <c r="K284">
        <v>190.2732</v>
      </c>
      <c r="L284">
        <v>47.678080000000001</v>
      </c>
      <c r="M284">
        <v>67.851590553699495</v>
      </c>
      <c r="N284">
        <v>0.1</v>
      </c>
      <c r="O284">
        <v>0</v>
      </c>
      <c r="P284">
        <v>0</v>
      </c>
      <c r="Q284">
        <v>0</v>
      </c>
      <c r="R284">
        <v>0.29247509765625002</v>
      </c>
      <c r="S284">
        <v>3.72808051109313E-3</v>
      </c>
      <c r="T284">
        <v>0</v>
      </c>
      <c r="U284">
        <v>160.345</v>
      </c>
      <c r="V284">
        <v>-1.345</v>
      </c>
      <c r="W284">
        <v>9.9000000000000005E-2</v>
      </c>
      <c r="X284">
        <v>0.75700000000000001</v>
      </c>
      <c r="Y284" t="b">
        <v>1</v>
      </c>
      <c r="Z284" t="s">
        <v>52</v>
      </c>
      <c r="AA284">
        <f t="shared" si="64"/>
        <v>192.23510659478671</v>
      </c>
      <c r="AB284">
        <f t="shared" si="60"/>
        <v>29.247509765625001</v>
      </c>
      <c r="AC284">
        <f t="shared" si="59"/>
        <v>50.793607445579696</v>
      </c>
      <c r="AD284">
        <f t="shared" si="65"/>
        <v>4.1756176600305812</v>
      </c>
      <c r="AE284">
        <f t="shared" ca="1" si="66"/>
        <v>-2.7316677412581925</v>
      </c>
      <c r="AJ284" s="2"/>
      <c r="AK284" s="2"/>
    </row>
    <row r="285" spans="1:40" x14ac:dyDescent="0.3">
      <c r="A285">
        <f t="shared" si="61"/>
        <v>10</v>
      </c>
      <c r="B285" s="2">
        <f t="shared" si="62"/>
        <v>31.090699999822391</v>
      </c>
      <c r="C285" s="2">
        <f t="shared" si="67"/>
        <v>0.12051999999999907</v>
      </c>
      <c r="D285" s="2">
        <f t="shared" si="63"/>
        <v>5.3462414000000535</v>
      </c>
      <c r="E285" s="2"/>
      <c r="F285">
        <v>3227.0215389999998</v>
      </c>
      <c r="G285">
        <v>195</v>
      </c>
      <c r="H285">
        <v>39</v>
      </c>
      <c r="I285">
        <v>190.69499999999999</v>
      </c>
      <c r="J285">
        <v>35.987000000000002</v>
      </c>
      <c r="K285">
        <v>190.27319999999901</v>
      </c>
      <c r="L285">
        <v>47.7986</v>
      </c>
      <c r="M285">
        <v>69.392184959774994</v>
      </c>
      <c r="N285">
        <v>0.1</v>
      </c>
      <c r="O285">
        <v>0</v>
      </c>
      <c r="P285">
        <v>0</v>
      </c>
      <c r="Q285">
        <v>0</v>
      </c>
      <c r="R285">
        <v>0.29247509765625002</v>
      </c>
      <c r="S285">
        <v>3.72808051109313E-3</v>
      </c>
      <c r="T285">
        <v>0</v>
      </c>
      <c r="U285">
        <v>160.345</v>
      </c>
      <c r="V285">
        <v>-2.1469999999999998</v>
      </c>
      <c r="W285">
        <v>9.9000000000000005E-2</v>
      </c>
      <c r="X285">
        <v>0.75700000000000001</v>
      </c>
      <c r="Y285" t="b">
        <v>1</v>
      </c>
      <c r="Z285" t="s">
        <v>52</v>
      </c>
      <c r="AA285">
        <f t="shared" si="64"/>
        <v>192.2351065947866</v>
      </c>
      <c r="AB285">
        <f t="shared" si="60"/>
        <v>29.247509765625001</v>
      </c>
      <c r="AC285">
        <f t="shared" si="59"/>
        <v>51.70293299744462</v>
      </c>
      <c r="AD285">
        <f t="shared" si="65"/>
        <v>3.8764003383869632</v>
      </c>
      <c r="AE285">
        <f t="shared" ca="1" si="66"/>
        <v>-3.28244335489032</v>
      </c>
      <c r="AJ285" s="2"/>
      <c r="AK285" s="2"/>
    </row>
    <row r="286" spans="1:40" x14ac:dyDescent="0.3">
      <c r="A286">
        <f t="shared" si="61"/>
        <v>10</v>
      </c>
      <c r="B286" s="2">
        <f t="shared" si="62"/>
        <v>30.6894000000284</v>
      </c>
      <c r="C286" s="2">
        <f t="shared" si="67"/>
        <v>-0.31551999999999936</v>
      </c>
      <c r="D286" s="2">
        <f t="shared" si="63"/>
        <v>5.3769308000000819</v>
      </c>
      <c r="E286" s="2"/>
      <c r="F286">
        <v>3227.0522283999999</v>
      </c>
      <c r="G286">
        <v>195</v>
      </c>
      <c r="H286">
        <v>39</v>
      </c>
      <c r="I286">
        <v>190.81800000000001</v>
      </c>
      <c r="J286">
        <v>35.594000000000001</v>
      </c>
      <c r="K286">
        <v>190.27991999999901</v>
      </c>
      <c r="L286">
        <v>47.483080000000001</v>
      </c>
      <c r="M286">
        <v>70.514980581166398</v>
      </c>
      <c r="N286">
        <v>0.1</v>
      </c>
      <c r="O286">
        <v>0</v>
      </c>
      <c r="P286">
        <v>0</v>
      </c>
      <c r="Q286">
        <v>0</v>
      </c>
      <c r="R286">
        <v>0.33987286376953102</v>
      </c>
      <c r="S286">
        <v>8.5738897323608398E-3</v>
      </c>
      <c r="T286">
        <v>0</v>
      </c>
      <c r="U286">
        <v>160.35499999999999</v>
      </c>
      <c r="V286">
        <v>-2.1469999999999998</v>
      </c>
      <c r="W286">
        <v>-2.1999999999999999E-2</v>
      </c>
      <c r="X286">
        <v>0.75700000000000001</v>
      </c>
      <c r="Y286" t="b">
        <v>1</v>
      </c>
      <c r="Z286" t="s">
        <v>52</v>
      </c>
      <c r="AA286">
        <f t="shared" si="64"/>
        <v>192.23594287126556</v>
      </c>
      <c r="AB286">
        <f t="shared" si="60"/>
        <v>33.987286376953101</v>
      </c>
      <c r="AC286">
        <f t="shared" si="59"/>
        <v>52.60052152364662</v>
      </c>
      <c r="AD286">
        <f t="shared" si="65"/>
        <v>-10.281074247124655</v>
      </c>
      <c r="AE286">
        <f t="shared" ca="1" si="66"/>
        <v>-4.478048406544807</v>
      </c>
      <c r="AJ286" s="2"/>
      <c r="AK286" s="2"/>
    </row>
    <row r="287" spans="1:40" x14ac:dyDescent="0.3">
      <c r="A287">
        <f t="shared" si="61"/>
        <v>10</v>
      </c>
      <c r="B287" s="2">
        <f t="shared" si="62"/>
        <v>31.99029999996128</v>
      </c>
      <c r="C287" s="2">
        <f t="shared" si="67"/>
        <v>-0.73060000000000258</v>
      </c>
      <c r="D287" s="2">
        <f t="shared" si="63"/>
        <v>5.4089211000000432</v>
      </c>
      <c r="E287" s="2"/>
      <c r="F287">
        <v>3227.0842186999998</v>
      </c>
      <c r="G287">
        <v>195</v>
      </c>
      <c r="H287">
        <v>39</v>
      </c>
      <c r="I287">
        <v>190.81800000000001</v>
      </c>
      <c r="J287">
        <v>35.463000000000001</v>
      </c>
      <c r="K287">
        <v>190.27007999999901</v>
      </c>
      <c r="L287">
        <v>46.752479999999998</v>
      </c>
      <c r="M287">
        <v>71.321378291341304</v>
      </c>
      <c r="N287">
        <v>0.1</v>
      </c>
      <c r="O287">
        <v>0</v>
      </c>
      <c r="P287">
        <v>0</v>
      </c>
      <c r="Q287">
        <v>0</v>
      </c>
      <c r="R287">
        <v>0.33987286376953102</v>
      </c>
      <c r="S287">
        <v>8.5738897323608398E-3</v>
      </c>
      <c r="T287">
        <v>0</v>
      </c>
      <c r="U287">
        <v>160.35499999999999</v>
      </c>
      <c r="V287">
        <v>-2.831</v>
      </c>
      <c r="W287">
        <v>-2.1999999999999999E-2</v>
      </c>
      <c r="X287">
        <v>0.75700000000000001</v>
      </c>
      <c r="Y287" t="b">
        <v>1</v>
      </c>
      <c r="Z287" t="s">
        <v>52</v>
      </c>
      <c r="AA287">
        <f t="shared" si="64"/>
        <v>192.23471832356421</v>
      </c>
      <c r="AB287">
        <f t="shared" si="60"/>
        <v>33.987286376953101</v>
      </c>
      <c r="AC287">
        <f t="shared" si="59"/>
        <v>53.687785011029945</v>
      </c>
      <c r="AD287">
        <f t="shared" si="65"/>
        <v>-10.281074247124655</v>
      </c>
      <c r="AE287">
        <f t="shared" ca="1" si="66"/>
        <v>-3.9142418406886166</v>
      </c>
      <c r="AJ287" s="2"/>
      <c r="AK287" s="2"/>
    </row>
    <row r="288" spans="1:40" x14ac:dyDescent="0.3">
      <c r="A288">
        <f t="shared" si="61"/>
        <v>10</v>
      </c>
      <c r="B288" s="2">
        <f t="shared" si="62"/>
        <v>46.233000000029278</v>
      </c>
      <c r="C288" s="2">
        <f t="shared" si="67"/>
        <v>-0.75156000000009726</v>
      </c>
      <c r="D288" s="2">
        <f t="shared" si="63"/>
        <v>5.4551541000000725</v>
      </c>
      <c r="E288" s="2"/>
      <c r="F288">
        <v>3227.1304516999999</v>
      </c>
      <c r="G288">
        <v>195</v>
      </c>
      <c r="H288">
        <v>39</v>
      </c>
      <c r="I288">
        <v>190.572</v>
      </c>
      <c r="J288">
        <v>34.414999999999999</v>
      </c>
      <c r="K288">
        <v>190.25040000000001</v>
      </c>
      <c r="L288">
        <v>46.000919999999901</v>
      </c>
      <c r="M288">
        <v>72.857175504815203</v>
      </c>
      <c r="N288">
        <v>0.1</v>
      </c>
      <c r="O288">
        <v>0</v>
      </c>
      <c r="P288">
        <v>0</v>
      </c>
      <c r="Q288">
        <v>0</v>
      </c>
      <c r="R288">
        <v>0.34663098144531201</v>
      </c>
      <c r="S288">
        <v>7.2232419252395597E-4</v>
      </c>
      <c r="T288">
        <v>0</v>
      </c>
      <c r="U288">
        <v>160.34700000000001</v>
      </c>
      <c r="V288">
        <v>-2.831</v>
      </c>
      <c r="W288">
        <v>-0.13500000000000001</v>
      </c>
      <c r="X288">
        <v>0.75700000000000001</v>
      </c>
      <c r="Y288" t="b">
        <v>1</v>
      </c>
      <c r="Z288" t="s">
        <v>52</v>
      </c>
      <c r="AA288">
        <f t="shared" si="64"/>
        <v>192.23226922816161</v>
      </c>
      <c r="AB288">
        <f t="shared" si="60"/>
        <v>34.663098144531205</v>
      </c>
      <c r="AC288">
        <f t="shared" si="59"/>
        <v>55.259119222096615</v>
      </c>
      <c r="AD288">
        <f t="shared" si="65"/>
        <v>-16.255921095313333</v>
      </c>
      <c r="AE288">
        <f t="shared" ca="1" si="66"/>
        <v>-3.5774717824275299</v>
      </c>
      <c r="AJ288" s="2"/>
      <c r="AK288" s="2"/>
    </row>
    <row r="289" spans="1:37" x14ac:dyDescent="0.3">
      <c r="A289">
        <f t="shared" si="61"/>
        <v>10</v>
      </c>
      <c r="B289" s="2">
        <f t="shared" si="62"/>
        <v>30.568700000003446</v>
      </c>
      <c r="C289" s="2">
        <f t="shared" si="67"/>
        <v>-9.3719999999898107E-2</v>
      </c>
      <c r="D289" s="2">
        <f t="shared" si="63"/>
        <v>5.4857228000000759</v>
      </c>
      <c r="E289" s="2"/>
      <c r="F289">
        <v>3227.1610203999999</v>
      </c>
      <c r="G289">
        <v>198.9</v>
      </c>
      <c r="H289">
        <v>46.8</v>
      </c>
      <c r="I289">
        <v>190.536</v>
      </c>
      <c r="J289">
        <v>50.074999999999903</v>
      </c>
      <c r="K289">
        <v>190.22927999999999</v>
      </c>
      <c r="L289">
        <v>45.907200000000003</v>
      </c>
      <c r="M289">
        <v>74.317475189273296</v>
      </c>
      <c r="N289">
        <v>0.1</v>
      </c>
      <c r="O289">
        <v>0</v>
      </c>
      <c r="P289">
        <v>0</v>
      </c>
      <c r="Q289">
        <v>0</v>
      </c>
      <c r="R289">
        <v>0.34663098144531201</v>
      </c>
      <c r="S289">
        <v>7.2232419252395597E-4</v>
      </c>
      <c r="T289">
        <v>0</v>
      </c>
      <c r="U289">
        <v>160.34700000000001</v>
      </c>
      <c r="V289">
        <v>-3.157</v>
      </c>
      <c r="W289">
        <v>-0.13500000000000001</v>
      </c>
      <c r="X289">
        <v>0.75700000000000001</v>
      </c>
      <c r="Y289" t="b">
        <v>1</v>
      </c>
      <c r="Z289" t="s">
        <v>52</v>
      </c>
      <c r="AA289">
        <f t="shared" si="64"/>
        <v>192.22964093065625</v>
      </c>
      <c r="AB289">
        <f t="shared" si="60"/>
        <v>34.663098144531205</v>
      </c>
      <c r="AC289">
        <f t="shared" si="59"/>
        <v>56.318725070347469</v>
      </c>
      <c r="AD289">
        <f t="shared" si="65"/>
        <v>-3.0658811136845054</v>
      </c>
      <c r="AE289">
        <f t="shared" ca="1" si="66"/>
        <v>-2.8405267994867116</v>
      </c>
      <c r="AJ289" s="2"/>
      <c r="AK289" s="2"/>
    </row>
    <row r="290" spans="1:37" x14ac:dyDescent="0.3">
      <c r="A290">
        <f t="shared" si="61"/>
        <v>10</v>
      </c>
      <c r="B290" s="2">
        <f t="shared" si="62"/>
        <v>30.959100000018225</v>
      </c>
      <c r="C290" s="2">
        <f t="shared" si="67"/>
        <v>5.7639999999899771E-2</v>
      </c>
      <c r="D290" s="2">
        <f t="shared" si="63"/>
        <v>5.5166819000000942</v>
      </c>
      <c r="E290" s="2"/>
      <c r="F290">
        <v>3227.1919794999999</v>
      </c>
      <c r="G290">
        <v>195</v>
      </c>
      <c r="H290">
        <v>48.75</v>
      </c>
      <c r="I290">
        <v>190.32599999999999</v>
      </c>
      <c r="J290">
        <v>53.204000000000001</v>
      </c>
      <c r="K290">
        <v>190.20959999999999</v>
      </c>
      <c r="L290">
        <v>45.964839999999903</v>
      </c>
      <c r="M290">
        <v>75.981805939872402</v>
      </c>
      <c r="N290">
        <v>0.1</v>
      </c>
      <c r="O290">
        <v>0</v>
      </c>
      <c r="P290">
        <v>0</v>
      </c>
      <c r="Q290">
        <v>0</v>
      </c>
      <c r="R290">
        <v>0.35235766601562502</v>
      </c>
      <c r="S290">
        <v>5.5185332298278798E-3</v>
      </c>
      <c r="T290">
        <v>0</v>
      </c>
      <c r="U290">
        <v>160.381</v>
      </c>
      <c r="V290">
        <v>-3.157</v>
      </c>
      <c r="W290">
        <v>-6.4000000000000001E-2</v>
      </c>
      <c r="X290">
        <v>0.75800000000000001</v>
      </c>
      <c r="Y290" t="b">
        <v>1</v>
      </c>
      <c r="Z290" t="s">
        <v>52</v>
      </c>
      <c r="AA290">
        <f t="shared" si="64"/>
        <v>192.22719183525354</v>
      </c>
      <c r="AB290">
        <f t="shared" si="60"/>
        <v>35.235766601562503</v>
      </c>
      <c r="AC290">
        <f t="shared" si="59"/>
        <v>57.391863392114459</v>
      </c>
      <c r="AD290">
        <f t="shared" si="65"/>
        <v>1.8618112283582482</v>
      </c>
      <c r="AE290">
        <f t="shared" ca="1" si="66"/>
        <v>-1.0699061101338678</v>
      </c>
      <c r="AJ290" s="2"/>
      <c r="AK290" s="2"/>
    </row>
    <row r="291" spans="1:37" x14ac:dyDescent="0.3">
      <c r="A291">
        <f t="shared" si="61"/>
        <v>10</v>
      </c>
      <c r="B291" s="2">
        <f t="shared" si="62"/>
        <v>31.73800000013216</v>
      </c>
      <c r="C291" s="2">
        <f t="shared" si="67"/>
        <v>5.2400000000098146E-2</v>
      </c>
      <c r="D291" s="2">
        <f t="shared" si="63"/>
        <v>5.5484199000002263</v>
      </c>
      <c r="E291" s="2"/>
      <c r="F291">
        <v>3227.2237175</v>
      </c>
      <c r="G291">
        <v>195</v>
      </c>
      <c r="H291">
        <v>48.75</v>
      </c>
      <c r="I291">
        <v>190.203</v>
      </c>
      <c r="J291">
        <v>52.286999999999999</v>
      </c>
      <c r="K291">
        <v>190.19484</v>
      </c>
      <c r="L291">
        <v>46.017240000000001</v>
      </c>
      <c r="M291">
        <v>77.714759861313496</v>
      </c>
      <c r="N291">
        <v>0.1</v>
      </c>
      <c r="O291">
        <v>0</v>
      </c>
      <c r="P291">
        <v>0</v>
      </c>
      <c r="Q291">
        <v>0</v>
      </c>
      <c r="R291">
        <v>0.35235766601562502</v>
      </c>
      <c r="S291">
        <v>5.5185332298278798E-3</v>
      </c>
      <c r="T291">
        <v>0</v>
      </c>
      <c r="U291">
        <v>160.381</v>
      </c>
      <c r="V291">
        <v>-3.3660000000000001</v>
      </c>
      <c r="W291">
        <v>-6.4000000000000001E-2</v>
      </c>
      <c r="X291">
        <v>0.75800000000000001</v>
      </c>
      <c r="Y291" t="b">
        <v>1</v>
      </c>
      <c r="Z291" t="s">
        <v>52</v>
      </c>
      <c r="AA291">
        <f t="shared" si="64"/>
        <v>192.22535501370149</v>
      </c>
      <c r="AB291">
        <f t="shared" ref="AB291:AB322" si="68">R291*100</f>
        <v>35.235766601562503</v>
      </c>
      <c r="AC291">
        <f t="shared" si="59"/>
        <v>58.510176152519506</v>
      </c>
      <c r="AD291">
        <f t="shared" si="65"/>
        <v>1.6510177074762098</v>
      </c>
      <c r="AE291">
        <f t="shared" ca="1" si="66"/>
        <v>3.9289609516341709E-2</v>
      </c>
      <c r="AJ291" s="2"/>
      <c r="AK291" s="2"/>
    </row>
    <row r="292" spans="1:37" x14ac:dyDescent="0.3">
      <c r="A292">
        <f t="shared" si="61"/>
        <v>10</v>
      </c>
      <c r="B292" s="2">
        <f t="shared" si="62"/>
        <v>31.363900000087597</v>
      </c>
      <c r="C292" s="2">
        <f t="shared" si="67"/>
        <v>3.143999999999636E-2</v>
      </c>
      <c r="D292" s="2">
        <f t="shared" si="63"/>
        <v>5.5797838000003139</v>
      </c>
      <c r="E292" s="2"/>
      <c r="F292">
        <v>3227.2550814000001</v>
      </c>
      <c r="G292">
        <v>195</v>
      </c>
      <c r="H292">
        <v>48.75</v>
      </c>
      <c r="I292">
        <v>190.203</v>
      </c>
      <c r="J292">
        <v>51.107999999999997</v>
      </c>
      <c r="K292">
        <v>190.19484</v>
      </c>
      <c r="L292">
        <v>46.048679999999997</v>
      </c>
      <c r="M292">
        <v>79.439373828025197</v>
      </c>
      <c r="N292">
        <v>0.1</v>
      </c>
      <c r="O292">
        <v>0</v>
      </c>
      <c r="P292">
        <v>0</v>
      </c>
      <c r="Q292">
        <v>0</v>
      </c>
      <c r="R292">
        <v>0.37517709350585898</v>
      </c>
      <c r="S292">
        <v>7.5686187744140598E-3</v>
      </c>
      <c r="T292">
        <v>0</v>
      </c>
      <c r="U292">
        <v>160.40799999999999</v>
      </c>
      <c r="V292">
        <v>-3.3660000000000001</v>
      </c>
      <c r="W292">
        <v>-0.155</v>
      </c>
      <c r="X292">
        <v>0.75900000000000001</v>
      </c>
      <c r="Y292" t="b">
        <v>1</v>
      </c>
      <c r="Z292" t="s">
        <v>52</v>
      </c>
      <c r="AA292">
        <f t="shared" si="64"/>
        <v>192.22535501370149</v>
      </c>
      <c r="AB292">
        <f t="shared" si="68"/>
        <v>37.517709350585896</v>
      </c>
      <c r="AC292">
        <f t="shared" si="59"/>
        <v>59.61530721263734</v>
      </c>
      <c r="AD292">
        <f t="shared" si="65"/>
        <v>1.0024263564132188</v>
      </c>
      <c r="AE292">
        <f t="shared" ca="1" si="66"/>
        <v>0.55082252997812087</v>
      </c>
      <c r="AJ292" s="2"/>
      <c r="AK292" s="2"/>
    </row>
    <row r="293" spans="1:37" x14ac:dyDescent="0.3">
      <c r="A293">
        <f t="shared" si="61"/>
        <v>10</v>
      </c>
      <c r="B293" s="2">
        <f t="shared" si="62"/>
        <v>29.774199999792472</v>
      </c>
      <c r="C293" s="2">
        <f t="shared" si="67"/>
        <v>0</v>
      </c>
      <c r="D293" s="2">
        <f t="shared" si="63"/>
        <v>5.6095580000001064</v>
      </c>
      <c r="E293" s="2"/>
      <c r="F293">
        <v>3227.2848555999999</v>
      </c>
      <c r="G293">
        <v>195</v>
      </c>
      <c r="H293">
        <v>48.75</v>
      </c>
      <c r="I293">
        <v>190.08</v>
      </c>
      <c r="J293">
        <v>49.929000000000002</v>
      </c>
      <c r="K293">
        <v>190.19976</v>
      </c>
      <c r="L293">
        <v>46.048679999999997</v>
      </c>
      <c r="M293">
        <v>81.0758195577084</v>
      </c>
      <c r="N293">
        <v>0.1</v>
      </c>
      <c r="O293">
        <v>0</v>
      </c>
      <c r="P293">
        <v>0</v>
      </c>
      <c r="Q293">
        <v>0</v>
      </c>
      <c r="R293">
        <v>0.37517709350585898</v>
      </c>
      <c r="S293">
        <v>7.5686187744140598E-3</v>
      </c>
      <c r="T293">
        <v>0</v>
      </c>
      <c r="U293">
        <v>160.40799999999999</v>
      </c>
      <c r="V293">
        <v>-3.3820000000000001</v>
      </c>
      <c r="W293">
        <v>-0.155</v>
      </c>
      <c r="X293">
        <v>0.75900000000000001</v>
      </c>
      <c r="Y293" t="b">
        <v>1</v>
      </c>
      <c r="Z293" t="s">
        <v>52</v>
      </c>
      <c r="AA293">
        <f t="shared" si="64"/>
        <v>192.22596728755218</v>
      </c>
      <c r="AB293">
        <f t="shared" si="68"/>
        <v>37.517709350585896</v>
      </c>
      <c r="AC293">
        <f t="shared" si="59"/>
        <v>60.732366994375766</v>
      </c>
      <c r="AD293">
        <f t="shared" si="65"/>
        <v>0</v>
      </c>
      <c r="AE293">
        <f t="shared" ca="1" si="66"/>
        <v>1.2049324893598938</v>
      </c>
      <c r="AJ293" s="2"/>
      <c r="AK293" s="2"/>
    </row>
    <row r="294" spans="1:37" x14ac:dyDescent="0.3">
      <c r="A294">
        <f t="shared" si="61"/>
        <v>10</v>
      </c>
      <c r="B294" s="2">
        <f t="shared" si="62"/>
        <v>31.468200000290381</v>
      </c>
      <c r="C294" s="2">
        <f t="shared" si="67"/>
        <v>-4.1919999999997515E-2</v>
      </c>
      <c r="D294" s="2">
        <f t="shared" si="63"/>
        <v>5.6410262000003968</v>
      </c>
      <c r="E294" s="2"/>
      <c r="F294">
        <v>3227.3163238000002</v>
      </c>
      <c r="G294">
        <v>195</v>
      </c>
      <c r="H294">
        <v>48.75</v>
      </c>
      <c r="I294">
        <v>190.08</v>
      </c>
      <c r="J294">
        <v>48.75</v>
      </c>
      <c r="K294">
        <v>190.20959999999999</v>
      </c>
      <c r="L294">
        <v>46.00676</v>
      </c>
      <c r="M294">
        <v>82.793492218735906</v>
      </c>
      <c r="N294">
        <v>0.1</v>
      </c>
      <c r="O294">
        <v>0</v>
      </c>
      <c r="P294">
        <v>0</v>
      </c>
      <c r="Q294">
        <v>0</v>
      </c>
      <c r="R294">
        <v>0.40075527954101497</v>
      </c>
      <c r="S294">
        <v>1.34560565948486E-2</v>
      </c>
      <c r="T294">
        <v>0</v>
      </c>
      <c r="U294">
        <v>160.37200000000001</v>
      </c>
      <c r="V294">
        <v>-3.3820000000000001</v>
      </c>
      <c r="W294">
        <v>-0.216</v>
      </c>
      <c r="X294">
        <v>0.75900000000000001</v>
      </c>
      <c r="Y294" t="b">
        <v>1</v>
      </c>
      <c r="Z294" t="s">
        <v>52</v>
      </c>
      <c r="AA294">
        <f t="shared" si="64"/>
        <v>192.22719183525354</v>
      </c>
      <c r="AB294">
        <f t="shared" si="68"/>
        <v>40.075527954101496</v>
      </c>
      <c r="AC294">
        <f t="shared" si="59"/>
        <v>61.912981775772771</v>
      </c>
      <c r="AD294">
        <f t="shared" si="65"/>
        <v>-1.3321384762906898</v>
      </c>
      <c r="AE294">
        <f t="shared" ca="1" si="66"/>
        <v>1.6733107638055684</v>
      </c>
      <c r="AJ294" s="2"/>
      <c r="AK294" s="2"/>
    </row>
    <row r="295" spans="1:37" x14ac:dyDescent="0.3">
      <c r="A295">
        <f t="shared" si="61"/>
        <v>10</v>
      </c>
      <c r="B295" s="2">
        <f t="shared" si="62"/>
        <v>31.055799999649025</v>
      </c>
      <c r="C295" s="2">
        <f t="shared" si="67"/>
        <v>-0.2509200000000007</v>
      </c>
      <c r="D295" s="2">
        <f t="shared" si="63"/>
        <v>5.6720820000000458</v>
      </c>
      <c r="E295" s="2"/>
      <c r="F295">
        <v>3227.3473795999998</v>
      </c>
      <c r="G295">
        <v>191.1</v>
      </c>
      <c r="H295">
        <v>46.8</v>
      </c>
      <c r="I295">
        <v>190.11599999999899</v>
      </c>
      <c r="J295">
        <v>43.524999999999999</v>
      </c>
      <c r="K295">
        <v>190.22087999999999</v>
      </c>
      <c r="L295">
        <v>45.755839999999999</v>
      </c>
      <c r="M295">
        <v>84.308631222085495</v>
      </c>
      <c r="N295">
        <v>0.1</v>
      </c>
      <c r="O295">
        <v>0</v>
      </c>
      <c r="P295">
        <v>0</v>
      </c>
      <c r="Q295">
        <v>0</v>
      </c>
      <c r="R295">
        <v>0.40075527954101497</v>
      </c>
      <c r="S295">
        <v>1.34560565948486E-2</v>
      </c>
      <c r="T295">
        <v>0</v>
      </c>
      <c r="U295">
        <v>160.37200000000001</v>
      </c>
      <c r="V295">
        <v>-3.2330000000000001</v>
      </c>
      <c r="W295">
        <v>-0.216</v>
      </c>
      <c r="X295">
        <v>0.75900000000000001</v>
      </c>
      <c r="Y295" t="b">
        <v>1</v>
      </c>
      <c r="Z295" t="s">
        <v>52</v>
      </c>
      <c r="AA295">
        <f t="shared" si="64"/>
        <v>192.22859558505752</v>
      </c>
      <c r="AB295">
        <f t="shared" si="68"/>
        <v>40.075527954101496</v>
      </c>
      <c r="AC295">
        <f t="shared" si="59"/>
        <v>63.157559356795687</v>
      </c>
      <c r="AD295">
        <f t="shared" si="65"/>
        <v>-8.0796501781579106</v>
      </c>
      <c r="AE295">
        <f t="shared" ca="1" si="66"/>
        <v>1.9828441033868891</v>
      </c>
      <c r="AJ295" s="2"/>
      <c r="AK295" s="2"/>
    </row>
    <row r="296" spans="1:37" x14ac:dyDescent="0.3">
      <c r="A296">
        <f t="shared" si="61"/>
        <v>10</v>
      </c>
      <c r="B296" s="2">
        <f t="shared" si="62"/>
        <v>31.600199999957113</v>
      </c>
      <c r="C296" s="2">
        <f t="shared" si="67"/>
        <v>-0.14672000000010144</v>
      </c>
      <c r="D296" s="2">
        <f t="shared" si="63"/>
        <v>5.7036822000000029</v>
      </c>
      <c r="E296" s="2"/>
      <c r="F296">
        <v>3227.3789797999998</v>
      </c>
      <c r="G296">
        <v>195</v>
      </c>
      <c r="H296">
        <v>48.75</v>
      </c>
      <c r="I296">
        <v>190.08</v>
      </c>
      <c r="J296">
        <v>46.392000000000003</v>
      </c>
      <c r="K296">
        <v>190.23563999999999</v>
      </c>
      <c r="L296">
        <v>45.609119999999898</v>
      </c>
      <c r="M296">
        <v>85.988283654193495</v>
      </c>
      <c r="N296">
        <v>0.1</v>
      </c>
      <c r="O296">
        <v>0</v>
      </c>
      <c r="P296">
        <v>0</v>
      </c>
      <c r="Q296">
        <v>0</v>
      </c>
      <c r="R296">
        <v>0.443825225830078</v>
      </c>
      <c r="S296">
        <v>7.3544092178344702E-3</v>
      </c>
      <c r="T296">
        <v>0</v>
      </c>
      <c r="U296">
        <v>160.392</v>
      </c>
      <c r="V296">
        <v>-3.2330000000000001</v>
      </c>
      <c r="W296">
        <v>-0.24</v>
      </c>
      <c r="X296">
        <v>0.75800000000000001</v>
      </c>
      <c r="Y296" t="b">
        <v>1</v>
      </c>
      <c r="Z296" t="s">
        <v>52</v>
      </c>
      <c r="AA296">
        <f t="shared" si="64"/>
        <v>192.23043240660957</v>
      </c>
      <c r="AB296">
        <f t="shared" si="68"/>
        <v>44.382522583007798</v>
      </c>
      <c r="AC296">
        <f t="shared" si="59"/>
        <v>64.423954055249169</v>
      </c>
      <c r="AD296">
        <f t="shared" si="65"/>
        <v>-4.6430085885627488</v>
      </c>
      <c r="AE296">
        <f t="shared" ca="1" si="66"/>
        <v>6.6307565587849551</v>
      </c>
      <c r="AJ296" s="2"/>
      <c r="AK296" s="2"/>
    </row>
    <row r="297" spans="1:37" x14ac:dyDescent="0.3">
      <c r="A297">
        <f t="shared" si="61"/>
        <v>10</v>
      </c>
      <c r="B297" s="2">
        <f t="shared" si="62"/>
        <v>31.076000000211934</v>
      </c>
      <c r="C297" s="2">
        <f t="shared" si="67"/>
        <v>-0.21483999999989578</v>
      </c>
      <c r="D297" s="2">
        <f t="shared" si="63"/>
        <v>5.7347582000002149</v>
      </c>
      <c r="E297" s="2"/>
      <c r="F297">
        <v>3227.4100558</v>
      </c>
      <c r="G297">
        <v>195</v>
      </c>
      <c r="H297">
        <v>48.75</v>
      </c>
      <c r="I297">
        <v>190.203</v>
      </c>
      <c r="J297">
        <v>45.082000000000001</v>
      </c>
      <c r="K297">
        <v>190.25532000000001</v>
      </c>
      <c r="L297">
        <v>45.394280000000002</v>
      </c>
      <c r="M297">
        <v>87.594103130555695</v>
      </c>
      <c r="N297">
        <v>0.1</v>
      </c>
      <c r="O297">
        <v>0</v>
      </c>
      <c r="P297">
        <v>0</v>
      </c>
      <c r="Q297">
        <v>0</v>
      </c>
      <c r="R297">
        <v>0.443825225830078</v>
      </c>
      <c r="S297">
        <v>7.3544092178344702E-3</v>
      </c>
      <c r="T297">
        <v>0</v>
      </c>
      <c r="U297">
        <v>160.392</v>
      </c>
      <c r="V297">
        <v>-2.98</v>
      </c>
      <c r="W297">
        <v>-0.24</v>
      </c>
      <c r="X297">
        <v>0.75800000000000001</v>
      </c>
      <c r="Y297" t="b">
        <v>1</v>
      </c>
      <c r="Z297" t="s">
        <v>52</v>
      </c>
      <c r="AA297">
        <f t="shared" si="64"/>
        <v>192.23288150201228</v>
      </c>
      <c r="AB297">
        <f t="shared" si="68"/>
        <v>44.382522583007798</v>
      </c>
      <c r="AC297">
        <f t="shared" si="59"/>
        <v>65.803185327048126</v>
      </c>
      <c r="AD297">
        <f t="shared" si="65"/>
        <v>-6.9133736645137924</v>
      </c>
      <c r="AE297">
        <f t="shared" ca="1" si="66"/>
        <v>11.826800965063295</v>
      </c>
      <c r="AJ297" s="2"/>
      <c r="AK297" s="2"/>
    </row>
    <row r="298" spans="1:37" x14ac:dyDescent="0.3">
      <c r="A298">
        <f t="shared" si="61"/>
        <v>10</v>
      </c>
      <c r="B298" s="2">
        <f t="shared" si="62"/>
        <v>31.251999999767577</v>
      </c>
      <c r="C298" s="2">
        <f t="shared" si="67"/>
        <v>-0.27772000000000219</v>
      </c>
      <c r="D298" s="2">
        <f t="shared" si="63"/>
        <v>5.7660101999999824</v>
      </c>
      <c r="E298" s="2"/>
      <c r="F298">
        <v>3227.4413077999998</v>
      </c>
      <c r="G298">
        <v>195</v>
      </c>
      <c r="H298">
        <v>48.75</v>
      </c>
      <c r="I298">
        <v>190.203</v>
      </c>
      <c r="J298">
        <v>43.902999999999999</v>
      </c>
      <c r="K298">
        <v>190.27500000000001</v>
      </c>
      <c r="L298">
        <v>45.11656</v>
      </c>
      <c r="M298">
        <v>89.118973844071405</v>
      </c>
      <c r="N298">
        <v>0.1</v>
      </c>
      <c r="O298">
        <v>0</v>
      </c>
      <c r="P298">
        <v>0</v>
      </c>
      <c r="Q298">
        <v>0</v>
      </c>
      <c r="R298">
        <v>0.49050595092773402</v>
      </c>
      <c r="S298">
        <v>2.19725227355957E-2</v>
      </c>
      <c r="T298">
        <v>0</v>
      </c>
      <c r="U298">
        <v>160.52000000000001</v>
      </c>
      <c r="V298">
        <v>-2.98</v>
      </c>
      <c r="W298">
        <v>-0.375</v>
      </c>
      <c r="X298">
        <v>0.75900000000000001</v>
      </c>
      <c r="Y298" t="b">
        <v>1</v>
      </c>
      <c r="Z298" t="s">
        <v>52</v>
      </c>
      <c r="AA298">
        <f t="shared" si="64"/>
        <v>192.23533059741501</v>
      </c>
      <c r="AB298">
        <f t="shared" si="68"/>
        <v>49.050595092773399</v>
      </c>
      <c r="AC298">
        <f t="shared" si="59"/>
        <v>67.190227922801967</v>
      </c>
      <c r="AD298">
        <f t="shared" si="65"/>
        <v>-8.8864712659051452</v>
      </c>
      <c r="AE298">
        <f t="shared" ca="1" si="66"/>
        <v>16.979230862175999</v>
      </c>
      <c r="AJ298" s="2"/>
      <c r="AK298" s="2"/>
    </row>
    <row r="299" spans="1:37" x14ac:dyDescent="0.3">
      <c r="A299">
        <f t="shared" si="61"/>
        <v>10</v>
      </c>
      <c r="B299" s="2">
        <f t="shared" si="62"/>
        <v>32.36540000034438</v>
      </c>
      <c r="C299" s="2">
        <f t="shared" si="67"/>
        <v>0.4738400000000027</v>
      </c>
      <c r="D299" s="2">
        <f t="shared" si="63"/>
        <v>5.7983756000003268</v>
      </c>
      <c r="E299" s="2"/>
      <c r="F299">
        <v>3227.4736732000001</v>
      </c>
      <c r="G299">
        <v>195</v>
      </c>
      <c r="H299">
        <v>58.5</v>
      </c>
      <c r="I299">
        <v>190.44900000000001</v>
      </c>
      <c r="J299">
        <v>62.954000000000001</v>
      </c>
      <c r="K299">
        <v>190.2996</v>
      </c>
      <c r="L299">
        <v>45.590400000000002</v>
      </c>
      <c r="M299">
        <v>91.412334258681597</v>
      </c>
      <c r="N299">
        <v>0.1</v>
      </c>
      <c r="O299">
        <v>0</v>
      </c>
      <c r="P299">
        <v>0</v>
      </c>
      <c r="Q299">
        <v>0</v>
      </c>
      <c r="R299">
        <v>0.49050595092773402</v>
      </c>
      <c r="S299">
        <v>2.19725227355957E-2</v>
      </c>
      <c r="T299">
        <v>0</v>
      </c>
      <c r="U299">
        <v>160.52000000000001</v>
      </c>
      <c r="V299">
        <v>-2.6360000000000001</v>
      </c>
      <c r="W299">
        <v>-0.375</v>
      </c>
      <c r="X299">
        <v>0.75900000000000001</v>
      </c>
      <c r="Y299" t="b">
        <v>1</v>
      </c>
      <c r="Z299" t="s">
        <v>52</v>
      </c>
      <c r="AA299">
        <f t="shared" si="64"/>
        <v>192.23839196666842</v>
      </c>
      <c r="AB299">
        <f t="shared" si="68"/>
        <v>49.050595092773399</v>
      </c>
      <c r="AC299">
        <f t="shared" si="59"/>
        <v>68.777770053234505</v>
      </c>
      <c r="AD299">
        <f t="shared" si="65"/>
        <v>14.640325779843934</v>
      </c>
      <c r="AE299">
        <f t="shared" ca="1" si="66"/>
        <v>22.132779165828982</v>
      </c>
      <c r="AJ299" s="2"/>
      <c r="AK299" s="2"/>
    </row>
    <row r="300" spans="1:37" x14ac:dyDescent="0.3">
      <c r="A300">
        <f t="shared" si="61"/>
        <v>10</v>
      </c>
      <c r="B300" s="2">
        <f t="shared" si="62"/>
        <v>30.916100000013103</v>
      </c>
      <c r="C300" s="2">
        <f t="shared" si="67"/>
        <v>0.40047999999999462</v>
      </c>
      <c r="D300" s="2">
        <f t="shared" si="63"/>
        <v>5.8292917000003399</v>
      </c>
      <c r="E300" s="2"/>
      <c r="F300">
        <v>3227.5045893000001</v>
      </c>
      <c r="G300">
        <v>195</v>
      </c>
      <c r="H300">
        <v>58.5</v>
      </c>
      <c r="I300">
        <v>190.44900000000001</v>
      </c>
      <c r="J300">
        <v>61.512999999999998</v>
      </c>
      <c r="K300">
        <v>190.31927999999999</v>
      </c>
      <c r="L300">
        <v>45.990879999999997</v>
      </c>
      <c r="M300">
        <v>93.507051502899898</v>
      </c>
      <c r="N300">
        <v>0.1</v>
      </c>
      <c r="O300">
        <v>0</v>
      </c>
      <c r="P300">
        <v>0</v>
      </c>
      <c r="Q300">
        <v>0</v>
      </c>
      <c r="R300">
        <v>0.505907928466796</v>
      </c>
      <c r="S300">
        <v>-1.0987440109252899E-2</v>
      </c>
      <c r="T300">
        <v>0</v>
      </c>
      <c r="U300">
        <v>160.36600000000001</v>
      </c>
      <c r="V300">
        <v>-2.6360000000000001</v>
      </c>
      <c r="W300">
        <v>-0.58499999999999996</v>
      </c>
      <c r="X300">
        <v>0.76700000000000002</v>
      </c>
      <c r="Y300" t="b">
        <v>1</v>
      </c>
      <c r="Z300" t="s">
        <v>52</v>
      </c>
      <c r="AA300">
        <f t="shared" si="64"/>
        <v>192.24084106207113</v>
      </c>
      <c r="AB300">
        <f t="shared" si="68"/>
        <v>50.590792846679598</v>
      </c>
      <c r="AC300">
        <f t="shared" si="59"/>
        <v>70.294223156182838</v>
      </c>
      <c r="AD300">
        <f t="shared" si="65"/>
        <v>12.953768424860344</v>
      </c>
      <c r="AE300">
        <f t="shared" ca="1" si="66"/>
        <v>23.3234106407917</v>
      </c>
      <c r="AJ300" s="2"/>
      <c r="AK300" s="2"/>
    </row>
    <row r="301" spans="1:37" x14ac:dyDescent="0.3">
      <c r="A301">
        <f t="shared" si="61"/>
        <v>10</v>
      </c>
      <c r="B301" s="2">
        <f t="shared" si="62"/>
        <v>46.796299999641633</v>
      </c>
      <c r="C301" s="2">
        <f t="shared" si="67"/>
        <v>0.31663999999999959</v>
      </c>
      <c r="D301" s="2">
        <f t="shared" si="63"/>
        <v>5.8760879999999815</v>
      </c>
      <c r="E301" s="2"/>
      <c r="F301">
        <v>3227.5513855999998</v>
      </c>
      <c r="G301">
        <v>195</v>
      </c>
      <c r="H301">
        <v>58.5</v>
      </c>
      <c r="I301">
        <v>190.44900000000001</v>
      </c>
      <c r="J301">
        <v>59.941000000000003</v>
      </c>
      <c r="K301">
        <v>190.33895999999899</v>
      </c>
      <c r="L301">
        <v>46.307519999999997</v>
      </c>
      <c r="M301">
        <v>96.309125767298497</v>
      </c>
      <c r="N301">
        <v>0.1</v>
      </c>
      <c r="O301">
        <v>0</v>
      </c>
      <c r="P301">
        <v>0</v>
      </c>
      <c r="Q301">
        <v>0</v>
      </c>
      <c r="R301">
        <v>0.505907928466796</v>
      </c>
      <c r="S301">
        <v>-1.0987440109252899E-2</v>
      </c>
      <c r="T301">
        <v>0</v>
      </c>
      <c r="U301">
        <v>160.36600000000001</v>
      </c>
      <c r="V301">
        <v>-2.5939999999999999</v>
      </c>
      <c r="W301">
        <v>-0.58499999999999996</v>
      </c>
      <c r="X301">
        <v>0.76700000000000002</v>
      </c>
      <c r="Y301" t="b">
        <v>1</v>
      </c>
      <c r="Z301" t="s">
        <v>52</v>
      </c>
      <c r="AA301">
        <f t="shared" si="64"/>
        <v>192.24329015747372</v>
      </c>
      <c r="AB301">
        <f t="shared" si="68"/>
        <v>50.590792846679598</v>
      </c>
      <c r="AC301">
        <f t="shared" si="59"/>
        <v>72.661685075455779</v>
      </c>
      <c r="AD301">
        <f t="shared" si="65"/>
        <v>6.766346912093999</v>
      </c>
      <c r="AE301">
        <f t="shared" ca="1" si="66"/>
        <v>25.749277647924167</v>
      </c>
      <c r="AJ301" s="2"/>
      <c r="AK301" s="2"/>
    </row>
    <row r="302" spans="1:37" x14ac:dyDescent="0.3">
      <c r="A302">
        <f t="shared" si="61"/>
        <v>10</v>
      </c>
      <c r="B302" s="2">
        <f t="shared" si="62"/>
        <v>30.860900000334368</v>
      </c>
      <c r="C302" s="2">
        <f t="shared" si="67"/>
        <v>0.23280000000000456</v>
      </c>
      <c r="D302" s="2">
        <f t="shared" si="63"/>
        <v>5.9069489000003159</v>
      </c>
      <c r="E302" s="2"/>
      <c r="F302">
        <v>3227.5822465000001</v>
      </c>
      <c r="G302">
        <v>195</v>
      </c>
      <c r="H302">
        <v>58.5</v>
      </c>
      <c r="I302">
        <v>190.44900000000001</v>
      </c>
      <c r="J302">
        <v>58.5</v>
      </c>
      <c r="K302">
        <v>190.35371999999899</v>
      </c>
      <c r="L302">
        <v>46.540320000000001</v>
      </c>
      <c r="M302">
        <v>98.130403603869695</v>
      </c>
      <c r="N302">
        <v>0.1</v>
      </c>
      <c r="O302">
        <v>0</v>
      </c>
      <c r="P302">
        <v>0</v>
      </c>
      <c r="Q302">
        <v>0</v>
      </c>
      <c r="R302">
        <v>0.49874908447265598</v>
      </c>
      <c r="S302">
        <v>-3.1511272430419901E-2</v>
      </c>
      <c r="T302">
        <v>0</v>
      </c>
      <c r="U302">
        <v>160.39699999999999</v>
      </c>
      <c r="V302">
        <v>-2.5939999999999999</v>
      </c>
      <c r="W302">
        <v>-0.48799999999999999</v>
      </c>
      <c r="X302">
        <v>0.76900000000000002</v>
      </c>
      <c r="Y302" t="b">
        <v>1</v>
      </c>
      <c r="Z302" t="s">
        <v>52</v>
      </c>
      <c r="AA302">
        <f t="shared" si="64"/>
        <v>192.24512697902577</v>
      </c>
      <c r="AB302">
        <f t="shared" si="68"/>
        <v>49.874908447265597</v>
      </c>
      <c r="AC302">
        <f t="shared" si="59"/>
        <v>74.222962474434794</v>
      </c>
      <c r="AD302">
        <f t="shared" si="65"/>
        <v>7.5435259502309471</v>
      </c>
      <c r="AE302">
        <f t="shared" ca="1" si="66"/>
        <v>32.008204262356116</v>
      </c>
      <c r="AJ302" s="2"/>
      <c r="AK302" s="2"/>
    </row>
    <row r="303" spans="1:37" x14ac:dyDescent="0.3">
      <c r="A303">
        <f t="shared" si="61"/>
        <v>10</v>
      </c>
      <c r="B303" s="2">
        <f t="shared" si="62"/>
        <v>30.684599999858619</v>
      </c>
      <c r="C303" s="2">
        <f t="shared" si="67"/>
        <v>0.14371999999989526</v>
      </c>
      <c r="D303" s="2">
        <f t="shared" si="63"/>
        <v>5.9376335000001745</v>
      </c>
      <c r="E303" s="2"/>
      <c r="F303">
        <v>3227.6129311</v>
      </c>
      <c r="G303">
        <v>195</v>
      </c>
      <c r="H303">
        <v>58.5</v>
      </c>
      <c r="I303">
        <v>190.44900000000001</v>
      </c>
      <c r="J303">
        <v>57.058999999999997</v>
      </c>
      <c r="K303">
        <v>190.36847999999901</v>
      </c>
      <c r="L303">
        <v>46.684039999999897</v>
      </c>
      <c r="M303">
        <v>99.814800828035004</v>
      </c>
      <c r="N303">
        <v>0.1</v>
      </c>
      <c r="O303">
        <v>0</v>
      </c>
      <c r="P303">
        <v>0</v>
      </c>
      <c r="Q303">
        <v>0</v>
      </c>
      <c r="R303">
        <v>0.49874908447265598</v>
      </c>
      <c r="S303">
        <v>-3.1511272430419901E-2</v>
      </c>
      <c r="T303">
        <v>0</v>
      </c>
      <c r="U303">
        <v>160.39699999999999</v>
      </c>
      <c r="V303">
        <v>-2.601</v>
      </c>
      <c r="W303">
        <v>-0.48799999999999999</v>
      </c>
      <c r="X303">
        <v>0.76900000000000002</v>
      </c>
      <c r="Y303" t="b">
        <v>1</v>
      </c>
      <c r="Z303" t="s">
        <v>52</v>
      </c>
      <c r="AA303">
        <f t="shared" si="64"/>
        <v>192.24696380057779</v>
      </c>
      <c r="AB303">
        <f t="shared" si="68"/>
        <v>49.874908447265597</v>
      </c>
      <c r="AC303">
        <f t="shared" si="59"/>
        <v>75.753354090168713</v>
      </c>
      <c r="AD303">
        <f t="shared" si="65"/>
        <v>4.6837827444567459</v>
      </c>
      <c r="AE303">
        <f t="shared" ca="1" si="66"/>
        <v>37.140093443621033</v>
      </c>
      <c r="AJ303" s="2"/>
      <c r="AK303" s="2"/>
    </row>
    <row r="304" spans="1:37" x14ac:dyDescent="0.3">
      <c r="A304">
        <f t="shared" si="61"/>
        <v>10</v>
      </c>
      <c r="B304" s="2">
        <f t="shared" si="62"/>
        <v>30.98920000002181</v>
      </c>
      <c r="C304" s="2">
        <f t="shared" si="67"/>
        <v>5.4640000000105715E-2</v>
      </c>
      <c r="D304" s="2">
        <f t="shared" si="63"/>
        <v>5.9686227000001963</v>
      </c>
      <c r="E304" s="2"/>
      <c r="F304">
        <v>3227.6439203</v>
      </c>
      <c r="G304">
        <v>195</v>
      </c>
      <c r="H304">
        <v>58.5</v>
      </c>
      <c r="I304">
        <v>190.44900000000001</v>
      </c>
      <c r="J304">
        <v>55.487000000000002</v>
      </c>
      <c r="K304">
        <v>190.37831999999901</v>
      </c>
      <c r="L304">
        <v>46.738680000000002</v>
      </c>
      <c r="M304">
        <v>101.38718320026901</v>
      </c>
      <c r="N304">
        <v>0.1</v>
      </c>
      <c r="O304">
        <v>0</v>
      </c>
      <c r="P304">
        <v>0</v>
      </c>
      <c r="Q304">
        <v>0</v>
      </c>
      <c r="R304">
        <v>0.53758801269531198</v>
      </c>
      <c r="S304">
        <v>-1.5502121925354001E-2</v>
      </c>
      <c r="T304">
        <v>0</v>
      </c>
      <c r="U304">
        <v>160.39699999999999</v>
      </c>
      <c r="V304">
        <v>-2.601</v>
      </c>
      <c r="W304">
        <v>-0.45500000000000002</v>
      </c>
      <c r="X304">
        <v>0.77</v>
      </c>
      <c r="Y304" t="b">
        <v>1</v>
      </c>
      <c r="Z304" t="s">
        <v>52</v>
      </c>
      <c r="AA304">
        <f t="shared" si="64"/>
        <v>192.24818834827917</v>
      </c>
      <c r="AB304">
        <f t="shared" si="68"/>
        <v>53.758801269531197</v>
      </c>
      <c r="AC304">
        <f t="shared" si="59"/>
        <v>77.298937603023802</v>
      </c>
      <c r="AD304">
        <f t="shared" si="65"/>
        <v>1.7631949195225194</v>
      </c>
      <c r="AE304">
        <f t="shared" ca="1" si="66"/>
        <v>42.567196273567291</v>
      </c>
      <c r="AJ304" s="2"/>
      <c r="AK304" s="2"/>
    </row>
    <row r="305" spans="1:37" x14ac:dyDescent="0.3">
      <c r="A305">
        <f t="shared" si="61"/>
        <v>10</v>
      </c>
      <c r="B305" s="2">
        <f t="shared" si="62"/>
        <v>30.43999999999869</v>
      </c>
      <c r="C305" s="2">
        <f t="shared" si="67"/>
        <v>1.1688799999999944</v>
      </c>
      <c r="D305" s="2">
        <f t="shared" si="63"/>
        <v>5.999062700000195</v>
      </c>
      <c r="E305" s="2"/>
      <c r="F305">
        <v>3227.6743603</v>
      </c>
      <c r="G305">
        <v>195</v>
      </c>
      <c r="H305">
        <v>68.25</v>
      </c>
      <c r="I305">
        <v>190.32599999999999</v>
      </c>
      <c r="J305">
        <v>73.882999999999996</v>
      </c>
      <c r="K305">
        <v>190.38503999999901</v>
      </c>
      <c r="L305">
        <v>47.907559999999997</v>
      </c>
      <c r="M305">
        <v>104.01042034673399</v>
      </c>
      <c r="N305">
        <v>0.1</v>
      </c>
      <c r="O305">
        <v>0</v>
      </c>
      <c r="P305">
        <v>0</v>
      </c>
      <c r="Q305">
        <v>0</v>
      </c>
      <c r="R305">
        <v>0.53758801269531198</v>
      </c>
      <c r="S305">
        <v>-1.5502121925354001E-2</v>
      </c>
      <c r="T305">
        <v>0</v>
      </c>
      <c r="U305">
        <v>160.39699999999999</v>
      </c>
      <c r="V305">
        <v>-2.548</v>
      </c>
      <c r="W305">
        <v>-0.45500000000000002</v>
      </c>
      <c r="X305">
        <v>0.77</v>
      </c>
      <c r="Y305" t="b">
        <v>1</v>
      </c>
      <c r="Z305" t="s">
        <v>52</v>
      </c>
      <c r="AA305">
        <f t="shared" si="64"/>
        <v>192.24902462475814</v>
      </c>
      <c r="AB305">
        <f t="shared" si="68"/>
        <v>53.758801269531197</v>
      </c>
      <c r="AC305">
        <f t="shared" si="59"/>
        <v>78.935355513668256</v>
      </c>
      <c r="AD305">
        <f t="shared" si="65"/>
        <v>38.399474375822756</v>
      </c>
      <c r="AE305">
        <f t="shared" ca="1" si="66"/>
        <v>45.887389244472757</v>
      </c>
      <c r="AJ305" s="2"/>
      <c r="AK305" s="2"/>
    </row>
    <row r="306" spans="1:37" x14ac:dyDescent="0.3">
      <c r="A306">
        <f t="shared" si="61"/>
        <v>10</v>
      </c>
      <c r="B306" s="2">
        <f t="shared" si="62"/>
        <v>31.37109999988752</v>
      </c>
      <c r="C306" s="2">
        <f t="shared" si="67"/>
        <v>1.4844000000000008</v>
      </c>
      <c r="D306" s="2">
        <f t="shared" si="63"/>
        <v>6.0304338000000826</v>
      </c>
      <c r="E306" s="2"/>
      <c r="F306">
        <v>3227.7057313999999</v>
      </c>
      <c r="G306">
        <v>195</v>
      </c>
      <c r="H306">
        <v>68.25</v>
      </c>
      <c r="I306">
        <v>190.44900000000001</v>
      </c>
      <c r="J306">
        <v>72.180000000000007</v>
      </c>
      <c r="K306">
        <v>190.39487999999901</v>
      </c>
      <c r="L306">
        <v>49.391959999999997</v>
      </c>
      <c r="M306">
        <v>106.956758738262</v>
      </c>
      <c r="N306">
        <v>0.1</v>
      </c>
      <c r="O306">
        <v>0</v>
      </c>
      <c r="P306">
        <v>0</v>
      </c>
      <c r="Q306">
        <v>0</v>
      </c>
      <c r="R306">
        <v>0.55968646240234299</v>
      </c>
      <c r="S306">
        <v>-3.1763208389282198E-2</v>
      </c>
      <c r="T306">
        <v>0</v>
      </c>
      <c r="U306">
        <v>160.27099999999999</v>
      </c>
      <c r="V306">
        <v>-2.548</v>
      </c>
      <c r="W306">
        <v>-0.33200000000000002</v>
      </c>
      <c r="X306">
        <v>0.76600000000000001</v>
      </c>
      <c r="Y306" t="b">
        <v>1</v>
      </c>
      <c r="Z306" t="s">
        <v>52</v>
      </c>
      <c r="AA306">
        <f t="shared" si="64"/>
        <v>192.25024917245949</v>
      </c>
      <c r="AB306">
        <f t="shared" si="68"/>
        <v>55.9686462402343</v>
      </c>
      <c r="AC306">
        <f t="shared" si="59"/>
        <v>80.621828244168796</v>
      </c>
      <c r="AD306">
        <f t="shared" si="65"/>
        <v>47.317435474220638</v>
      </c>
      <c r="AE306">
        <f t="shared" ca="1" si="66"/>
        <v>43.980796663351882</v>
      </c>
      <c r="AJ306" s="2"/>
      <c r="AK306" s="2"/>
    </row>
    <row r="307" spans="1:37" x14ac:dyDescent="0.3">
      <c r="A307">
        <f t="shared" si="61"/>
        <v>10</v>
      </c>
      <c r="B307" s="2">
        <f t="shared" si="62"/>
        <v>31.394999999974971</v>
      </c>
      <c r="C307" s="2">
        <f t="shared" si="67"/>
        <v>1.4005600000000058</v>
      </c>
      <c r="D307" s="2">
        <f t="shared" si="63"/>
        <v>6.0618288000000575</v>
      </c>
      <c r="E307" s="2"/>
      <c r="F307">
        <v>3227.7371263999999</v>
      </c>
      <c r="G307">
        <v>195</v>
      </c>
      <c r="H307">
        <v>68.25</v>
      </c>
      <c r="I307">
        <v>190.572</v>
      </c>
      <c r="J307">
        <v>70.608000000000004</v>
      </c>
      <c r="K307">
        <v>190.404719999999</v>
      </c>
      <c r="L307">
        <v>50.792520000000003</v>
      </c>
      <c r="M307">
        <v>109.783795699232</v>
      </c>
      <c r="N307">
        <v>0.1</v>
      </c>
      <c r="O307">
        <v>0</v>
      </c>
      <c r="P307">
        <v>0</v>
      </c>
      <c r="Q307">
        <v>0</v>
      </c>
      <c r="R307">
        <v>0.55968646240234299</v>
      </c>
      <c r="S307">
        <v>-3.1763208389282198E-2</v>
      </c>
      <c r="T307">
        <v>0</v>
      </c>
      <c r="U307">
        <v>160.27099999999999</v>
      </c>
      <c r="V307">
        <v>-2.4049999999999998</v>
      </c>
      <c r="W307">
        <v>-0.33200000000000002</v>
      </c>
      <c r="X307">
        <v>0.76600000000000001</v>
      </c>
      <c r="Y307" t="b">
        <v>1</v>
      </c>
      <c r="Z307" t="s">
        <v>52</v>
      </c>
      <c r="AA307">
        <f t="shared" si="64"/>
        <v>192.25147372016085</v>
      </c>
      <c r="AB307">
        <f t="shared" si="68"/>
        <v>55.9686462402343</v>
      </c>
      <c r="AC307">
        <f t="shared" ref="AC307:AC370" si="69">AC306+(AB306*(D307-D306))</f>
        <v>82.378963892879554</v>
      </c>
      <c r="AD307">
        <f t="shared" si="65"/>
        <v>44.610925306613233</v>
      </c>
      <c r="AE307">
        <f t="shared" ca="1" si="66"/>
        <v>43.246479392088851</v>
      </c>
      <c r="AJ307" s="2"/>
      <c r="AK307" s="2"/>
    </row>
    <row r="308" spans="1:37" x14ac:dyDescent="0.3">
      <c r="A308">
        <f t="shared" si="61"/>
        <v>10</v>
      </c>
      <c r="B308" s="2">
        <f t="shared" si="62"/>
        <v>30.873400000018592</v>
      </c>
      <c r="C308" s="2">
        <f t="shared" si="67"/>
        <v>1.3167199999999966</v>
      </c>
      <c r="D308" s="2">
        <f t="shared" si="63"/>
        <v>6.0927022000000761</v>
      </c>
      <c r="E308" s="2"/>
      <c r="F308">
        <v>3227.7679997999999</v>
      </c>
      <c r="G308">
        <v>195</v>
      </c>
      <c r="H308">
        <v>68.25</v>
      </c>
      <c r="I308">
        <v>190.572</v>
      </c>
      <c r="J308">
        <v>68.905000000000001</v>
      </c>
      <c r="K308">
        <v>190.40964</v>
      </c>
      <c r="L308">
        <v>52.10924</v>
      </c>
      <c r="M308">
        <v>112.468497970389</v>
      </c>
      <c r="N308">
        <v>0.1</v>
      </c>
      <c r="O308">
        <v>0</v>
      </c>
      <c r="P308">
        <v>0</v>
      </c>
      <c r="Q308">
        <v>0</v>
      </c>
      <c r="R308">
        <v>0.63072106933593697</v>
      </c>
      <c r="S308">
        <v>-3.5307518005370998E-2</v>
      </c>
      <c r="T308">
        <v>0</v>
      </c>
      <c r="U308">
        <v>160.41200000000001</v>
      </c>
      <c r="V308">
        <v>-2.4049999999999998</v>
      </c>
      <c r="W308">
        <v>-0.10199999999999999</v>
      </c>
      <c r="X308">
        <v>0.76200000000000001</v>
      </c>
      <c r="Y308" t="b">
        <v>1</v>
      </c>
      <c r="Z308" t="s">
        <v>52</v>
      </c>
      <c r="AA308">
        <f t="shared" si="64"/>
        <v>192.25208599401165</v>
      </c>
      <c r="AB308">
        <f t="shared" si="68"/>
        <v>63.072106933593695</v>
      </c>
      <c r="AC308">
        <f t="shared" si="69"/>
        <v>84.106906295713841</v>
      </c>
      <c r="AD308">
        <f t="shared" si="65"/>
        <v>42.649011770624668</v>
      </c>
      <c r="AE308">
        <f t="shared" ca="1" si="66"/>
        <v>44.178244832372656</v>
      </c>
      <c r="AJ308" s="2"/>
      <c r="AK308" s="2"/>
    </row>
    <row r="309" spans="1:37" x14ac:dyDescent="0.3">
      <c r="A309">
        <f t="shared" si="61"/>
        <v>10</v>
      </c>
      <c r="B309" s="2">
        <f t="shared" si="62"/>
        <v>47.034200000325654</v>
      </c>
      <c r="C309" s="2">
        <f t="shared" si="67"/>
        <v>1.2485999999998967</v>
      </c>
      <c r="D309" s="2">
        <f t="shared" si="63"/>
        <v>6.1397364000004018</v>
      </c>
      <c r="E309" s="2"/>
      <c r="F309">
        <v>3227.8150340000002</v>
      </c>
      <c r="G309">
        <v>195</v>
      </c>
      <c r="H309">
        <v>68.25</v>
      </c>
      <c r="I309">
        <v>190.69499999999999</v>
      </c>
      <c r="J309">
        <v>67.201999999999998</v>
      </c>
      <c r="K309">
        <v>190.40964</v>
      </c>
      <c r="L309">
        <v>53.357839999999896</v>
      </c>
      <c r="M309">
        <v>115.736752622279</v>
      </c>
      <c r="N309">
        <v>0.1</v>
      </c>
      <c r="O309">
        <v>0</v>
      </c>
      <c r="P309">
        <v>0</v>
      </c>
      <c r="Q309">
        <v>0</v>
      </c>
      <c r="R309">
        <v>0.63072106933593697</v>
      </c>
      <c r="S309">
        <v>-3.5307518005370998E-2</v>
      </c>
      <c r="T309">
        <v>0</v>
      </c>
      <c r="U309">
        <v>160.41200000000001</v>
      </c>
      <c r="V309">
        <v>-2.3650000000000002</v>
      </c>
      <c r="W309">
        <v>-0.10199999999999999</v>
      </c>
      <c r="X309">
        <v>0.76200000000000001</v>
      </c>
      <c r="Y309" t="b">
        <v>1</v>
      </c>
      <c r="Z309" t="s">
        <v>52</v>
      </c>
      <c r="AA309">
        <f t="shared" si="64"/>
        <v>192.25208599401165</v>
      </c>
      <c r="AB309">
        <f t="shared" si="68"/>
        <v>63.072106933593695</v>
      </c>
      <c r="AC309">
        <f t="shared" si="69"/>
        <v>87.073452387670415</v>
      </c>
      <c r="AD309">
        <f t="shared" si="65"/>
        <v>26.546640529471144</v>
      </c>
      <c r="AE309">
        <f t="shared" ca="1" si="66"/>
        <v>45.062135269392293</v>
      </c>
      <c r="AJ309" s="2"/>
      <c r="AK309" s="2"/>
    </row>
    <row r="310" spans="1:37" x14ac:dyDescent="0.3">
      <c r="A310">
        <f t="shared" si="61"/>
        <v>10</v>
      </c>
      <c r="B310" s="2">
        <f t="shared" si="62"/>
        <v>31.44109999993816</v>
      </c>
      <c r="C310" s="2">
        <f t="shared" si="67"/>
        <v>1.1700000000001012</v>
      </c>
      <c r="D310" s="2">
        <f t="shared" si="63"/>
        <v>6.1711775000003399</v>
      </c>
      <c r="E310" s="2"/>
      <c r="F310">
        <v>3227.8464751000001</v>
      </c>
      <c r="G310">
        <v>195</v>
      </c>
      <c r="H310">
        <v>68.25</v>
      </c>
      <c r="I310">
        <v>190.81800000000001</v>
      </c>
      <c r="J310">
        <v>65.236999999999995</v>
      </c>
      <c r="K310">
        <v>190.41455999999999</v>
      </c>
      <c r="L310">
        <v>54.527839999999998</v>
      </c>
      <c r="M310">
        <v>118.214728528389</v>
      </c>
      <c r="N310">
        <v>0.1</v>
      </c>
      <c r="O310">
        <v>0</v>
      </c>
      <c r="P310">
        <v>0</v>
      </c>
      <c r="Q310">
        <v>0</v>
      </c>
      <c r="R310">
        <v>0.70933795166015601</v>
      </c>
      <c r="S310">
        <v>-6.5553979873657197E-3</v>
      </c>
      <c r="T310">
        <v>0</v>
      </c>
      <c r="U310">
        <v>160.61199999999999</v>
      </c>
      <c r="V310">
        <v>-2.3650000000000002</v>
      </c>
      <c r="W310">
        <v>-5.7000000000000002E-2</v>
      </c>
      <c r="X310">
        <v>0.76500000000000001</v>
      </c>
      <c r="Y310" t="b">
        <v>1</v>
      </c>
      <c r="Z310" t="s">
        <v>52</v>
      </c>
      <c r="AA310">
        <f t="shared" si="64"/>
        <v>192.25269826786234</v>
      </c>
      <c r="AB310">
        <f t="shared" si="68"/>
        <v>70.933795166015599</v>
      </c>
      <c r="AC310">
        <f t="shared" si="69"/>
        <v>89.056508808976332</v>
      </c>
      <c r="AD310">
        <f t="shared" si="65"/>
        <v>37.212438496185008</v>
      </c>
      <c r="AE310">
        <f t="shared" ca="1" si="66"/>
        <v>47.424719661827808</v>
      </c>
      <c r="AJ310" s="2"/>
      <c r="AK310" s="2"/>
    </row>
    <row r="311" spans="1:37" x14ac:dyDescent="0.3">
      <c r="A311">
        <f t="shared" si="61"/>
        <v>10</v>
      </c>
      <c r="B311" s="2">
        <f t="shared" si="62"/>
        <v>16.038499999922351</v>
      </c>
      <c r="C311" s="2">
        <f t="shared" si="67"/>
        <v>1.112359999999903</v>
      </c>
      <c r="D311" s="2">
        <f t="shared" si="63"/>
        <v>6.1872160000002623</v>
      </c>
      <c r="E311" s="2"/>
      <c r="F311">
        <v>3227.8625136000001</v>
      </c>
      <c r="G311">
        <v>195</v>
      </c>
      <c r="H311">
        <v>68.25</v>
      </c>
      <c r="I311">
        <v>190.941</v>
      </c>
      <c r="J311">
        <v>63.402999999999999</v>
      </c>
      <c r="K311">
        <v>190.41947999999999</v>
      </c>
      <c r="L311">
        <v>55.640199999999901</v>
      </c>
      <c r="M311">
        <v>119.98163411319899</v>
      </c>
      <c r="N311">
        <v>0.1</v>
      </c>
      <c r="O311">
        <v>0</v>
      </c>
      <c r="P311">
        <v>0</v>
      </c>
      <c r="Q311">
        <v>0</v>
      </c>
      <c r="R311">
        <v>0.70933795166015601</v>
      </c>
      <c r="S311">
        <v>-6.5553979873657197E-3</v>
      </c>
      <c r="T311">
        <v>0</v>
      </c>
      <c r="U311">
        <v>160.61199999999999</v>
      </c>
      <c r="V311">
        <v>-2.2610000000000001</v>
      </c>
      <c r="W311">
        <v>-5.7000000000000002E-2</v>
      </c>
      <c r="X311">
        <v>0.76500000000000001</v>
      </c>
      <c r="Y311" t="b">
        <v>1</v>
      </c>
      <c r="Z311" t="s">
        <v>52</v>
      </c>
      <c r="AA311">
        <f t="shared" si="64"/>
        <v>192.25331054171301</v>
      </c>
      <c r="AB311">
        <f t="shared" si="68"/>
        <v>70.933795166015599</v>
      </c>
      <c r="AC311">
        <f t="shared" si="69"/>
        <v>90.194180482740961</v>
      </c>
      <c r="AD311">
        <f t="shared" si="65"/>
        <v>69.355613056413532</v>
      </c>
      <c r="AE311">
        <f t="shared" ca="1" si="66"/>
        <v>49.05355913487962</v>
      </c>
      <c r="AJ311" s="2"/>
      <c r="AK311" s="2"/>
    </row>
    <row r="312" spans="1:37" x14ac:dyDescent="0.3">
      <c r="A312">
        <f t="shared" si="61"/>
        <v>10</v>
      </c>
      <c r="B312" s="2">
        <f t="shared" si="62"/>
        <v>31.220599999869592</v>
      </c>
      <c r="C312" s="2">
        <f t="shared" si="67"/>
        <v>1.8377200000000968</v>
      </c>
      <c r="D312" s="2">
        <f t="shared" si="63"/>
        <v>6.2184366000001319</v>
      </c>
      <c r="E312" s="2"/>
      <c r="F312">
        <v>3227.8937341999999</v>
      </c>
      <c r="G312">
        <v>195</v>
      </c>
      <c r="H312">
        <v>78</v>
      </c>
      <c r="I312">
        <v>191.06399999999999</v>
      </c>
      <c r="J312">
        <v>81.406000000000006</v>
      </c>
      <c r="K312">
        <v>190.42931999999999</v>
      </c>
      <c r="L312">
        <v>57.477919999999997</v>
      </c>
      <c r="M312">
        <v>123.069461205282</v>
      </c>
      <c r="N312">
        <v>0.1</v>
      </c>
      <c r="O312">
        <v>0</v>
      </c>
      <c r="P312">
        <v>0</v>
      </c>
      <c r="Q312">
        <v>0</v>
      </c>
      <c r="R312">
        <v>0.71848199462890605</v>
      </c>
      <c r="S312">
        <v>-1.25344562530517E-2</v>
      </c>
      <c r="T312">
        <v>0</v>
      </c>
      <c r="U312">
        <v>160.58199999999999</v>
      </c>
      <c r="V312">
        <v>-2.2610000000000001</v>
      </c>
      <c r="W312">
        <v>-0.20100000000000001</v>
      </c>
      <c r="X312">
        <v>0.76100000000000001</v>
      </c>
      <c r="Y312" t="b">
        <v>1</v>
      </c>
      <c r="Z312" t="s">
        <v>52</v>
      </c>
      <c r="AA312">
        <f t="shared" si="64"/>
        <v>192.25453508941439</v>
      </c>
      <c r="AB312">
        <f t="shared" si="68"/>
        <v>71.848199462890605</v>
      </c>
      <c r="AC312">
        <f t="shared" si="69"/>
        <v>92.408776128091816</v>
      </c>
      <c r="AD312">
        <f t="shared" si="65"/>
        <v>58.862417762880057</v>
      </c>
      <c r="AE312">
        <f t="shared" ca="1" si="66"/>
        <v>45.257968594229027</v>
      </c>
      <c r="AJ312" s="2"/>
      <c r="AK312" s="2"/>
    </row>
    <row r="313" spans="1:37" x14ac:dyDescent="0.3">
      <c r="A313">
        <f t="shared" si="61"/>
        <v>10</v>
      </c>
      <c r="B313" s="2">
        <f t="shared" si="62"/>
        <v>30.54950000023382</v>
      </c>
      <c r="C313" s="2">
        <f t="shared" si="67"/>
        <v>1.8010400000000004</v>
      </c>
      <c r="D313" s="2">
        <f t="shared" si="63"/>
        <v>6.2489861000003657</v>
      </c>
      <c r="E313" s="2"/>
      <c r="F313">
        <v>3227.9242837000002</v>
      </c>
      <c r="G313">
        <v>195</v>
      </c>
      <c r="H313">
        <v>78</v>
      </c>
      <c r="I313">
        <v>190.941</v>
      </c>
      <c r="J313">
        <v>79.441000000000003</v>
      </c>
      <c r="K313">
        <v>190.44408000000001</v>
      </c>
      <c r="L313">
        <v>59.278959999999998</v>
      </c>
      <c r="M313">
        <v>126.063634595008</v>
      </c>
      <c r="N313">
        <v>0.1</v>
      </c>
      <c r="O313">
        <v>0</v>
      </c>
      <c r="P313">
        <v>0</v>
      </c>
      <c r="Q313">
        <v>0</v>
      </c>
      <c r="R313">
        <v>0.71848199462890605</v>
      </c>
      <c r="S313">
        <v>-1.25344562530517E-2</v>
      </c>
      <c r="T313">
        <v>0</v>
      </c>
      <c r="U313">
        <v>160.58199999999999</v>
      </c>
      <c r="V313">
        <v>-2.444</v>
      </c>
      <c r="W313">
        <v>-0.20100000000000001</v>
      </c>
      <c r="X313">
        <v>0.76100000000000001</v>
      </c>
      <c r="Y313" t="b">
        <v>1</v>
      </c>
      <c r="Z313" t="s">
        <v>52</v>
      </c>
      <c r="AA313">
        <f t="shared" si="64"/>
        <v>192.25637191096641</v>
      </c>
      <c r="AB313">
        <f t="shared" si="68"/>
        <v>71.848199462890605</v>
      </c>
      <c r="AC313">
        <f t="shared" si="69"/>
        <v>94.603702697600198</v>
      </c>
      <c r="AD313">
        <f t="shared" si="65"/>
        <v>58.954811043919399</v>
      </c>
      <c r="AE313">
        <f t="shared" ca="1" si="66"/>
        <v>46.670494509364367</v>
      </c>
      <c r="AJ313" s="2"/>
      <c r="AK313" s="2"/>
    </row>
    <row r="314" spans="1:37" x14ac:dyDescent="0.3">
      <c r="A314">
        <f t="shared" si="61"/>
        <v>10</v>
      </c>
      <c r="B314" s="2">
        <f t="shared" si="62"/>
        <v>31.196799999634095</v>
      </c>
      <c r="C314" s="2">
        <f t="shared" si="67"/>
        <v>1.0908000000000015</v>
      </c>
      <c r="D314" s="2">
        <f t="shared" si="63"/>
        <v>6.2801828999999998</v>
      </c>
      <c r="E314" s="2"/>
      <c r="F314">
        <v>3227.9554804999998</v>
      </c>
      <c r="G314">
        <v>195</v>
      </c>
      <c r="H314">
        <v>78</v>
      </c>
      <c r="I314">
        <v>190.81800000000001</v>
      </c>
      <c r="J314">
        <v>77.344999999999999</v>
      </c>
      <c r="K314">
        <v>190.45536000000001</v>
      </c>
      <c r="L314">
        <v>60.369759999999999</v>
      </c>
      <c r="M314">
        <v>128.342879323902</v>
      </c>
      <c r="N314">
        <v>0.1</v>
      </c>
      <c r="O314">
        <v>0</v>
      </c>
      <c r="P314">
        <v>0</v>
      </c>
      <c r="Q314">
        <v>0</v>
      </c>
      <c r="R314">
        <v>0.67906951904296797</v>
      </c>
      <c r="S314">
        <v>-3.8282566070556599E-2</v>
      </c>
      <c r="T314">
        <v>0</v>
      </c>
      <c r="U314">
        <v>160.70099999999999</v>
      </c>
      <c r="V314">
        <v>-2.444</v>
      </c>
      <c r="W314">
        <v>-0.22800000000000001</v>
      </c>
      <c r="X314">
        <v>0.76300000000000001</v>
      </c>
      <c r="Y314" t="b">
        <v>1</v>
      </c>
      <c r="Z314" t="s">
        <v>52</v>
      </c>
      <c r="AA314">
        <f t="shared" si="64"/>
        <v>192.25777566077042</v>
      </c>
      <c r="AB314">
        <f t="shared" si="68"/>
        <v>67.906951904296804</v>
      </c>
      <c r="AC314">
        <f t="shared" si="69"/>
        <v>96.84513660657781</v>
      </c>
      <c r="AD314">
        <f t="shared" si="65"/>
        <v>34.965124628577144</v>
      </c>
      <c r="AE314">
        <f t="shared" ca="1" si="66"/>
        <v>47.596257675618816</v>
      </c>
      <c r="AJ314" s="2"/>
      <c r="AK314" s="2"/>
    </row>
    <row r="315" spans="1:37" x14ac:dyDescent="0.3">
      <c r="A315">
        <f t="shared" si="61"/>
        <v>10</v>
      </c>
      <c r="B315" s="2">
        <f t="shared" si="62"/>
        <v>46.151900000040769</v>
      </c>
      <c r="C315" s="2">
        <f t="shared" si="67"/>
        <v>0.89227999999999952</v>
      </c>
      <c r="D315" s="2">
        <f t="shared" si="63"/>
        <v>6.3263348000000406</v>
      </c>
      <c r="E315" s="2"/>
      <c r="F315">
        <v>3228.0016323999998</v>
      </c>
      <c r="G315">
        <v>195</v>
      </c>
      <c r="H315">
        <v>78</v>
      </c>
      <c r="I315">
        <v>190.69499999999999</v>
      </c>
      <c r="J315">
        <v>75.510999999999996</v>
      </c>
      <c r="K315">
        <v>190.47012000000001</v>
      </c>
      <c r="L315">
        <v>61.262039999999999</v>
      </c>
      <c r="M315">
        <v>130.939367204343</v>
      </c>
      <c r="N315">
        <v>0.1</v>
      </c>
      <c r="O315">
        <v>0</v>
      </c>
      <c r="P315">
        <v>0</v>
      </c>
      <c r="Q315">
        <v>0</v>
      </c>
      <c r="R315">
        <v>0.67906951904296797</v>
      </c>
      <c r="S315">
        <v>-3.8282566070556599E-2</v>
      </c>
      <c r="T315">
        <v>0</v>
      </c>
      <c r="U315">
        <v>160.70099999999999</v>
      </c>
      <c r="V315">
        <v>-2.4140000000000001</v>
      </c>
      <c r="W315">
        <v>-0.22800000000000001</v>
      </c>
      <c r="X315">
        <v>0.76300000000000001</v>
      </c>
      <c r="Y315" t="b">
        <v>1</v>
      </c>
      <c r="Z315" t="s">
        <v>52</v>
      </c>
      <c r="AA315">
        <f t="shared" si="64"/>
        <v>192.25961248232247</v>
      </c>
      <c r="AB315">
        <f t="shared" si="68"/>
        <v>67.906951904296804</v>
      </c>
      <c r="AC315">
        <f t="shared" si="69"/>
        <v>99.979171460172495</v>
      </c>
      <c r="AD315">
        <f t="shared" si="65"/>
        <v>19.333548564614052</v>
      </c>
      <c r="AE315">
        <f t="shared" ca="1" si="66"/>
        <v>48.14711176184727</v>
      </c>
      <c r="AJ315" s="2"/>
      <c r="AK315" s="2"/>
    </row>
    <row r="316" spans="1:37" x14ac:dyDescent="0.3">
      <c r="A316">
        <f t="shared" si="61"/>
        <v>10</v>
      </c>
      <c r="B316" s="2">
        <f t="shared" si="62"/>
        <v>31.394200000249839</v>
      </c>
      <c r="C316" s="2">
        <f t="shared" si="67"/>
        <v>1.2549599999999046</v>
      </c>
      <c r="D316" s="2">
        <f t="shared" si="63"/>
        <v>6.3577290000002904</v>
      </c>
      <c r="E316" s="2"/>
      <c r="F316">
        <v>3228.0330266000001</v>
      </c>
      <c r="G316">
        <v>199.875</v>
      </c>
      <c r="H316">
        <v>82.875</v>
      </c>
      <c r="I316">
        <v>190.52699999999999</v>
      </c>
      <c r="J316">
        <v>83.661000000000001</v>
      </c>
      <c r="K316">
        <v>190.48308</v>
      </c>
      <c r="L316">
        <v>62.516999999999904</v>
      </c>
      <c r="M316">
        <v>133.31785745665499</v>
      </c>
      <c r="N316">
        <v>0.1</v>
      </c>
      <c r="O316">
        <v>0</v>
      </c>
      <c r="P316">
        <v>0</v>
      </c>
      <c r="Q316">
        <v>0</v>
      </c>
      <c r="R316">
        <v>0.62334271240234296</v>
      </c>
      <c r="S316">
        <v>-4.1342998504638601E-2</v>
      </c>
      <c r="T316">
        <v>0</v>
      </c>
      <c r="U316">
        <v>160.751</v>
      </c>
      <c r="V316">
        <v>-2.4140000000000001</v>
      </c>
      <c r="W316">
        <v>-0.33500000000000002</v>
      </c>
      <c r="X316">
        <v>0.76500000000000001</v>
      </c>
      <c r="Y316" t="b">
        <v>1</v>
      </c>
      <c r="Z316" t="s">
        <v>52</v>
      </c>
      <c r="AA316">
        <f t="shared" si="64"/>
        <v>192.26122530124618</v>
      </c>
      <c r="AB316">
        <f t="shared" si="68"/>
        <v>62.334271240234294</v>
      </c>
      <c r="AC316">
        <f t="shared" si="69"/>
        <v>102.11105588966333</v>
      </c>
      <c r="AD316">
        <f t="shared" si="65"/>
        <v>39.974262761590275</v>
      </c>
      <c r="AE316">
        <f t="shared" ca="1" si="66"/>
        <v>52.751490674456605</v>
      </c>
      <c r="AJ316" s="2"/>
      <c r="AK316" s="2"/>
    </row>
    <row r="317" spans="1:37" x14ac:dyDescent="0.3">
      <c r="A317">
        <f t="shared" si="61"/>
        <v>10</v>
      </c>
      <c r="B317" s="2">
        <f t="shared" si="62"/>
        <v>30.19029999995837</v>
      </c>
      <c r="C317" s="2">
        <f t="shared" si="67"/>
        <v>1.6281200000000027</v>
      </c>
      <c r="D317" s="2">
        <f t="shared" si="63"/>
        <v>6.3879193000002488</v>
      </c>
      <c r="E317" s="2"/>
      <c r="F317">
        <v>3228.0632169</v>
      </c>
      <c r="G317">
        <v>195</v>
      </c>
      <c r="H317">
        <v>87.75</v>
      </c>
      <c r="I317">
        <v>190.32599999999999</v>
      </c>
      <c r="J317">
        <v>91.811000000000007</v>
      </c>
      <c r="K317">
        <v>190.488</v>
      </c>
      <c r="L317">
        <v>64.145119999999906</v>
      </c>
      <c r="M317">
        <v>135.99991245228301</v>
      </c>
      <c r="N317">
        <v>0.1</v>
      </c>
      <c r="O317">
        <v>0</v>
      </c>
      <c r="P317">
        <v>0</v>
      </c>
      <c r="Q317">
        <v>0</v>
      </c>
      <c r="R317">
        <v>0.62334271240234296</v>
      </c>
      <c r="S317">
        <v>-4.1342998504638601E-2</v>
      </c>
      <c r="T317">
        <v>0</v>
      </c>
      <c r="U317">
        <v>160.751</v>
      </c>
      <c r="V317">
        <v>-2.3759999999999999</v>
      </c>
      <c r="W317">
        <v>-0.33500000000000002</v>
      </c>
      <c r="X317">
        <v>0.76500000000000001</v>
      </c>
      <c r="Y317" t="b">
        <v>1</v>
      </c>
      <c r="Z317" t="s">
        <v>52</v>
      </c>
      <c r="AA317">
        <f t="shared" si="64"/>
        <v>192.26183757509688</v>
      </c>
      <c r="AB317">
        <f t="shared" si="68"/>
        <v>62.334271240234294</v>
      </c>
      <c r="AC317">
        <f t="shared" si="69"/>
        <v>103.99294623868478</v>
      </c>
      <c r="AD317">
        <f t="shared" si="65"/>
        <v>53.928579709451306</v>
      </c>
      <c r="AE317">
        <f t="shared" ca="1" si="66"/>
        <v>54.915957934575502</v>
      </c>
      <c r="AJ317" s="2"/>
      <c r="AK317" s="2"/>
    </row>
    <row r="318" spans="1:37" x14ac:dyDescent="0.3">
      <c r="A318">
        <f t="shared" si="61"/>
        <v>10</v>
      </c>
      <c r="B318" s="2">
        <f t="shared" si="62"/>
        <v>30.909000000065134</v>
      </c>
      <c r="C318" s="2">
        <f t="shared" si="67"/>
        <v>1.5914399999999915</v>
      </c>
      <c r="D318" s="2">
        <f t="shared" si="63"/>
        <v>6.4188283000003139</v>
      </c>
      <c r="E318" s="2"/>
      <c r="F318">
        <v>3228.0941259000001</v>
      </c>
      <c r="G318">
        <v>195</v>
      </c>
      <c r="H318">
        <v>87.75</v>
      </c>
      <c r="I318">
        <v>190.203</v>
      </c>
      <c r="J318">
        <v>89.715000000000003</v>
      </c>
      <c r="K318">
        <v>190.49292</v>
      </c>
      <c r="L318">
        <v>65.736559999999898</v>
      </c>
      <c r="M318">
        <v>138.644111016805</v>
      </c>
      <c r="N318">
        <v>0.1</v>
      </c>
      <c r="O318">
        <v>0</v>
      </c>
      <c r="P318">
        <v>0</v>
      </c>
      <c r="Q318">
        <v>0</v>
      </c>
      <c r="R318">
        <v>0.61376123046874997</v>
      </c>
      <c r="S318">
        <v>-5.2382995605468698E-2</v>
      </c>
      <c r="T318">
        <v>0</v>
      </c>
      <c r="U318">
        <v>160.79900000000001</v>
      </c>
      <c r="V318">
        <v>-2.3759999999999999</v>
      </c>
      <c r="W318">
        <v>-0.36299999999999999</v>
      </c>
      <c r="X318">
        <v>0.76500000000000001</v>
      </c>
      <c r="Y318" t="b">
        <v>1</v>
      </c>
      <c r="Z318" t="s">
        <v>52</v>
      </c>
      <c r="AA318">
        <f t="shared" si="64"/>
        <v>192.26244984894757</v>
      </c>
      <c r="AB318">
        <f t="shared" si="68"/>
        <v>61.376123046874994</v>
      </c>
      <c r="AC318">
        <f t="shared" si="69"/>
        <v>105.91963622845324</v>
      </c>
      <c r="AD318">
        <f t="shared" si="65"/>
        <v>51.487916140821049</v>
      </c>
      <c r="AE318">
        <f t="shared" ca="1" si="66"/>
        <v>53.533627737594806</v>
      </c>
    </row>
    <row r="319" spans="1:37" x14ac:dyDescent="0.3">
      <c r="A319">
        <f t="shared" si="61"/>
        <v>10</v>
      </c>
      <c r="B319" s="2">
        <f t="shared" si="62"/>
        <v>30.988299999989977</v>
      </c>
      <c r="C319" s="2">
        <f t="shared" si="67"/>
        <v>1.5547600000000017</v>
      </c>
      <c r="D319" s="2">
        <f t="shared" si="63"/>
        <v>6.4498166000003039</v>
      </c>
      <c r="E319" s="2"/>
      <c r="F319">
        <v>3228.1251142000001</v>
      </c>
      <c r="G319">
        <v>195</v>
      </c>
      <c r="H319">
        <v>87.75</v>
      </c>
      <c r="I319">
        <v>189.95699999999999</v>
      </c>
      <c r="J319">
        <v>87.619</v>
      </c>
      <c r="K319">
        <v>190.488</v>
      </c>
      <c r="L319">
        <v>67.291319999999899</v>
      </c>
      <c r="M319">
        <v>141.22830562175699</v>
      </c>
      <c r="N319">
        <v>0.1</v>
      </c>
      <c r="O319">
        <v>0</v>
      </c>
      <c r="P319">
        <v>0</v>
      </c>
      <c r="Q319">
        <v>0</v>
      </c>
      <c r="R319">
        <v>0.61376123046874997</v>
      </c>
      <c r="S319">
        <v>-5.2382995605468698E-2</v>
      </c>
      <c r="T319">
        <v>0</v>
      </c>
      <c r="U319">
        <v>160.79900000000001</v>
      </c>
      <c r="V319">
        <v>-2.3559999999999999</v>
      </c>
      <c r="W319">
        <v>-0.36299999999999999</v>
      </c>
      <c r="X319">
        <v>0.76500000000000001</v>
      </c>
      <c r="Y319" t="b">
        <v>1</v>
      </c>
      <c r="Z319" t="s">
        <v>52</v>
      </c>
      <c r="AA319">
        <f t="shared" si="64"/>
        <v>192.26183757509688</v>
      </c>
      <c r="AB319">
        <f t="shared" si="68"/>
        <v>61.376123046874994</v>
      </c>
      <c r="AC319">
        <f t="shared" si="69"/>
        <v>107.8215779422661</v>
      </c>
      <c r="AD319">
        <f t="shared" si="65"/>
        <v>50.172484453826272</v>
      </c>
      <c r="AE319">
        <f t="shared" ca="1" si="66"/>
        <v>54.28372625557212</v>
      </c>
    </row>
    <row r="320" spans="1:37" x14ac:dyDescent="0.3">
      <c r="A320">
        <f t="shared" si="61"/>
        <v>10</v>
      </c>
      <c r="B320" s="2">
        <f t="shared" si="62"/>
        <v>31.203999999888765</v>
      </c>
      <c r="C320" s="2">
        <f t="shared" si="67"/>
        <v>1.669440000000094</v>
      </c>
      <c r="D320" s="2">
        <f t="shared" si="63"/>
        <v>6.4810206000001926</v>
      </c>
      <c r="E320" s="2"/>
      <c r="F320">
        <v>3228.1563182</v>
      </c>
      <c r="G320">
        <v>195</v>
      </c>
      <c r="H320">
        <v>87.75</v>
      </c>
      <c r="I320">
        <v>189.58799999999999</v>
      </c>
      <c r="J320">
        <v>85.260999999999996</v>
      </c>
      <c r="K320">
        <v>190.46688</v>
      </c>
      <c r="L320">
        <v>68.960759999999993</v>
      </c>
      <c r="M320">
        <v>143.90866585031199</v>
      </c>
      <c r="N320">
        <v>0.1</v>
      </c>
      <c r="O320">
        <v>0</v>
      </c>
      <c r="P320">
        <v>0</v>
      </c>
      <c r="Q320">
        <v>0</v>
      </c>
      <c r="R320">
        <v>0.63363220214843696</v>
      </c>
      <c r="S320">
        <v>-5.04085540771484E-2</v>
      </c>
      <c r="T320">
        <v>0</v>
      </c>
      <c r="U320">
        <v>160.82900000000001</v>
      </c>
      <c r="V320">
        <v>-2.3559999999999999</v>
      </c>
      <c r="W320">
        <v>-0.26300000000000001</v>
      </c>
      <c r="X320">
        <v>0.76700000000000002</v>
      </c>
      <c r="Y320" t="b">
        <v>1</v>
      </c>
      <c r="Z320" t="s">
        <v>52</v>
      </c>
      <c r="AA320">
        <f t="shared" si="64"/>
        <v>192.25920927759151</v>
      </c>
      <c r="AB320">
        <f t="shared" si="68"/>
        <v>63.363220214843693</v>
      </c>
      <c r="AC320">
        <f t="shared" si="69"/>
        <v>109.73675848581397</v>
      </c>
      <c r="AD320">
        <f t="shared" si="65"/>
        <v>53.500833226703151</v>
      </c>
      <c r="AE320">
        <f t="shared" ca="1" si="66"/>
        <v>57.667186938275201</v>
      </c>
    </row>
    <row r="321" spans="1:31" x14ac:dyDescent="0.3">
      <c r="A321">
        <f t="shared" si="61"/>
        <v>10</v>
      </c>
      <c r="B321" s="2">
        <f t="shared" si="62"/>
        <v>46.177499999885185</v>
      </c>
      <c r="C321" s="2">
        <f t="shared" si="67"/>
        <v>1.4499600000000044</v>
      </c>
      <c r="D321" s="2">
        <f t="shared" si="63"/>
        <v>6.5271981000000778</v>
      </c>
      <c r="E321" s="2"/>
      <c r="F321">
        <v>3228.2024956999999</v>
      </c>
      <c r="G321">
        <v>195</v>
      </c>
      <c r="H321">
        <v>87.75</v>
      </c>
      <c r="I321">
        <v>189.34200000000001</v>
      </c>
      <c r="J321">
        <v>82.641000000000005</v>
      </c>
      <c r="K321">
        <v>190.43736000000001</v>
      </c>
      <c r="L321">
        <v>70.410719999999998</v>
      </c>
      <c r="M321">
        <v>146.808717179307</v>
      </c>
      <c r="N321">
        <v>0.1</v>
      </c>
      <c r="O321">
        <v>0</v>
      </c>
      <c r="P321">
        <v>0</v>
      </c>
      <c r="Q321">
        <v>0</v>
      </c>
      <c r="R321">
        <v>0.63363220214843696</v>
      </c>
      <c r="S321">
        <v>-5.04085540771484E-2</v>
      </c>
      <c r="T321">
        <v>0</v>
      </c>
      <c r="U321">
        <v>160.82900000000001</v>
      </c>
      <c r="V321">
        <v>-2.5209999999999999</v>
      </c>
      <c r="W321">
        <v>-0.26300000000000001</v>
      </c>
      <c r="X321">
        <v>0.76700000000000002</v>
      </c>
      <c r="Y321" t="b">
        <v>1</v>
      </c>
      <c r="Z321" t="s">
        <v>52</v>
      </c>
      <c r="AA321">
        <f t="shared" si="64"/>
        <v>192.25553563448744</v>
      </c>
      <c r="AB321">
        <f t="shared" si="68"/>
        <v>63.363220214843693</v>
      </c>
      <c r="AC321">
        <f t="shared" si="69"/>
        <v>112.66271358727764</v>
      </c>
      <c r="AD321">
        <f t="shared" si="65"/>
        <v>31.399707649907629</v>
      </c>
      <c r="AE321">
        <f t="shared" ca="1" si="66"/>
        <v>58.130115128449866</v>
      </c>
    </row>
    <row r="322" spans="1:31" x14ac:dyDescent="0.3">
      <c r="A322">
        <f t="shared" si="61"/>
        <v>10</v>
      </c>
      <c r="B322" s="2">
        <f t="shared" si="62"/>
        <v>30.162900000050286</v>
      </c>
      <c r="C322" s="2">
        <f t="shared" si="67"/>
        <v>2.2015200000000021</v>
      </c>
      <c r="D322" s="2">
        <f t="shared" si="63"/>
        <v>6.5573610000001281</v>
      </c>
      <c r="E322" s="2"/>
      <c r="F322">
        <v>3228.2326585999999</v>
      </c>
      <c r="G322">
        <v>195</v>
      </c>
      <c r="H322">
        <v>97.5</v>
      </c>
      <c r="I322">
        <v>189.096</v>
      </c>
      <c r="J322">
        <v>100.12</v>
      </c>
      <c r="K322">
        <v>190.39308</v>
      </c>
      <c r="L322">
        <v>72.61224</v>
      </c>
      <c r="M322">
        <v>149.92867696203001</v>
      </c>
      <c r="N322">
        <v>0.1</v>
      </c>
      <c r="O322">
        <v>0</v>
      </c>
      <c r="P322">
        <v>0</v>
      </c>
      <c r="Q322">
        <v>0</v>
      </c>
      <c r="R322">
        <v>0.65022113037109297</v>
      </c>
      <c r="S322">
        <v>-2.8895160675048801E-2</v>
      </c>
      <c r="T322">
        <v>0</v>
      </c>
      <c r="U322">
        <v>160.904</v>
      </c>
      <c r="V322">
        <v>-2.5209999999999999</v>
      </c>
      <c r="W322">
        <v>-0.127</v>
      </c>
      <c r="X322">
        <v>0.76200000000000001</v>
      </c>
      <c r="Y322" t="b">
        <v>1</v>
      </c>
      <c r="Z322" t="s">
        <v>52</v>
      </c>
      <c r="AA322">
        <f t="shared" si="64"/>
        <v>192.25002516983133</v>
      </c>
      <c r="AB322">
        <f t="shared" si="68"/>
        <v>65.022113037109293</v>
      </c>
      <c r="AC322">
        <f t="shared" si="69"/>
        <v>114.57393206229914</v>
      </c>
      <c r="AD322">
        <f t="shared" si="65"/>
        <v>72.987676914233447</v>
      </c>
      <c r="AE322">
        <f t="shared" ca="1" si="66"/>
        <v>60.710915845209485</v>
      </c>
    </row>
    <row r="323" spans="1:31" x14ac:dyDescent="0.3">
      <c r="A323">
        <f t="shared" si="61"/>
        <v>10</v>
      </c>
      <c r="B323" s="2">
        <f t="shared" si="62"/>
        <v>31.199000000015076</v>
      </c>
      <c r="C323" s="2">
        <f t="shared" si="67"/>
        <v>2.1281599999999941</v>
      </c>
      <c r="D323" s="2">
        <f t="shared" si="63"/>
        <v>6.5885600000001432</v>
      </c>
      <c r="E323" s="2"/>
      <c r="F323">
        <v>3228.2638575999999</v>
      </c>
      <c r="G323">
        <v>195</v>
      </c>
      <c r="H323">
        <v>97.5</v>
      </c>
      <c r="I323">
        <v>189.21899999999999</v>
      </c>
      <c r="J323">
        <v>97.106999999999999</v>
      </c>
      <c r="K323">
        <v>190.35371999999899</v>
      </c>
      <c r="L323">
        <v>74.740399999999994</v>
      </c>
      <c r="M323">
        <v>152.98360261395999</v>
      </c>
      <c r="N323">
        <v>0.1</v>
      </c>
      <c r="O323">
        <v>0</v>
      </c>
      <c r="P323">
        <v>0</v>
      </c>
      <c r="Q323">
        <v>0</v>
      </c>
      <c r="R323">
        <v>0.65022113037109297</v>
      </c>
      <c r="S323">
        <v>-2.8895160675048801E-2</v>
      </c>
      <c r="T323">
        <v>0</v>
      </c>
      <c r="U323">
        <v>160.904</v>
      </c>
      <c r="V323">
        <v>-2.72</v>
      </c>
      <c r="W323">
        <v>-0.127</v>
      </c>
      <c r="X323">
        <v>0.76200000000000001</v>
      </c>
      <c r="Y323" t="b">
        <v>1</v>
      </c>
      <c r="Z323" t="s">
        <v>52</v>
      </c>
      <c r="AA323">
        <f t="shared" si="64"/>
        <v>192.24512697902577</v>
      </c>
      <c r="AB323">
        <f t="shared" ref="AB323:AB354" si="70">R323*100</f>
        <v>65.022113037109293</v>
      </c>
      <c r="AC323">
        <f t="shared" si="69"/>
        <v>116.60255696694489</v>
      </c>
      <c r="AD323">
        <f t="shared" si="65"/>
        <v>68.212442706463847</v>
      </c>
      <c r="AE323">
        <f t="shared" ca="1" si="66"/>
        <v>58.855980536930588</v>
      </c>
    </row>
    <row r="324" spans="1:31" x14ac:dyDescent="0.3">
      <c r="A324">
        <f t="shared" si="61"/>
        <v>10</v>
      </c>
      <c r="B324" s="2">
        <f t="shared" si="62"/>
        <v>30.646100000012666</v>
      </c>
      <c r="C324" s="2">
        <f t="shared" si="67"/>
        <v>1.2403600000000097</v>
      </c>
      <c r="D324" s="2">
        <f t="shared" si="63"/>
        <v>6.6192061000001559</v>
      </c>
      <c r="E324" s="2"/>
      <c r="F324">
        <v>3228.2945037</v>
      </c>
      <c r="G324">
        <v>195</v>
      </c>
      <c r="H324">
        <v>97.5</v>
      </c>
      <c r="I324">
        <v>189.34200000000001</v>
      </c>
      <c r="J324">
        <v>93.962999999999994</v>
      </c>
      <c r="K324">
        <v>190.309439999999</v>
      </c>
      <c r="L324">
        <v>75.980760000000004</v>
      </c>
      <c r="M324">
        <v>155.11187545363401</v>
      </c>
      <c r="N324">
        <v>0.1</v>
      </c>
      <c r="O324">
        <v>0</v>
      </c>
      <c r="P324">
        <v>0</v>
      </c>
      <c r="Q324">
        <v>0</v>
      </c>
      <c r="R324">
        <v>0.64894165039062501</v>
      </c>
      <c r="S324">
        <v>-4.9829917907714801E-2</v>
      </c>
      <c r="T324">
        <v>0</v>
      </c>
      <c r="U324">
        <v>160.917</v>
      </c>
      <c r="V324">
        <v>-2.72</v>
      </c>
      <c r="W324">
        <v>-0.19600000000000001</v>
      </c>
      <c r="X324">
        <v>0.76</v>
      </c>
      <c r="Y324" t="b">
        <v>1</v>
      </c>
      <c r="Z324" t="s">
        <v>52</v>
      </c>
      <c r="AA324">
        <f t="shared" si="64"/>
        <v>192.23961651436963</v>
      </c>
      <c r="AB324">
        <f t="shared" si="70"/>
        <v>64.8941650390625</v>
      </c>
      <c r="AC324">
        <f t="shared" si="69"/>
        <v>118.59523114529227</v>
      </c>
      <c r="AD324">
        <f t="shared" si="65"/>
        <v>40.473665490861713</v>
      </c>
      <c r="AE324">
        <f t="shared" ca="1" si="66"/>
        <v>57.279187819252421</v>
      </c>
    </row>
    <row r="325" spans="1:31" x14ac:dyDescent="0.3">
      <c r="A325">
        <f t="shared" si="61"/>
        <v>10</v>
      </c>
      <c r="B325" s="2">
        <f t="shared" si="62"/>
        <v>30.387899999823276</v>
      </c>
      <c r="C325" s="2">
        <f t="shared" si="67"/>
        <v>1.9866799999998932</v>
      </c>
      <c r="D325" s="2">
        <f t="shared" si="63"/>
        <v>6.6495939999999791</v>
      </c>
      <c r="E325" s="2"/>
      <c r="F325">
        <v>3228.3248915999998</v>
      </c>
      <c r="G325">
        <v>195</v>
      </c>
      <c r="H325">
        <v>107.25</v>
      </c>
      <c r="I325">
        <v>189.34200000000001</v>
      </c>
      <c r="J325">
        <v>111.18</v>
      </c>
      <c r="K325">
        <v>190.26516000000001</v>
      </c>
      <c r="L325">
        <v>77.967439999999897</v>
      </c>
      <c r="M325">
        <v>157.95757684445499</v>
      </c>
      <c r="N325">
        <v>0.1</v>
      </c>
      <c r="O325">
        <v>0</v>
      </c>
      <c r="P325">
        <v>0</v>
      </c>
      <c r="Q325">
        <v>0</v>
      </c>
      <c r="R325">
        <v>0.64894165039062501</v>
      </c>
      <c r="S325">
        <v>-4.9829917907714801E-2</v>
      </c>
      <c r="T325">
        <v>0</v>
      </c>
      <c r="U325">
        <v>160.917</v>
      </c>
      <c r="V325">
        <v>-2.8290000000000002</v>
      </c>
      <c r="W325">
        <v>-0.19600000000000001</v>
      </c>
      <c r="X325">
        <v>0.76</v>
      </c>
      <c r="Y325" t="b">
        <v>1</v>
      </c>
      <c r="Z325" t="s">
        <v>52</v>
      </c>
      <c r="AA325">
        <f t="shared" si="64"/>
        <v>192.23410604971366</v>
      </c>
      <c r="AB325">
        <f t="shared" si="70"/>
        <v>64.8941650390625</v>
      </c>
      <c r="AC325">
        <f t="shared" si="69"/>
        <v>120.56722854307134</v>
      </c>
      <c r="AD325">
        <f t="shared" si="65"/>
        <v>65.377337690707392</v>
      </c>
      <c r="AE325">
        <f t="shared" ca="1" si="66"/>
        <v>61.472147378360177</v>
      </c>
    </row>
    <row r="326" spans="1:31" x14ac:dyDescent="0.3">
      <c r="A326">
        <f t="shared" si="61"/>
        <v>10</v>
      </c>
      <c r="B326" s="2">
        <f t="shared" si="62"/>
        <v>31.391000000439817</v>
      </c>
      <c r="C326" s="2">
        <f t="shared" si="67"/>
        <v>1.9342800000001006</v>
      </c>
      <c r="D326" s="2">
        <f t="shared" si="63"/>
        <v>6.6809850000004189</v>
      </c>
      <c r="E326" s="2"/>
      <c r="F326">
        <v>3228.3562826000002</v>
      </c>
      <c r="G326">
        <v>195</v>
      </c>
      <c r="H326">
        <v>107.25</v>
      </c>
      <c r="I326">
        <v>189.21899999999999</v>
      </c>
      <c r="J326">
        <v>108.298</v>
      </c>
      <c r="K326">
        <v>190.215959999999</v>
      </c>
      <c r="L326">
        <v>79.901719999999997</v>
      </c>
      <c r="M326">
        <v>160.757396631619</v>
      </c>
      <c r="N326">
        <v>0.1</v>
      </c>
      <c r="O326">
        <v>0</v>
      </c>
      <c r="P326">
        <v>0</v>
      </c>
      <c r="Q326">
        <v>0</v>
      </c>
      <c r="R326">
        <v>0.62600683593749995</v>
      </c>
      <c r="S326">
        <v>-6.39214744567871E-2</v>
      </c>
      <c r="T326">
        <v>0</v>
      </c>
      <c r="U326">
        <v>160.83199999999999</v>
      </c>
      <c r="V326">
        <v>-2.8290000000000002</v>
      </c>
      <c r="W326">
        <v>3.4000000000000002E-2</v>
      </c>
      <c r="X326">
        <v>0.76100000000000001</v>
      </c>
      <c r="Y326" t="b">
        <v>1</v>
      </c>
      <c r="Z326" t="s">
        <v>52</v>
      </c>
      <c r="AA326">
        <f t="shared" si="64"/>
        <v>192.22798331120671</v>
      </c>
      <c r="AB326">
        <f t="shared" si="70"/>
        <v>62.600683593749991</v>
      </c>
      <c r="AC326">
        <f t="shared" si="69"/>
        <v>122.60432127784109</v>
      </c>
      <c r="AD326">
        <f t="shared" si="65"/>
        <v>61.618935362779126</v>
      </c>
      <c r="AE326">
        <f t="shared" ca="1" si="66"/>
        <v>63.058263089914981</v>
      </c>
    </row>
    <row r="327" spans="1:31" x14ac:dyDescent="0.3">
      <c r="A327">
        <f t="shared" si="61"/>
        <v>10</v>
      </c>
      <c r="B327" s="2">
        <f t="shared" si="62"/>
        <v>46.923499999593332</v>
      </c>
      <c r="C327" s="2">
        <f t="shared" si="67"/>
        <v>1.8818799999998959</v>
      </c>
      <c r="D327" s="2">
        <f t="shared" si="63"/>
        <v>6.7279085000000123</v>
      </c>
      <c r="E327" s="2"/>
      <c r="F327">
        <v>3228.4032060999998</v>
      </c>
      <c r="G327">
        <v>195</v>
      </c>
      <c r="H327">
        <v>107.25</v>
      </c>
      <c r="I327">
        <v>188.97300000000001</v>
      </c>
      <c r="J327">
        <v>105.547</v>
      </c>
      <c r="K327">
        <v>190.15691999999899</v>
      </c>
      <c r="L327">
        <v>81.783599999999893</v>
      </c>
      <c r="M327">
        <v>163.89290221491601</v>
      </c>
      <c r="N327">
        <v>0.1</v>
      </c>
      <c r="O327">
        <v>0</v>
      </c>
      <c r="P327">
        <v>0</v>
      </c>
      <c r="Q327">
        <v>0</v>
      </c>
      <c r="R327">
        <v>0.62600683593749995</v>
      </c>
      <c r="S327">
        <v>-6.39214744567871E-2</v>
      </c>
      <c r="T327">
        <v>0</v>
      </c>
      <c r="U327">
        <v>160.83199999999999</v>
      </c>
      <c r="V327">
        <v>-2.8140000000000001</v>
      </c>
      <c r="W327">
        <v>3.4000000000000002E-2</v>
      </c>
      <c r="X327">
        <v>0.76100000000000001</v>
      </c>
      <c r="Y327" t="b">
        <v>1</v>
      </c>
      <c r="Z327" t="s">
        <v>52</v>
      </c>
      <c r="AA327">
        <f t="shared" si="64"/>
        <v>192.22063602499856</v>
      </c>
      <c r="AB327">
        <f t="shared" si="70"/>
        <v>62.600683593749991</v>
      </c>
      <c r="AC327">
        <f t="shared" si="69"/>
        <v>125.54176445442697</v>
      </c>
      <c r="AD327">
        <f t="shared" si="65"/>
        <v>40.105277739644428</v>
      </c>
      <c r="AE327">
        <f t="shared" ca="1" si="66"/>
        <v>65.178712730540568</v>
      </c>
    </row>
    <row r="328" spans="1:31" x14ac:dyDescent="0.3">
      <c r="A328">
        <f t="shared" ref="A328:A391" si="71">N328*100</f>
        <v>10</v>
      </c>
      <c r="B328" s="2">
        <f t="shared" ref="B328:B391" si="72">(F328-F327)*1000</f>
        <v>31.102800000098796</v>
      </c>
      <c r="C328" s="2">
        <f t="shared" si="67"/>
        <v>1.8347200000000043</v>
      </c>
      <c r="D328" s="2">
        <f t="shared" ref="D328:D391" si="73">F328-$F$7</f>
        <v>6.7590113000001111</v>
      </c>
      <c r="E328" s="2"/>
      <c r="F328">
        <v>3228.4343088999999</v>
      </c>
      <c r="G328">
        <v>195</v>
      </c>
      <c r="H328">
        <v>107.25</v>
      </c>
      <c r="I328">
        <v>188.85</v>
      </c>
      <c r="J328">
        <v>102.926999999999</v>
      </c>
      <c r="K328">
        <v>190.09296000000001</v>
      </c>
      <c r="L328">
        <v>83.618319999999898</v>
      </c>
      <c r="M328">
        <v>166.53280433468601</v>
      </c>
      <c r="N328">
        <v>0.1</v>
      </c>
      <c r="O328">
        <v>0</v>
      </c>
      <c r="P328">
        <v>0</v>
      </c>
      <c r="Q328">
        <v>0</v>
      </c>
      <c r="R328">
        <v>0.64617486572265603</v>
      </c>
      <c r="S328">
        <v>-5.8254581451416002E-2</v>
      </c>
      <c r="T328">
        <v>0</v>
      </c>
      <c r="U328">
        <v>160.78200000000001</v>
      </c>
      <c r="V328">
        <v>-2.8140000000000001</v>
      </c>
      <c r="W328">
        <v>0.313</v>
      </c>
      <c r="X328">
        <v>0.76</v>
      </c>
      <c r="Y328" t="b">
        <v>1</v>
      </c>
      <c r="Z328" t="s">
        <v>52</v>
      </c>
      <c r="AA328">
        <f t="shared" ref="AA328:AA391" si="74">$K$4+($AA$4/$K$3*(K328-$K$4))</f>
        <v>192.21267646493985</v>
      </c>
      <c r="AB328">
        <f t="shared" si="70"/>
        <v>64.617486572265605</v>
      </c>
      <c r="AC328">
        <f t="shared" si="69"/>
        <v>127.48882099611284</v>
      </c>
      <c r="AD328">
        <f t="shared" ref="AD328:AD391" si="75">IF((L328-L327)/(D328-D327)&lt;100,IF((L328-L327)/(D328-D327)&gt;(-1*20),(L328-L327)/(D328-D327),AD327))</f>
        <v>58.988901320594174</v>
      </c>
      <c r="AE328">
        <f t="shared" ref="AE328:AE391" ca="1" si="76">IF(ROW(AD328)-ROW($AD$7)+1&gt;=$AE$6, AVERAGE(OFFSET(AD328, 0, 0, $AE$6, 1)), NA())</f>
        <v>66.500645775056512</v>
      </c>
    </row>
    <row r="329" spans="1:31" x14ac:dyDescent="0.3">
      <c r="A329">
        <f t="shared" si="71"/>
        <v>10</v>
      </c>
      <c r="B329" s="2">
        <f t="shared" si="72"/>
        <v>30.911199999991368</v>
      </c>
      <c r="C329" s="2">
        <f t="shared" ref="C329:C392" si="77">L329-L328</f>
        <v>2.5967600000001028</v>
      </c>
      <c r="D329" s="2">
        <f t="shared" si="73"/>
        <v>6.7899225000001024</v>
      </c>
      <c r="E329" s="2"/>
      <c r="F329">
        <v>3228.4652200999999</v>
      </c>
      <c r="G329">
        <v>195</v>
      </c>
      <c r="H329">
        <v>117</v>
      </c>
      <c r="I329">
        <v>188.727</v>
      </c>
      <c r="J329">
        <v>120.40600000000001</v>
      </c>
      <c r="K329">
        <v>190.02408</v>
      </c>
      <c r="L329">
        <v>86.21508</v>
      </c>
      <c r="M329">
        <v>169.910017850907</v>
      </c>
      <c r="N329">
        <v>0.1</v>
      </c>
      <c r="O329">
        <v>0</v>
      </c>
      <c r="P329">
        <v>0</v>
      </c>
      <c r="Q329">
        <v>0</v>
      </c>
      <c r="R329">
        <v>0.64617486572265603</v>
      </c>
      <c r="S329">
        <v>-5.8254581451416002E-2</v>
      </c>
      <c r="T329">
        <v>0</v>
      </c>
      <c r="U329">
        <v>160.78200000000001</v>
      </c>
      <c r="V329">
        <v>-2.476</v>
      </c>
      <c r="W329">
        <v>0.313</v>
      </c>
      <c r="X329">
        <v>0.76</v>
      </c>
      <c r="Y329" t="b">
        <v>1</v>
      </c>
      <c r="Z329" t="s">
        <v>52</v>
      </c>
      <c r="AA329">
        <f t="shared" si="74"/>
        <v>192.20410463103033</v>
      </c>
      <c r="AB329">
        <f t="shared" si="70"/>
        <v>64.617486572265605</v>
      </c>
      <c r="AC329">
        <f t="shared" si="69"/>
        <v>129.48622504704488</v>
      </c>
      <c r="AD329">
        <f t="shared" si="75"/>
        <v>84.00709128085704</v>
      </c>
      <c r="AE329">
        <f t="shared" ca="1" si="76"/>
        <v>68.494768273656646</v>
      </c>
    </row>
    <row r="330" spans="1:31" x14ac:dyDescent="0.3">
      <c r="A330">
        <f t="shared" si="71"/>
        <v>10</v>
      </c>
      <c r="B330" s="2">
        <f t="shared" si="72"/>
        <v>15.705799999977899</v>
      </c>
      <c r="C330" s="2">
        <f t="shared" si="77"/>
        <v>1.7770799999998985</v>
      </c>
      <c r="D330" s="2">
        <f t="shared" si="73"/>
        <v>6.8056283000000803</v>
      </c>
      <c r="E330" s="2"/>
      <c r="F330">
        <v>3228.4809258999999</v>
      </c>
      <c r="G330">
        <v>195</v>
      </c>
      <c r="H330">
        <v>117</v>
      </c>
      <c r="I330">
        <v>188.48099999999999</v>
      </c>
      <c r="J330">
        <v>118.31</v>
      </c>
      <c r="K330">
        <v>189.95027999999999</v>
      </c>
      <c r="L330">
        <v>87.992159999999899</v>
      </c>
      <c r="M330">
        <v>172.07624759328101</v>
      </c>
      <c r="N330">
        <v>0.1</v>
      </c>
      <c r="O330">
        <v>0</v>
      </c>
      <c r="P330">
        <v>0</v>
      </c>
      <c r="Q330">
        <v>0</v>
      </c>
      <c r="R330">
        <v>0.67682653808593696</v>
      </c>
      <c r="S330">
        <v>-7.9294448852539001E-2</v>
      </c>
      <c r="T330">
        <v>0</v>
      </c>
      <c r="U330">
        <v>160.60900000000001</v>
      </c>
      <c r="V330">
        <v>-2.476</v>
      </c>
      <c r="W330">
        <v>0.24199999999999999</v>
      </c>
      <c r="X330">
        <v>0.76100000000000001</v>
      </c>
      <c r="Y330" t="b">
        <v>1</v>
      </c>
      <c r="Z330" t="s">
        <v>52</v>
      </c>
      <c r="AA330">
        <f t="shared" si="74"/>
        <v>192.19492052327013</v>
      </c>
      <c r="AB330">
        <f t="shared" si="70"/>
        <v>67.682653808593699</v>
      </c>
      <c r="AC330">
        <f t="shared" si="69"/>
        <v>130.50109436765015</v>
      </c>
      <c r="AD330" t="b">
        <f t="shared" si="75"/>
        <v>0</v>
      </c>
      <c r="AE330">
        <f t="shared" ca="1" si="76"/>
        <v>64.799020008810714</v>
      </c>
    </row>
    <row r="331" spans="1:31" x14ac:dyDescent="0.3">
      <c r="A331">
        <f t="shared" si="71"/>
        <v>10</v>
      </c>
      <c r="B331" s="2">
        <f t="shared" si="72"/>
        <v>32.051600000158942</v>
      </c>
      <c r="C331" s="2">
        <f t="shared" si="77"/>
        <v>1.7508800000000946</v>
      </c>
      <c r="D331" s="2">
        <f t="shared" si="73"/>
        <v>6.8376799000002393</v>
      </c>
      <c r="E331" s="2"/>
      <c r="F331">
        <v>3228.5129775</v>
      </c>
      <c r="G331">
        <v>195</v>
      </c>
      <c r="H331">
        <v>117</v>
      </c>
      <c r="I331">
        <v>188.23500000000001</v>
      </c>
      <c r="J331">
        <v>115.952</v>
      </c>
      <c r="K331">
        <v>189.86171999999999</v>
      </c>
      <c r="L331">
        <v>89.743039999999993</v>
      </c>
      <c r="M331">
        <v>174.60614951166801</v>
      </c>
      <c r="N331">
        <v>0.1</v>
      </c>
      <c r="O331">
        <v>0</v>
      </c>
      <c r="P331">
        <v>0</v>
      </c>
      <c r="Q331">
        <v>0</v>
      </c>
      <c r="R331">
        <v>0.67682653808593696</v>
      </c>
      <c r="S331">
        <v>-7.9294448852539001E-2</v>
      </c>
      <c r="T331">
        <v>0</v>
      </c>
      <c r="U331">
        <v>160.60900000000001</v>
      </c>
      <c r="V331">
        <v>-2.0859999999999999</v>
      </c>
      <c r="W331">
        <v>0.24199999999999999</v>
      </c>
      <c r="X331">
        <v>0.76100000000000001</v>
      </c>
      <c r="Y331" t="b">
        <v>1</v>
      </c>
      <c r="Z331" t="s">
        <v>52</v>
      </c>
      <c r="AA331">
        <f t="shared" si="74"/>
        <v>192.1838995939579</v>
      </c>
      <c r="AB331">
        <f t="shared" si="70"/>
        <v>67.682653808593699</v>
      </c>
      <c r="AC331">
        <f t="shared" si="69"/>
        <v>132.67043171447244</v>
      </c>
      <c r="AD331">
        <f t="shared" si="75"/>
        <v>54.62691410074418</v>
      </c>
      <c r="AE331">
        <f t="shared" ca="1" si="76"/>
        <v>65.686872224777943</v>
      </c>
    </row>
    <row r="332" spans="1:31" x14ac:dyDescent="0.3">
      <c r="A332">
        <f t="shared" si="71"/>
        <v>10</v>
      </c>
      <c r="B332" s="2">
        <f t="shared" si="72"/>
        <v>30.7305000001179</v>
      </c>
      <c r="C332" s="2">
        <f t="shared" si="77"/>
        <v>1.7299199999999075</v>
      </c>
      <c r="D332" s="2">
        <f t="shared" si="73"/>
        <v>6.8684104000003572</v>
      </c>
      <c r="E332" s="2"/>
      <c r="F332">
        <v>3228.5437080000002</v>
      </c>
      <c r="G332">
        <v>185.25</v>
      </c>
      <c r="H332">
        <v>117</v>
      </c>
      <c r="I332">
        <v>188.07900000000001</v>
      </c>
      <c r="J332">
        <v>113.85599999999999</v>
      </c>
      <c r="K332">
        <v>189.76199999999901</v>
      </c>
      <c r="L332">
        <v>91.472959999999901</v>
      </c>
      <c r="M332">
        <v>177.064303161211</v>
      </c>
      <c r="N332">
        <v>0.1</v>
      </c>
      <c r="O332">
        <v>0</v>
      </c>
      <c r="P332">
        <v>0</v>
      </c>
      <c r="Q332">
        <v>0</v>
      </c>
      <c r="R332">
        <v>0.68564288330078105</v>
      </c>
      <c r="S332">
        <v>-8.1583328247070305E-2</v>
      </c>
      <c r="T332">
        <v>0</v>
      </c>
      <c r="U332">
        <v>160.50299999999999</v>
      </c>
      <c r="V332">
        <v>-2.0859999999999999</v>
      </c>
      <c r="W332">
        <v>0.23899999999999999</v>
      </c>
      <c r="X332">
        <v>0.75600000000000001</v>
      </c>
      <c r="Y332" t="b">
        <v>1</v>
      </c>
      <c r="Z332" t="s">
        <v>52</v>
      </c>
      <c r="AA332">
        <f t="shared" si="74"/>
        <v>192.17148984835009</v>
      </c>
      <c r="AB332">
        <f t="shared" si="70"/>
        <v>68.564288330078099</v>
      </c>
      <c r="AC332">
        <f t="shared" si="69"/>
        <v>134.75035350734541</v>
      </c>
      <c r="AD332">
        <f t="shared" si="75"/>
        <v>56.293259139723418</v>
      </c>
      <c r="AE332">
        <f t="shared" ca="1" si="76"/>
        <v>68.135734385472546</v>
      </c>
    </row>
    <row r="333" spans="1:31" x14ac:dyDescent="0.3">
      <c r="A333">
        <f t="shared" si="71"/>
        <v>10</v>
      </c>
      <c r="B333" s="2">
        <f t="shared" si="72"/>
        <v>46.517199999925651</v>
      </c>
      <c r="C333" s="2">
        <f t="shared" si="77"/>
        <v>2.5129200000000935</v>
      </c>
      <c r="D333" s="2">
        <f t="shared" si="73"/>
        <v>6.9149276000002828</v>
      </c>
      <c r="E333" s="2"/>
      <c r="F333">
        <v>3228.5902252000001</v>
      </c>
      <c r="G333">
        <v>185.25</v>
      </c>
      <c r="H333">
        <v>126.75</v>
      </c>
      <c r="I333">
        <v>187.95599999999999</v>
      </c>
      <c r="J333">
        <v>131.72800000000001</v>
      </c>
      <c r="K333">
        <v>189.65736000000001</v>
      </c>
      <c r="L333">
        <v>93.985879999999995</v>
      </c>
      <c r="M333">
        <v>180.64577884098401</v>
      </c>
      <c r="N333">
        <v>0.1</v>
      </c>
      <c r="O333">
        <v>0</v>
      </c>
      <c r="P333">
        <v>0</v>
      </c>
      <c r="Q333">
        <v>0</v>
      </c>
      <c r="R333">
        <v>0.68564288330078105</v>
      </c>
      <c r="S333">
        <v>-8.1583328247070305E-2</v>
      </c>
      <c r="T333">
        <v>0</v>
      </c>
      <c r="U333">
        <v>160.50299999999999</v>
      </c>
      <c r="V333">
        <v>-1.8580000000000001</v>
      </c>
      <c r="W333">
        <v>0.23899999999999999</v>
      </c>
      <c r="X333">
        <v>0.75600000000000001</v>
      </c>
      <c r="Y333" t="b">
        <v>1</v>
      </c>
      <c r="Z333" t="s">
        <v>52</v>
      </c>
      <c r="AA333">
        <f t="shared" si="74"/>
        <v>192.15846782889184</v>
      </c>
      <c r="AB333">
        <f t="shared" si="70"/>
        <v>68.564288330078099</v>
      </c>
      <c r="AC333">
        <f t="shared" si="69"/>
        <v>137.93977222044822</v>
      </c>
      <c r="AD333">
        <f t="shared" si="75"/>
        <v>54.021308247360331</v>
      </c>
      <c r="AE333">
        <f t="shared" ca="1" si="76"/>
        <v>69.968503356534043</v>
      </c>
    </row>
    <row r="334" spans="1:31" x14ac:dyDescent="0.3">
      <c r="A334">
        <f t="shared" si="71"/>
        <v>10</v>
      </c>
      <c r="B334" s="2">
        <f t="shared" si="72"/>
        <v>31.795299999885174</v>
      </c>
      <c r="C334" s="2">
        <f t="shared" si="77"/>
        <v>2.4867199999999059</v>
      </c>
      <c r="D334" s="2">
        <f t="shared" si="73"/>
        <v>6.946722900000168</v>
      </c>
      <c r="E334" s="2"/>
      <c r="F334">
        <v>3228.6220205</v>
      </c>
      <c r="G334">
        <v>185.25</v>
      </c>
      <c r="H334">
        <v>126.75</v>
      </c>
      <c r="I334">
        <v>187.58699999999999</v>
      </c>
      <c r="J334">
        <v>129.37</v>
      </c>
      <c r="K334">
        <v>189.533039999999</v>
      </c>
      <c r="L334">
        <v>96.4725999999999</v>
      </c>
      <c r="M334">
        <v>183.84014235439</v>
      </c>
      <c r="N334">
        <v>0.1</v>
      </c>
      <c r="O334">
        <v>0</v>
      </c>
      <c r="P334">
        <v>0</v>
      </c>
      <c r="Q334">
        <v>0</v>
      </c>
      <c r="R334">
        <v>0.69708111572265596</v>
      </c>
      <c r="S334">
        <v>-8.8636795043945296E-2</v>
      </c>
      <c r="T334">
        <v>0</v>
      </c>
      <c r="U334">
        <v>160.40600000000001</v>
      </c>
      <c r="V334">
        <v>-1.8580000000000001</v>
      </c>
      <c r="W334">
        <v>0.159</v>
      </c>
      <c r="X334">
        <v>0.755</v>
      </c>
      <c r="Y334" t="b">
        <v>1</v>
      </c>
      <c r="Z334" t="s">
        <v>52</v>
      </c>
      <c r="AA334">
        <f t="shared" si="74"/>
        <v>192.14299671403066</v>
      </c>
      <c r="AB334">
        <f t="shared" si="70"/>
        <v>69.708111572265594</v>
      </c>
      <c r="AC334">
        <f t="shared" si="69"/>
        <v>140.11979433718167</v>
      </c>
      <c r="AD334">
        <f t="shared" si="75"/>
        <v>78.210301522831571</v>
      </c>
      <c r="AE334">
        <f t="shared" ca="1" si="76"/>
        <v>71.67901943374963</v>
      </c>
    </row>
    <row r="335" spans="1:31" x14ac:dyDescent="0.3">
      <c r="A335">
        <f t="shared" si="71"/>
        <v>10</v>
      </c>
      <c r="B335" s="2">
        <f t="shared" si="72"/>
        <v>31.022300000131509</v>
      </c>
      <c r="C335" s="2">
        <f t="shared" si="77"/>
        <v>2.4710000000000036</v>
      </c>
      <c r="D335" s="2">
        <f t="shared" si="73"/>
        <v>6.9777452000002995</v>
      </c>
      <c r="E335" s="2"/>
      <c r="F335">
        <v>3228.6530428000001</v>
      </c>
      <c r="G335">
        <v>185.25</v>
      </c>
      <c r="H335">
        <v>126.75</v>
      </c>
      <c r="I335">
        <v>187.34100000000001</v>
      </c>
      <c r="J335">
        <v>127.012</v>
      </c>
      <c r="K335">
        <v>189.39395999999999</v>
      </c>
      <c r="L335">
        <v>98.943599999999904</v>
      </c>
      <c r="M335">
        <v>186.98430643705001</v>
      </c>
      <c r="N335">
        <v>0.1</v>
      </c>
      <c r="O335">
        <v>0</v>
      </c>
      <c r="P335">
        <v>0</v>
      </c>
      <c r="Q335">
        <v>0</v>
      </c>
      <c r="R335">
        <v>0.69708111572265596</v>
      </c>
      <c r="S335">
        <v>-8.8636795043945296E-2</v>
      </c>
      <c r="T335">
        <v>0</v>
      </c>
      <c r="U335">
        <v>160.40600000000001</v>
      </c>
      <c r="V335">
        <v>-2.1219999999999999</v>
      </c>
      <c r="W335">
        <v>0.159</v>
      </c>
      <c r="X335">
        <v>0.755</v>
      </c>
      <c r="Y335" t="b">
        <v>1</v>
      </c>
      <c r="Z335" t="s">
        <v>52</v>
      </c>
      <c r="AA335">
        <f t="shared" si="74"/>
        <v>192.12568877761765</v>
      </c>
      <c r="AB335">
        <f t="shared" si="70"/>
        <v>69.708111572265594</v>
      </c>
      <c r="AC335">
        <f t="shared" si="69"/>
        <v>142.28230028681912</v>
      </c>
      <c r="AD335">
        <f t="shared" si="75"/>
        <v>79.652379094700549</v>
      </c>
      <c r="AE335">
        <f t="shared" ca="1" si="76"/>
        <v>71.357576650302903</v>
      </c>
    </row>
    <row r="336" spans="1:31" x14ac:dyDescent="0.3">
      <c r="A336">
        <f t="shared" si="71"/>
        <v>10</v>
      </c>
      <c r="B336" s="2">
        <f t="shared" si="72"/>
        <v>30.293799999981275</v>
      </c>
      <c r="C336" s="2">
        <f t="shared" si="77"/>
        <v>2.4448000000001002</v>
      </c>
      <c r="D336" s="2">
        <f t="shared" si="73"/>
        <v>7.0080390000002808</v>
      </c>
      <c r="E336" s="2"/>
      <c r="F336">
        <v>3228.6833366000001</v>
      </c>
      <c r="G336">
        <v>185.25</v>
      </c>
      <c r="H336">
        <v>126.75</v>
      </c>
      <c r="I336">
        <v>187.21799999999999</v>
      </c>
      <c r="J336">
        <v>124.523</v>
      </c>
      <c r="K336">
        <v>189.24503999999999</v>
      </c>
      <c r="L336">
        <v>101.3884</v>
      </c>
      <c r="M336">
        <v>190.070403287478</v>
      </c>
      <c r="N336">
        <v>0.1</v>
      </c>
      <c r="O336">
        <v>0</v>
      </c>
      <c r="P336">
        <v>0</v>
      </c>
      <c r="Q336">
        <v>0</v>
      </c>
      <c r="R336">
        <v>0.70412438964843704</v>
      </c>
      <c r="S336">
        <v>-7.4277885437011706E-2</v>
      </c>
      <c r="T336">
        <v>0</v>
      </c>
      <c r="U336">
        <v>160.256</v>
      </c>
      <c r="V336">
        <v>-2.1219999999999999</v>
      </c>
      <c r="W336">
        <v>0.18099999999999999</v>
      </c>
      <c r="X336">
        <v>0.75700000000000001</v>
      </c>
      <c r="Y336" t="b">
        <v>1</v>
      </c>
      <c r="Z336" t="s">
        <v>52</v>
      </c>
      <c r="AA336">
        <f t="shared" si="74"/>
        <v>192.10715629350318</v>
      </c>
      <c r="AB336">
        <f t="shared" si="70"/>
        <v>70.412438964843702</v>
      </c>
      <c r="AC336">
        <f t="shared" si="69"/>
        <v>144.39402387716572</v>
      </c>
      <c r="AD336">
        <f t="shared" si="75"/>
        <v>80.702982128409488</v>
      </c>
      <c r="AE336">
        <f t="shared" ca="1" si="76"/>
        <v>70.533125057876447</v>
      </c>
    </row>
    <row r="337" spans="1:31" x14ac:dyDescent="0.3">
      <c r="A337">
        <f t="shared" si="71"/>
        <v>10</v>
      </c>
      <c r="B337" s="2">
        <f t="shared" si="72"/>
        <v>31.250699999873177</v>
      </c>
      <c r="C337" s="2">
        <f t="shared" si="77"/>
        <v>1.6251199999999955</v>
      </c>
      <c r="D337" s="2">
        <f t="shared" si="73"/>
        <v>7.039289700000154</v>
      </c>
      <c r="E337" s="2"/>
      <c r="F337">
        <v>3228.7145872999999</v>
      </c>
      <c r="G337">
        <v>185.25</v>
      </c>
      <c r="H337">
        <v>126.75</v>
      </c>
      <c r="I337">
        <v>186.97200000000001</v>
      </c>
      <c r="J337">
        <v>122.03400000000001</v>
      </c>
      <c r="K337">
        <v>189.08135999999999</v>
      </c>
      <c r="L337">
        <v>103.01352</v>
      </c>
      <c r="M337">
        <v>192.34085754942001</v>
      </c>
      <c r="N337">
        <v>0.1</v>
      </c>
      <c r="O337">
        <v>0</v>
      </c>
      <c r="P337">
        <v>0</v>
      </c>
      <c r="Q337">
        <v>0</v>
      </c>
      <c r="R337">
        <v>0.70412438964843704</v>
      </c>
      <c r="S337">
        <v>-7.4277885437011706E-2</v>
      </c>
      <c r="T337">
        <v>0</v>
      </c>
      <c r="U337">
        <v>160.256</v>
      </c>
      <c r="V337">
        <v>-2.4980000000000002</v>
      </c>
      <c r="W337">
        <v>0.18099999999999999</v>
      </c>
      <c r="X337">
        <v>0.75700000000000001</v>
      </c>
      <c r="Y337" t="b">
        <v>1</v>
      </c>
      <c r="Z337" t="s">
        <v>52</v>
      </c>
      <c r="AA337">
        <f t="shared" si="74"/>
        <v>192.08678698783666</v>
      </c>
      <c r="AB337">
        <f t="shared" si="70"/>
        <v>70.412438964843702</v>
      </c>
      <c r="AC337">
        <f t="shared" si="69"/>
        <v>146.59446188351544</v>
      </c>
      <c r="AD337">
        <f t="shared" si="75"/>
        <v>52.002675140287757</v>
      </c>
      <c r="AE337">
        <f t="shared" ca="1" si="76"/>
        <v>72.093507858572167</v>
      </c>
    </row>
    <row r="338" spans="1:31" x14ac:dyDescent="0.3">
      <c r="A338">
        <f t="shared" si="71"/>
        <v>10</v>
      </c>
      <c r="B338" s="2">
        <f t="shared" si="72"/>
        <v>31.300300000111747</v>
      </c>
      <c r="C338" s="2">
        <f t="shared" si="77"/>
        <v>2.4081199999999967</v>
      </c>
      <c r="D338" s="2">
        <f t="shared" si="73"/>
        <v>7.0705900000002657</v>
      </c>
      <c r="E338" s="2"/>
      <c r="F338">
        <v>3228.7458876000001</v>
      </c>
      <c r="G338">
        <v>185.25</v>
      </c>
      <c r="H338">
        <v>136.5</v>
      </c>
      <c r="I338">
        <v>186.48</v>
      </c>
      <c r="J338">
        <v>139.64400000000001</v>
      </c>
      <c r="K338">
        <v>188.902919999999</v>
      </c>
      <c r="L338">
        <v>105.42164</v>
      </c>
      <c r="M338">
        <v>195.379232292822</v>
      </c>
      <c r="N338">
        <v>0.1</v>
      </c>
      <c r="O338">
        <v>0</v>
      </c>
      <c r="P338">
        <v>0</v>
      </c>
      <c r="Q338">
        <v>0</v>
      </c>
      <c r="R338">
        <v>0.69974774169921805</v>
      </c>
      <c r="S338">
        <v>-8.2299110412597604E-2</v>
      </c>
      <c r="T338">
        <v>0</v>
      </c>
      <c r="U338">
        <v>160.12799999999999</v>
      </c>
      <c r="V338">
        <v>-2.4980000000000002</v>
      </c>
      <c r="W338">
        <v>0.19600000000000001</v>
      </c>
      <c r="X338">
        <v>0.75800000000000001</v>
      </c>
      <c r="Y338" t="b">
        <v>1</v>
      </c>
      <c r="Z338" t="s">
        <v>52</v>
      </c>
      <c r="AA338">
        <f t="shared" si="74"/>
        <v>192.06458086061798</v>
      </c>
      <c r="AB338">
        <f t="shared" si="70"/>
        <v>69.974774169921801</v>
      </c>
      <c r="AC338">
        <f t="shared" si="69"/>
        <v>148.7983923468546</v>
      </c>
      <c r="AD338">
        <f t="shared" si="75"/>
        <v>76.936003807995434</v>
      </c>
      <c r="AE338">
        <f t="shared" ca="1" si="76"/>
        <v>74.06129155413268</v>
      </c>
    </row>
    <row r="339" spans="1:31" x14ac:dyDescent="0.3">
      <c r="A339">
        <f t="shared" si="71"/>
        <v>10</v>
      </c>
      <c r="B339" s="2">
        <f t="shared" si="72"/>
        <v>47.145200000159093</v>
      </c>
      <c r="C339" s="2">
        <f t="shared" si="77"/>
        <v>2.3924000000000092</v>
      </c>
      <c r="D339" s="2">
        <f t="shared" si="73"/>
        <v>7.1177352000004248</v>
      </c>
      <c r="E339" s="2"/>
      <c r="F339">
        <v>3228.7930328000002</v>
      </c>
      <c r="G339">
        <v>185.25</v>
      </c>
      <c r="H339">
        <v>136.5</v>
      </c>
      <c r="I339">
        <v>185.86500000000001</v>
      </c>
      <c r="J339">
        <v>137.155</v>
      </c>
      <c r="K339">
        <v>188.70479999999901</v>
      </c>
      <c r="L339">
        <v>107.81404000000001</v>
      </c>
      <c r="M339">
        <v>198.69139973501601</v>
      </c>
      <c r="N339">
        <v>0.1</v>
      </c>
      <c r="O339">
        <v>0</v>
      </c>
      <c r="P339">
        <v>0</v>
      </c>
      <c r="Q339">
        <v>0</v>
      </c>
      <c r="R339">
        <v>0.69974774169921805</v>
      </c>
      <c r="S339">
        <v>-8.2299110412597604E-2</v>
      </c>
      <c r="T339">
        <v>0</v>
      </c>
      <c r="U339">
        <v>160.12799999999999</v>
      </c>
      <c r="V339">
        <v>-2.6320000000000001</v>
      </c>
      <c r="W339">
        <v>0.19600000000000001</v>
      </c>
      <c r="X339">
        <v>0.75800000000000001</v>
      </c>
      <c r="Y339" t="b">
        <v>1</v>
      </c>
      <c r="Z339" t="s">
        <v>52</v>
      </c>
      <c r="AA339">
        <f t="shared" si="74"/>
        <v>192.0399256379967</v>
      </c>
      <c r="AB339">
        <f t="shared" si="70"/>
        <v>69.974774169921801</v>
      </c>
      <c r="AC339">
        <f t="shared" si="69"/>
        <v>152.09736707006152</v>
      </c>
      <c r="AD339">
        <f t="shared" si="75"/>
        <v>50.745356897243745</v>
      </c>
      <c r="AE339">
        <f t="shared" ca="1" si="76"/>
        <v>73.69144595648342</v>
      </c>
    </row>
    <row r="340" spans="1:31" x14ac:dyDescent="0.3">
      <c r="A340">
        <f t="shared" si="71"/>
        <v>10</v>
      </c>
      <c r="B340" s="2">
        <f t="shared" si="72"/>
        <v>32.044499999756226</v>
      </c>
      <c r="C340" s="2">
        <f t="shared" si="77"/>
        <v>2.3609599999999915</v>
      </c>
      <c r="D340" s="2">
        <f t="shared" si="73"/>
        <v>7.149779700000181</v>
      </c>
      <c r="E340" s="2"/>
      <c r="F340">
        <v>3228.8250773</v>
      </c>
      <c r="G340">
        <v>185.25</v>
      </c>
      <c r="H340">
        <v>136.5</v>
      </c>
      <c r="I340">
        <v>185.49600000000001</v>
      </c>
      <c r="J340">
        <v>134.535</v>
      </c>
      <c r="K340">
        <v>188.496839999999</v>
      </c>
      <c r="L340">
        <v>110.175</v>
      </c>
      <c r="M340">
        <v>201.657851013347</v>
      </c>
      <c r="N340">
        <v>0.1</v>
      </c>
      <c r="O340">
        <v>0</v>
      </c>
      <c r="P340">
        <v>0</v>
      </c>
      <c r="Q340">
        <v>0</v>
      </c>
      <c r="R340">
        <v>0.70006134033203105</v>
      </c>
      <c r="S340">
        <v>-9.2050003051757798E-2</v>
      </c>
      <c r="T340">
        <v>0</v>
      </c>
      <c r="U340">
        <v>159.91499999999999</v>
      </c>
      <c r="V340">
        <v>-2.6320000000000001</v>
      </c>
      <c r="W340">
        <v>0.14099999999999999</v>
      </c>
      <c r="X340">
        <v>0.76</v>
      </c>
      <c r="Y340" t="b">
        <v>1</v>
      </c>
      <c r="Z340" t="s">
        <v>52</v>
      </c>
      <c r="AA340">
        <f t="shared" si="74"/>
        <v>192.01404586767404</v>
      </c>
      <c r="AB340">
        <f t="shared" si="70"/>
        <v>70.006134033203111</v>
      </c>
      <c r="AC340">
        <f t="shared" si="69"/>
        <v>154.33967372093252</v>
      </c>
      <c r="AD340">
        <f t="shared" si="75"/>
        <v>73.677542168482958</v>
      </c>
      <c r="AE340">
        <f t="shared" ca="1" si="76"/>
        <v>75.870198280274892</v>
      </c>
    </row>
    <row r="341" spans="1:31" x14ac:dyDescent="0.3">
      <c r="A341">
        <f t="shared" si="71"/>
        <v>10</v>
      </c>
      <c r="B341" s="2">
        <f t="shared" si="72"/>
        <v>31.259599999884813</v>
      </c>
      <c r="C341" s="2">
        <f t="shared" si="77"/>
        <v>2.4731199999989997</v>
      </c>
      <c r="D341" s="2">
        <f t="shared" si="73"/>
        <v>7.1810393000000659</v>
      </c>
      <c r="E341" s="2"/>
      <c r="F341">
        <v>3228.8563368999999</v>
      </c>
      <c r="G341">
        <v>191.75</v>
      </c>
      <c r="H341">
        <v>143</v>
      </c>
      <c r="I341">
        <v>184.86199999999999</v>
      </c>
      <c r="J341">
        <v>145.489</v>
      </c>
      <c r="K341">
        <v>188.27024</v>
      </c>
      <c r="L341">
        <v>112.648119999999</v>
      </c>
      <c r="M341">
        <v>204.706739527726</v>
      </c>
      <c r="N341">
        <v>0.1</v>
      </c>
      <c r="O341">
        <v>0</v>
      </c>
      <c r="P341">
        <v>0</v>
      </c>
      <c r="Q341">
        <v>0</v>
      </c>
      <c r="R341">
        <v>0.70006134033203105</v>
      </c>
      <c r="S341">
        <v>-9.2050003051757798E-2</v>
      </c>
      <c r="T341">
        <v>0</v>
      </c>
      <c r="U341">
        <v>159.91499999999999</v>
      </c>
      <c r="V341">
        <v>-2.7229999999999999</v>
      </c>
      <c r="W341">
        <v>0.14099999999999999</v>
      </c>
      <c r="X341">
        <v>0.76</v>
      </c>
      <c r="Y341" t="b">
        <v>1</v>
      </c>
      <c r="Z341" t="s">
        <v>52</v>
      </c>
      <c r="AA341">
        <f t="shared" si="74"/>
        <v>191.9858464256896</v>
      </c>
      <c r="AB341">
        <f t="shared" si="70"/>
        <v>70.006134033203111</v>
      </c>
      <c r="AC341">
        <f t="shared" si="69"/>
        <v>156.52803746834877</v>
      </c>
      <c r="AD341">
        <f t="shared" si="75"/>
        <v>79.115535707690199</v>
      </c>
      <c r="AE341">
        <f t="shared" ca="1" si="76"/>
        <v>75.953329529015193</v>
      </c>
    </row>
    <row r="342" spans="1:31" x14ac:dyDescent="0.3">
      <c r="A342">
        <f t="shared" si="71"/>
        <v>10</v>
      </c>
      <c r="B342" s="2">
        <f t="shared" si="72"/>
        <v>31.077600000116945</v>
      </c>
      <c r="C342" s="2">
        <f t="shared" si="77"/>
        <v>2.3190400000000011</v>
      </c>
      <c r="D342" s="2">
        <f t="shared" si="73"/>
        <v>7.2121169000001828</v>
      </c>
      <c r="E342" s="2"/>
      <c r="F342">
        <v>3228.8874145</v>
      </c>
      <c r="G342">
        <v>185.25</v>
      </c>
      <c r="H342">
        <v>146.25</v>
      </c>
      <c r="I342">
        <v>184.512</v>
      </c>
      <c r="J342">
        <v>149.78700000000001</v>
      </c>
      <c r="K342">
        <v>188.03767999999999</v>
      </c>
      <c r="L342">
        <v>114.967159999999</v>
      </c>
      <c r="M342">
        <v>207.58398218539401</v>
      </c>
      <c r="N342">
        <v>0.1</v>
      </c>
      <c r="O342">
        <v>0</v>
      </c>
      <c r="P342">
        <v>0</v>
      </c>
      <c r="Q342">
        <v>0</v>
      </c>
      <c r="R342">
        <v>0.70603729248046798</v>
      </c>
      <c r="S342">
        <v>-9.0188354492187497E-2</v>
      </c>
      <c r="T342">
        <v>0</v>
      </c>
      <c r="U342">
        <v>159.85300000000001</v>
      </c>
      <c r="V342">
        <v>-2.7229999999999999</v>
      </c>
      <c r="W342">
        <v>3.5999999999999997E-2</v>
      </c>
      <c r="X342">
        <v>0.76200000000000001</v>
      </c>
      <c r="Y342" t="b">
        <v>1</v>
      </c>
      <c r="Z342" t="s">
        <v>52</v>
      </c>
      <c r="AA342">
        <f t="shared" si="74"/>
        <v>191.95690528611357</v>
      </c>
      <c r="AB342">
        <f t="shared" si="70"/>
        <v>70.603729248046804</v>
      </c>
      <c r="AC342">
        <f t="shared" si="69"/>
        <v>158.70366009938724</v>
      </c>
      <c r="AD342">
        <f t="shared" si="75"/>
        <v>74.620948850338337</v>
      </c>
      <c r="AE342">
        <f t="shared" ca="1" si="76"/>
        <v>74.052938075614122</v>
      </c>
    </row>
    <row r="343" spans="1:31" x14ac:dyDescent="0.3">
      <c r="A343">
        <f t="shared" si="71"/>
        <v>10</v>
      </c>
      <c r="B343" s="2">
        <f t="shared" si="72"/>
        <v>30.642400000033376</v>
      </c>
      <c r="C343" s="2">
        <f t="shared" si="77"/>
        <v>2.1794857142860025</v>
      </c>
      <c r="D343" s="2">
        <f t="shared" si="73"/>
        <v>7.2427593000002162</v>
      </c>
      <c r="E343" s="2"/>
      <c r="F343">
        <v>3228.9180569</v>
      </c>
      <c r="G343">
        <v>186.642857142857</v>
      </c>
      <c r="H343">
        <v>144.85714285714201</v>
      </c>
      <c r="I343">
        <v>184.059857142857</v>
      </c>
      <c r="J343">
        <v>144.20214285714201</v>
      </c>
      <c r="K343">
        <v>187.79195428571401</v>
      </c>
      <c r="L343">
        <v>117.146645714285</v>
      </c>
      <c r="M343">
        <v>210.300320513549</v>
      </c>
      <c r="N343">
        <v>0.1</v>
      </c>
      <c r="O343">
        <v>0</v>
      </c>
      <c r="P343">
        <v>0</v>
      </c>
      <c r="Q343">
        <v>0</v>
      </c>
      <c r="R343">
        <v>0.70603729248046798</v>
      </c>
      <c r="S343">
        <v>-9.0188354492187497E-2</v>
      </c>
      <c r="T343">
        <v>0</v>
      </c>
      <c r="U343">
        <v>159.85300000000001</v>
      </c>
      <c r="V343">
        <v>-2.6789999999999998</v>
      </c>
      <c r="W343">
        <v>3.5999999999999997E-2</v>
      </c>
      <c r="X343">
        <v>0.76200000000000001</v>
      </c>
      <c r="Y343" t="b">
        <v>1</v>
      </c>
      <c r="Z343" t="s">
        <v>52</v>
      </c>
      <c r="AA343">
        <f t="shared" si="74"/>
        <v>191.92632572731338</v>
      </c>
      <c r="AB343">
        <f t="shared" si="70"/>
        <v>70.603729248046804</v>
      </c>
      <c r="AC343">
        <f t="shared" si="69"/>
        <v>160.86712781249994</v>
      </c>
      <c r="AD343">
        <f t="shared" si="75"/>
        <v>71.126469019516378</v>
      </c>
      <c r="AE343">
        <f t="shared" ca="1" si="76"/>
        <v>71.431724503094614</v>
      </c>
    </row>
    <row r="344" spans="1:31" x14ac:dyDescent="0.3">
      <c r="A344">
        <f t="shared" si="71"/>
        <v>10</v>
      </c>
      <c r="B344" s="2">
        <f t="shared" si="72"/>
        <v>30.293400000118709</v>
      </c>
      <c r="C344" s="2">
        <f t="shared" si="77"/>
        <v>2.2718799999999959</v>
      </c>
      <c r="D344" s="2">
        <f t="shared" si="73"/>
        <v>7.2730527000003349</v>
      </c>
      <c r="E344" s="2"/>
      <c r="F344">
        <v>3228.9483503000001</v>
      </c>
      <c r="G344">
        <v>185.25</v>
      </c>
      <c r="H344">
        <v>146.25</v>
      </c>
      <c r="I344">
        <v>183.774</v>
      </c>
      <c r="J344">
        <v>144.416</v>
      </c>
      <c r="K344">
        <v>187.54463428571401</v>
      </c>
      <c r="L344">
        <v>119.418525714285</v>
      </c>
      <c r="M344">
        <v>213.090052467687</v>
      </c>
      <c r="N344">
        <v>0.1</v>
      </c>
      <c r="O344">
        <v>0</v>
      </c>
      <c r="P344">
        <v>0</v>
      </c>
      <c r="Q344">
        <v>0</v>
      </c>
      <c r="R344">
        <v>0.707997863769531</v>
      </c>
      <c r="S344">
        <v>-8.3274505615234307E-2</v>
      </c>
      <c r="T344">
        <v>0</v>
      </c>
      <c r="U344">
        <v>159.744</v>
      </c>
      <c r="V344">
        <v>-2.6789999999999998</v>
      </c>
      <c r="W344">
        <v>-5.7000000000000002E-2</v>
      </c>
      <c r="X344">
        <v>0.76300000000000001</v>
      </c>
      <c r="Y344" t="b">
        <v>1</v>
      </c>
      <c r="Z344" t="s">
        <v>52</v>
      </c>
      <c r="AA344">
        <f t="shared" si="74"/>
        <v>191.8955477661853</v>
      </c>
      <c r="AB344">
        <f t="shared" si="70"/>
        <v>70.799786376953094</v>
      </c>
      <c r="AC344">
        <f t="shared" si="69"/>
        <v>163.00595482411111</v>
      </c>
      <c r="AD344">
        <f t="shared" si="75"/>
        <v>74.995873688364242</v>
      </c>
      <c r="AE344">
        <f t="shared" ca="1" si="76"/>
        <v>74.047116460898081</v>
      </c>
    </row>
    <row r="345" spans="1:31" x14ac:dyDescent="0.3">
      <c r="A345">
        <f t="shared" si="71"/>
        <v>10</v>
      </c>
      <c r="B345" s="2">
        <f t="shared" si="72"/>
        <v>31.595399999787332</v>
      </c>
      <c r="C345" s="2">
        <f t="shared" si="77"/>
        <v>2.2561600000000084</v>
      </c>
      <c r="D345" s="2">
        <f t="shared" si="73"/>
        <v>7.3046481000001222</v>
      </c>
      <c r="E345" s="2"/>
      <c r="F345">
        <v>3228.9799456999999</v>
      </c>
      <c r="G345">
        <v>185.25</v>
      </c>
      <c r="H345">
        <v>146.25</v>
      </c>
      <c r="I345">
        <v>183.405</v>
      </c>
      <c r="J345">
        <v>141.66499999999999</v>
      </c>
      <c r="K345">
        <v>187.29731428571401</v>
      </c>
      <c r="L345">
        <v>121.674685714285</v>
      </c>
      <c r="M345">
        <v>215.873006711427</v>
      </c>
      <c r="N345">
        <v>0.1</v>
      </c>
      <c r="O345">
        <v>0</v>
      </c>
      <c r="P345">
        <v>0</v>
      </c>
      <c r="Q345">
        <v>0</v>
      </c>
      <c r="R345">
        <v>0.707997863769531</v>
      </c>
      <c r="S345">
        <v>-8.3274505615234307E-2</v>
      </c>
      <c r="T345">
        <v>0</v>
      </c>
      <c r="U345">
        <v>159.744</v>
      </c>
      <c r="V345">
        <v>-2.6989999999999998</v>
      </c>
      <c r="W345">
        <v>-5.7000000000000002E-2</v>
      </c>
      <c r="X345">
        <v>0.76300000000000001</v>
      </c>
      <c r="Y345" t="b">
        <v>1</v>
      </c>
      <c r="Z345" t="s">
        <v>52</v>
      </c>
      <c r="AA345">
        <f t="shared" si="74"/>
        <v>191.86476980505722</v>
      </c>
      <c r="AB345">
        <f t="shared" si="70"/>
        <v>70.799786376953094</v>
      </c>
      <c r="AC345">
        <f t="shared" si="69"/>
        <v>165.24290239459043</v>
      </c>
      <c r="AD345">
        <f t="shared" si="75"/>
        <v>71.40786317043603</v>
      </c>
      <c r="AE345">
        <f t="shared" ca="1" si="76"/>
        <v>73.87214373075247</v>
      </c>
    </row>
    <row r="346" spans="1:31" x14ac:dyDescent="0.3">
      <c r="A346">
        <f t="shared" si="71"/>
        <v>10</v>
      </c>
      <c r="B346" s="2">
        <f t="shared" si="72"/>
        <v>31.774699999914446</v>
      </c>
      <c r="C346" s="2">
        <f t="shared" si="77"/>
        <v>3.0601199999999977</v>
      </c>
      <c r="D346" s="2">
        <f t="shared" si="73"/>
        <v>7.3364228000000367</v>
      </c>
      <c r="E346" s="2"/>
      <c r="F346">
        <v>3229.0117203999998</v>
      </c>
      <c r="G346">
        <v>188.5</v>
      </c>
      <c r="H346">
        <v>156</v>
      </c>
      <c r="I346">
        <v>182.965</v>
      </c>
      <c r="J346">
        <v>159.14400000000001</v>
      </c>
      <c r="K346">
        <v>187.04223428571399</v>
      </c>
      <c r="L346">
        <v>124.734805714285</v>
      </c>
      <c r="M346">
        <v>219.449540562648</v>
      </c>
      <c r="N346">
        <v>0.1</v>
      </c>
      <c r="O346">
        <v>0</v>
      </c>
      <c r="P346">
        <v>0</v>
      </c>
      <c r="Q346">
        <v>0</v>
      </c>
      <c r="R346">
        <v>0.72976989746093701</v>
      </c>
      <c r="S346">
        <v>-6.6205764770507797E-2</v>
      </c>
      <c r="T346">
        <v>0</v>
      </c>
      <c r="U346">
        <v>159.67599999999999</v>
      </c>
      <c r="V346">
        <v>-2.6989999999999998</v>
      </c>
      <c r="W346">
        <v>-0.21199999999999999</v>
      </c>
      <c r="X346">
        <v>0.76600000000000001</v>
      </c>
      <c r="Y346" t="b">
        <v>1</v>
      </c>
      <c r="Z346" t="s">
        <v>52</v>
      </c>
      <c r="AA346">
        <f t="shared" si="74"/>
        <v>191.83302614370939</v>
      </c>
      <c r="AB346">
        <f t="shared" si="70"/>
        <v>72.976989746093707</v>
      </c>
      <c r="AC346">
        <f t="shared" si="69"/>
        <v>167.49254436677614</v>
      </c>
      <c r="AD346">
        <f t="shared" si="75"/>
        <v>96.306810135366732</v>
      </c>
      <c r="AE346">
        <f t="shared" ca="1" si="76"/>
        <v>73.928191733929665</v>
      </c>
    </row>
    <row r="347" spans="1:31" x14ac:dyDescent="0.3">
      <c r="A347">
        <f t="shared" si="71"/>
        <v>10</v>
      </c>
      <c r="B347" s="2">
        <f t="shared" si="72"/>
        <v>30.744200000299315</v>
      </c>
      <c r="C347" s="2">
        <f t="shared" si="77"/>
        <v>2.2037600000000026</v>
      </c>
      <c r="D347" s="2">
        <f t="shared" si="73"/>
        <v>7.367167000000336</v>
      </c>
      <c r="E347" s="2"/>
      <c r="F347">
        <v>3229.0424646000001</v>
      </c>
      <c r="G347">
        <v>175.5</v>
      </c>
      <c r="H347">
        <v>156</v>
      </c>
      <c r="I347">
        <v>182.26499999999999</v>
      </c>
      <c r="J347">
        <v>155.214</v>
      </c>
      <c r="K347">
        <v>186.768994285714</v>
      </c>
      <c r="L347">
        <v>126.93856571428501</v>
      </c>
      <c r="M347">
        <v>222.14052279524299</v>
      </c>
      <c r="N347">
        <v>0.1</v>
      </c>
      <c r="O347">
        <v>0</v>
      </c>
      <c r="P347">
        <v>0</v>
      </c>
      <c r="Q347">
        <v>0</v>
      </c>
      <c r="R347">
        <v>0.72976989746093701</v>
      </c>
      <c r="S347">
        <v>-6.6205764770507797E-2</v>
      </c>
      <c r="T347">
        <v>0</v>
      </c>
      <c r="U347">
        <v>159.67599999999999</v>
      </c>
      <c r="V347">
        <v>-2.8039999999999998</v>
      </c>
      <c r="W347">
        <v>-0.21199999999999999</v>
      </c>
      <c r="X347">
        <v>0.76600000000000001</v>
      </c>
      <c r="Y347" t="b">
        <v>1</v>
      </c>
      <c r="Z347" t="s">
        <v>52</v>
      </c>
      <c r="AA347">
        <f t="shared" si="74"/>
        <v>191.79902254473382</v>
      </c>
      <c r="AB347">
        <f t="shared" si="70"/>
        <v>72.976989746093707</v>
      </c>
      <c r="AC347">
        <f t="shared" si="69"/>
        <v>169.73616353494984</v>
      </c>
      <c r="AD347">
        <f t="shared" si="75"/>
        <v>71.680512095892809</v>
      </c>
      <c r="AE347">
        <f t="shared" ca="1" si="76"/>
        <v>73.50572186408877</v>
      </c>
    </row>
    <row r="348" spans="1:31" x14ac:dyDescent="0.3">
      <c r="A348">
        <f t="shared" si="71"/>
        <v>10</v>
      </c>
      <c r="B348" s="2">
        <f t="shared" si="72"/>
        <v>31.02069999977175</v>
      </c>
      <c r="C348" s="2">
        <f t="shared" si="77"/>
        <v>2.2718799999999817</v>
      </c>
      <c r="D348" s="2">
        <f t="shared" si="73"/>
        <v>7.3981877000001077</v>
      </c>
      <c r="E348" s="2"/>
      <c r="F348">
        <v>3229.0734852999999</v>
      </c>
      <c r="G348">
        <v>175.5</v>
      </c>
      <c r="H348">
        <v>156</v>
      </c>
      <c r="I348">
        <v>182.142</v>
      </c>
      <c r="J348">
        <v>153.904</v>
      </c>
      <c r="K348">
        <v>186.48591428571399</v>
      </c>
      <c r="L348">
        <v>129.21044571428499</v>
      </c>
      <c r="M348">
        <v>224.891910968085</v>
      </c>
      <c r="N348">
        <v>0.1</v>
      </c>
      <c r="O348">
        <v>0</v>
      </c>
      <c r="P348">
        <v>0</v>
      </c>
      <c r="Q348">
        <v>0</v>
      </c>
      <c r="R348">
        <v>0.76586566162109304</v>
      </c>
      <c r="S348">
        <v>-6.5607521057128901E-2</v>
      </c>
      <c r="T348">
        <v>0</v>
      </c>
      <c r="U348">
        <v>159.697</v>
      </c>
      <c r="V348">
        <v>-2.8039999999999998</v>
      </c>
      <c r="W348">
        <v>-0.438</v>
      </c>
      <c r="X348">
        <v>0.76900000000000002</v>
      </c>
      <c r="Y348" t="b">
        <v>1</v>
      </c>
      <c r="Z348" t="s">
        <v>52</v>
      </c>
      <c r="AA348">
        <f t="shared" si="74"/>
        <v>191.76379439805689</v>
      </c>
      <c r="AB348">
        <f t="shared" si="70"/>
        <v>76.586566162109307</v>
      </c>
      <c r="AC348">
        <f t="shared" si="69"/>
        <v>171.99996084074982</v>
      </c>
      <c r="AD348">
        <f t="shared" si="75"/>
        <v>73.237547831502781</v>
      </c>
      <c r="AE348">
        <f t="shared" ca="1" si="76"/>
        <v>75.975200328820421</v>
      </c>
    </row>
    <row r="349" spans="1:31" x14ac:dyDescent="0.3">
      <c r="A349">
        <f t="shared" si="71"/>
        <v>10</v>
      </c>
      <c r="B349" s="2">
        <f t="shared" si="72"/>
        <v>31.538799999907496</v>
      </c>
      <c r="C349" s="2">
        <f t="shared" si="77"/>
        <v>2.2876000000000261</v>
      </c>
      <c r="D349" s="2">
        <f t="shared" si="73"/>
        <v>7.4297265000000152</v>
      </c>
      <c r="E349" s="2"/>
      <c r="F349">
        <v>3229.1050240999998</v>
      </c>
      <c r="G349">
        <v>175.5</v>
      </c>
      <c r="H349">
        <v>156</v>
      </c>
      <c r="I349">
        <v>181.773</v>
      </c>
      <c r="J349">
        <v>151.15299999999999</v>
      </c>
      <c r="K349">
        <v>186.18315428571401</v>
      </c>
      <c r="L349">
        <v>131.49804571428501</v>
      </c>
      <c r="M349">
        <v>227.65488022410099</v>
      </c>
      <c r="N349">
        <v>0.1</v>
      </c>
      <c r="O349">
        <v>0</v>
      </c>
      <c r="P349">
        <v>0</v>
      </c>
      <c r="Q349">
        <v>0</v>
      </c>
      <c r="R349">
        <v>0.76586566162109304</v>
      </c>
      <c r="S349">
        <v>-6.5607521057128901E-2</v>
      </c>
      <c r="T349">
        <v>0</v>
      </c>
      <c r="U349">
        <v>159.697</v>
      </c>
      <c r="V349">
        <v>-2.85</v>
      </c>
      <c r="W349">
        <v>-0.438</v>
      </c>
      <c r="X349">
        <v>0.76900000000000002</v>
      </c>
      <c r="Y349" t="b">
        <v>1</v>
      </c>
      <c r="Z349" t="s">
        <v>52</v>
      </c>
      <c r="AA349">
        <f t="shared" si="74"/>
        <v>191.72611715597725</v>
      </c>
      <c r="AB349">
        <f t="shared" si="70"/>
        <v>76.586566162109307</v>
      </c>
      <c r="AC349">
        <f t="shared" si="69"/>
        <v>174.41540923361626</v>
      </c>
      <c r="AD349">
        <f t="shared" si="75"/>
        <v>72.532880135158464</v>
      </c>
      <c r="AE349">
        <f t="shared" ca="1" si="76"/>
        <v>73.612149432799583</v>
      </c>
    </row>
    <row r="350" spans="1:31" x14ac:dyDescent="0.3">
      <c r="A350">
        <f t="shared" si="71"/>
        <v>10</v>
      </c>
      <c r="B350" s="2">
        <f t="shared" si="72"/>
        <v>30.983699999978853</v>
      </c>
      <c r="C350" s="2">
        <f t="shared" si="77"/>
        <v>2.3085599999999999</v>
      </c>
      <c r="D350" s="2">
        <f t="shared" si="73"/>
        <v>7.4607101999999941</v>
      </c>
      <c r="E350" s="2"/>
      <c r="F350">
        <v>3229.1360077999998</v>
      </c>
      <c r="G350">
        <v>175.5</v>
      </c>
      <c r="H350">
        <v>165.75</v>
      </c>
      <c r="I350">
        <v>181.28100000000001</v>
      </c>
      <c r="J350">
        <v>168.89400000000001</v>
      </c>
      <c r="K350">
        <v>185.86071428571401</v>
      </c>
      <c r="L350">
        <v>133.80660571428501</v>
      </c>
      <c r="M350">
        <v>230.41881230606</v>
      </c>
      <c r="N350">
        <v>0.1</v>
      </c>
      <c r="O350">
        <v>0</v>
      </c>
      <c r="P350">
        <v>0</v>
      </c>
      <c r="Q350">
        <v>0</v>
      </c>
      <c r="R350">
        <v>0.69989739990234301</v>
      </c>
      <c r="S350">
        <v>-6.6954994201660095E-2</v>
      </c>
      <c r="T350">
        <v>0</v>
      </c>
      <c r="U350">
        <v>159.83199999999999</v>
      </c>
      <c r="V350">
        <v>-2.85</v>
      </c>
      <c r="W350">
        <v>-0.78300000000000003</v>
      </c>
      <c r="X350">
        <v>0.77100000000000002</v>
      </c>
      <c r="Y350" t="b">
        <v>1</v>
      </c>
      <c r="Z350" t="s">
        <v>52</v>
      </c>
      <c r="AA350">
        <f t="shared" si="74"/>
        <v>191.6859908184949</v>
      </c>
      <c r="AB350">
        <f t="shared" si="70"/>
        <v>69.989739990234298</v>
      </c>
      <c r="AC350">
        <f t="shared" si="69"/>
        <v>176.78834442361159</v>
      </c>
      <c r="AD350">
        <f t="shared" si="75"/>
        <v>74.508854655886012</v>
      </c>
      <c r="AE350">
        <f t="shared" ca="1" si="76"/>
        <v>73.732068243648598</v>
      </c>
    </row>
    <row r="351" spans="1:31" x14ac:dyDescent="0.3">
      <c r="A351">
        <f t="shared" si="71"/>
        <v>10</v>
      </c>
      <c r="B351" s="2">
        <f t="shared" si="72"/>
        <v>31.499400000029709</v>
      </c>
      <c r="C351" s="2">
        <f t="shared" si="77"/>
        <v>1.8934799999999825</v>
      </c>
      <c r="D351" s="2">
        <f t="shared" si="73"/>
        <v>7.4922096000000238</v>
      </c>
      <c r="E351" s="2"/>
      <c r="F351">
        <v>3229.1675071999998</v>
      </c>
      <c r="G351">
        <v>180.375</v>
      </c>
      <c r="H351">
        <v>160.875</v>
      </c>
      <c r="I351">
        <v>180.99</v>
      </c>
      <c r="J351">
        <v>155.63499999999999</v>
      </c>
      <c r="K351">
        <v>185.53155428571401</v>
      </c>
      <c r="L351">
        <v>135.700085714285</v>
      </c>
      <c r="M351">
        <v>232.76372217464399</v>
      </c>
      <c r="N351">
        <v>0.1</v>
      </c>
      <c r="O351">
        <v>0</v>
      </c>
      <c r="P351">
        <v>0</v>
      </c>
      <c r="Q351">
        <v>0</v>
      </c>
      <c r="R351">
        <v>0.69989739990234301</v>
      </c>
      <c r="S351">
        <v>-6.6954994201660095E-2</v>
      </c>
      <c r="T351">
        <v>0</v>
      </c>
      <c r="U351">
        <v>159.83199999999999</v>
      </c>
      <c r="V351">
        <v>-2.883</v>
      </c>
      <c r="W351">
        <v>-0.78300000000000003</v>
      </c>
      <c r="X351">
        <v>0.77100000000000002</v>
      </c>
      <c r="Y351" t="b">
        <v>1</v>
      </c>
      <c r="Z351" t="s">
        <v>52</v>
      </c>
      <c r="AA351">
        <f t="shared" si="74"/>
        <v>191.64502820453356</v>
      </c>
      <c r="AB351">
        <f t="shared" si="70"/>
        <v>69.989739990234298</v>
      </c>
      <c r="AC351">
        <f t="shared" si="69"/>
        <v>178.99297923946204</v>
      </c>
      <c r="AD351">
        <f t="shared" si="75"/>
        <v>60.111621173679389</v>
      </c>
      <c r="AE351">
        <f t="shared" ca="1" si="76"/>
        <v>70.149244740592763</v>
      </c>
    </row>
    <row r="352" spans="1:31" x14ac:dyDescent="0.3">
      <c r="A352">
        <f t="shared" si="71"/>
        <v>10</v>
      </c>
      <c r="B352" s="2">
        <f t="shared" si="72"/>
        <v>46.389900000121997</v>
      </c>
      <c r="C352" s="2">
        <f t="shared" si="77"/>
        <v>2.245679999999993</v>
      </c>
      <c r="D352" s="2">
        <f t="shared" si="73"/>
        <v>7.5385995000001458</v>
      </c>
      <c r="E352" s="2"/>
      <c r="F352">
        <v>3229.2138970999999</v>
      </c>
      <c r="G352">
        <v>175.5</v>
      </c>
      <c r="H352">
        <v>165.75</v>
      </c>
      <c r="I352">
        <v>180.17400000000001</v>
      </c>
      <c r="J352">
        <v>161.68899999999999</v>
      </c>
      <c r="K352">
        <v>185.17959428571399</v>
      </c>
      <c r="L352">
        <v>137.94576571428499</v>
      </c>
      <c r="M352">
        <v>235.653691336609</v>
      </c>
      <c r="N352">
        <v>0.1</v>
      </c>
      <c r="O352">
        <v>0</v>
      </c>
      <c r="P352">
        <v>0</v>
      </c>
      <c r="Q352">
        <v>0</v>
      </c>
      <c r="R352">
        <v>0.66568493652343697</v>
      </c>
      <c r="S352">
        <v>-9.4758941650390602E-2</v>
      </c>
      <c r="T352">
        <v>0</v>
      </c>
      <c r="U352">
        <v>159.846</v>
      </c>
      <c r="V352">
        <v>-2.883</v>
      </c>
      <c r="W352">
        <v>-1.268</v>
      </c>
      <c r="X352">
        <v>0.78</v>
      </c>
      <c r="Y352" t="b">
        <v>1</v>
      </c>
      <c r="Z352" t="s">
        <v>52</v>
      </c>
      <c r="AA352">
        <f t="shared" si="74"/>
        <v>191.60122822394712</v>
      </c>
      <c r="AB352">
        <f t="shared" si="70"/>
        <v>66.56849365234369</v>
      </c>
      <c r="AC352">
        <f t="shared" si="69"/>
        <v>182.23979627864355</v>
      </c>
      <c r="AD352">
        <f t="shared" si="75"/>
        <v>48.408813125143347</v>
      </c>
      <c r="AE352">
        <f t="shared" ca="1" si="76"/>
        <v>71.403947686456931</v>
      </c>
    </row>
    <row r="353" spans="1:31" x14ac:dyDescent="0.3">
      <c r="A353">
        <f t="shared" si="71"/>
        <v>10</v>
      </c>
      <c r="B353" s="2">
        <f t="shared" si="72"/>
        <v>31.456700000035198</v>
      </c>
      <c r="C353" s="2">
        <f t="shared" si="77"/>
        <v>3.0601200000000119</v>
      </c>
      <c r="D353" s="2">
        <f t="shared" si="73"/>
        <v>7.570056200000181</v>
      </c>
      <c r="E353" s="2"/>
      <c r="F353">
        <v>3229.2453538</v>
      </c>
      <c r="G353">
        <v>175.5</v>
      </c>
      <c r="H353">
        <v>175.5</v>
      </c>
      <c r="I353">
        <v>179.559</v>
      </c>
      <c r="J353">
        <v>179.43</v>
      </c>
      <c r="K353">
        <v>184.807954285714</v>
      </c>
      <c r="L353">
        <v>141.005885714285</v>
      </c>
      <c r="M353">
        <v>239.13718131901501</v>
      </c>
      <c r="N353">
        <v>0.1</v>
      </c>
      <c r="O353">
        <v>0</v>
      </c>
      <c r="P353">
        <v>0</v>
      </c>
      <c r="Q353">
        <v>0</v>
      </c>
      <c r="R353">
        <v>0.66568493652343697</v>
      </c>
      <c r="S353">
        <v>-9.4758941650390602E-2</v>
      </c>
      <c r="T353">
        <v>0</v>
      </c>
      <c r="U353">
        <v>159.846</v>
      </c>
      <c r="V353">
        <v>-2.7919999999999998</v>
      </c>
      <c r="W353">
        <v>-1.268</v>
      </c>
      <c r="X353">
        <v>0.78</v>
      </c>
      <c r="Y353" t="b">
        <v>1</v>
      </c>
      <c r="Z353" t="s">
        <v>52</v>
      </c>
      <c r="AA353">
        <f t="shared" si="74"/>
        <v>191.55497914795797</v>
      </c>
      <c r="AB353">
        <f t="shared" si="70"/>
        <v>66.56849365234369</v>
      </c>
      <c r="AC353">
        <f t="shared" si="69"/>
        <v>184.33382141291958</v>
      </c>
      <c r="AD353">
        <f t="shared" si="75"/>
        <v>97.280388597551166</v>
      </c>
      <c r="AE353">
        <f t="shared" ca="1" si="76"/>
        <v>76.954868951124695</v>
      </c>
    </row>
    <row r="354" spans="1:31" x14ac:dyDescent="0.3">
      <c r="A354">
        <f t="shared" si="71"/>
        <v>10</v>
      </c>
      <c r="B354" s="2">
        <f t="shared" si="72"/>
        <v>30.730899999980466</v>
      </c>
      <c r="C354" s="2">
        <f t="shared" si="77"/>
        <v>2.2509200000000078</v>
      </c>
      <c r="D354" s="2">
        <f t="shared" si="73"/>
        <v>7.6007871000001614</v>
      </c>
      <c r="E354" s="2"/>
      <c r="F354">
        <v>3229.2760847</v>
      </c>
      <c r="G354">
        <v>175.5</v>
      </c>
      <c r="H354">
        <v>175.5</v>
      </c>
      <c r="I354">
        <v>179.19</v>
      </c>
      <c r="J354">
        <v>176.679</v>
      </c>
      <c r="K354">
        <v>184.42647428571399</v>
      </c>
      <c r="L354">
        <v>143.25680571428501</v>
      </c>
      <c r="M354">
        <v>241.79145676174201</v>
      </c>
      <c r="N354">
        <v>0.1</v>
      </c>
      <c r="O354">
        <v>0</v>
      </c>
      <c r="P354">
        <v>0</v>
      </c>
      <c r="Q354">
        <v>0</v>
      </c>
      <c r="R354">
        <v>0.67317053222656198</v>
      </c>
      <c r="S354">
        <v>-0.12201015472412099</v>
      </c>
      <c r="T354">
        <v>0</v>
      </c>
      <c r="U354">
        <v>159.851</v>
      </c>
      <c r="V354">
        <v>-2.7919999999999998</v>
      </c>
      <c r="W354">
        <v>-1.452</v>
      </c>
      <c r="X354">
        <v>0.78300000000000003</v>
      </c>
      <c r="Y354" t="b">
        <v>1</v>
      </c>
      <c r="Z354" t="s">
        <v>52</v>
      </c>
      <c r="AA354">
        <f t="shared" si="74"/>
        <v>191.50750552426746</v>
      </c>
      <c r="AB354">
        <f t="shared" si="70"/>
        <v>67.317053222656199</v>
      </c>
      <c r="AC354">
        <f t="shared" si="69"/>
        <v>186.37953113449908</v>
      </c>
      <c r="AD354">
        <f t="shared" si="75"/>
        <v>73.246146386908251</v>
      </c>
      <c r="AE354">
        <f t="shared" ca="1" si="76"/>
        <v>71.491063783023861</v>
      </c>
    </row>
    <row r="355" spans="1:31" x14ac:dyDescent="0.3">
      <c r="A355">
        <f t="shared" si="71"/>
        <v>10</v>
      </c>
      <c r="B355" s="2">
        <f t="shared" si="72"/>
        <v>31.058099999881961</v>
      </c>
      <c r="C355" s="2">
        <f t="shared" si="77"/>
        <v>2.2351999999999919</v>
      </c>
      <c r="D355" s="2">
        <f t="shared" si="73"/>
        <v>7.6318452000000434</v>
      </c>
      <c r="E355" s="2"/>
      <c r="F355">
        <v>3229.3071427999998</v>
      </c>
      <c r="G355">
        <v>175.5</v>
      </c>
      <c r="H355">
        <v>175.5</v>
      </c>
      <c r="I355">
        <v>178.94399999999999</v>
      </c>
      <c r="J355">
        <v>174.19</v>
      </c>
      <c r="K355">
        <v>184.04499428571401</v>
      </c>
      <c r="L355">
        <v>145.492005714285</v>
      </c>
      <c r="M355">
        <v>244.42427276958901</v>
      </c>
      <c r="N355">
        <v>0.1</v>
      </c>
      <c r="O355">
        <v>0</v>
      </c>
      <c r="P355">
        <v>0</v>
      </c>
      <c r="Q355">
        <v>0</v>
      </c>
      <c r="R355">
        <v>0.67317053222656198</v>
      </c>
      <c r="S355">
        <v>-0.12201015472412099</v>
      </c>
      <c r="T355">
        <v>0</v>
      </c>
      <c r="U355">
        <v>159.851</v>
      </c>
      <c r="V355">
        <v>-2.6440000000000001</v>
      </c>
      <c r="W355">
        <v>-1.452</v>
      </c>
      <c r="X355">
        <v>0.78300000000000003</v>
      </c>
      <c r="Y355" t="b">
        <v>1</v>
      </c>
      <c r="Z355" t="s">
        <v>52</v>
      </c>
      <c r="AA355">
        <f t="shared" si="74"/>
        <v>191.46003190057692</v>
      </c>
      <c r="AB355">
        <f t="shared" ref="AB355:AB382" si="78">R355*100</f>
        <v>67.317053222656199</v>
      </c>
      <c r="AC355">
        <f t="shared" si="69"/>
        <v>188.47027090518571</v>
      </c>
      <c r="AD355">
        <f t="shared" si="75"/>
        <v>71.968343202207706</v>
      </c>
      <c r="AE355">
        <f t="shared" ca="1" si="76"/>
        <v>71.240337696754665</v>
      </c>
    </row>
    <row r="356" spans="1:31" x14ac:dyDescent="0.3">
      <c r="A356">
        <f t="shared" si="71"/>
        <v>10</v>
      </c>
      <c r="B356" s="2">
        <f t="shared" si="72"/>
        <v>30.962799999997515</v>
      </c>
      <c r="C356" s="2">
        <f t="shared" si="77"/>
        <v>2.8511200000000088</v>
      </c>
      <c r="D356" s="2">
        <f t="shared" si="73"/>
        <v>7.6628080000000409</v>
      </c>
      <c r="E356" s="2"/>
      <c r="F356">
        <v>3229.3381055999998</v>
      </c>
      <c r="G356">
        <v>179.4</v>
      </c>
      <c r="H356">
        <v>183.3</v>
      </c>
      <c r="I356">
        <v>178.29300000000001</v>
      </c>
      <c r="J356">
        <v>187.23</v>
      </c>
      <c r="K356">
        <v>183.647314285714</v>
      </c>
      <c r="L356">
        <v>148.34312571428501</v>
      </c>
      <c r="M356">
        <v>247.66199522483299</v>
      </c>
      <c r="N356">
        <v>0.1</v>
      </c>
      <c r="O356">
        <v>0</v>
      </c>
      <c r="P356">
        <v>0</v>
      </c>
      <c r="Q356">
        <v>0</v>
      </c>
      <c r="R356">
        <v>0.63644873046874995</v>
      </c>
      <c r="S356">
        <v>-0.158420669555664</v>
      </c>
      <c r="T356">
        <v>0</v>
      </c>
      <c r="U356">
        <v>159.83699999999999</v>
      </c>
      <c r="V356">
        <v>-2.6440000000000001</v>
      </c>
      <c r="W356">
        <v>-1.288</v>
      </c>
      <c r="X356">
        <v>0.78200000000000003</v>
      </c>
      <c r="Y356" t="b">
        <v>1</v>
      </c>
      <c r="Z356" t="s">
        <v>52</v>
      </c>
      <c r="AA356">
        <f t="shared" si="74"/>
        <v>191.41054225323174</v>
      </c>
      <c r="AB356">
        <f t="shared" si="78"/>
        <v>63.644873046874991</v>
      </c>
      <c r="AC356">
        <f t="shared" si="69"/>
        <v>190.55459536070799</v>
      </c>
      <c r="AD356">
        <f t="shared" si="75"/>
        <v>92.082111436957817</v>
      </c>
      <c r="AE356">
        <f t="shared" ca="1" si="76"/>
        <v>74.194852587504357</v>
      </c>
    </row>
    <row r="357" spans="1:31" x14ac:dyDescent="0.3">
      <c r="A357">
        <f t="shared" si="71"/>
        <v>10</v>
      </c>
      <c r="B357" s="2">
        <f t="shared" si="72"/>
        <v>31.045300000187126</v>
      </c>
      <c r="C357" s="2">
        <f t="shared" si="77"/>
        <v>2.9919999999999902</v>
      </c>
      <c r="D357" s="2">
        <f t="shared" si="73"/>
        <v>7.693853300000228</v>
      </c>
      <c r="E357" s="2"/>
      <c r="F357">
        <v>3229.3691509</v>
      </c>
      <c r="G357">
        <v>175.5</v>
      </c>
      <c r="H357">
        <v>185.25</v>
      </c>
      <c r="I357">
        <v>177.83699999999999</v>
      </c>
      <c r="J357">
        <v>188.65600000000001</v>
      </c>
      <c r="K357">
        <v>183.23763428571399</v>
      </c>
      <c r="L357">
        <v>151.335125714285</v>
      </c>
      <c r="M357">
        <v>251.03205286314</v>
      </c>
      <c r="N357">
        <v>0.1</v>
      </c>
      <c r="O357">
        <v>0</v>
      </c>
      <c r="P357">
        <v>0</v>
      </c>
      <c r="Q357">
        <v>0</v>
      </c>
      <c r="R357">
        <v>0.63644873046874995</v>
      </c>
      <c r="S357">
        <v>-0.158420669555664</v>
      </c>
      <c r="T357">
        <v>0</v>
      </c>
      <c r="U357">
        <v>159.83699999999999</v>
      </c>
      <c r="V357">
        <v>-2.66</v>
      </c>
      <c r="W357">
        <v>-1.288</v>
      </c>
      <c r="X357">
        <v>0.78200000000000003</v>
      </c>
      <c r="Y357" t="b">
        <v>1</v>
      </c>
      <c r="Z357" t="s">
        <v>52</v>
      </c>
      <c r="AA357">
        <f t="shared" si="74"/>
        <v>191.35955925503123</v>
      </c>
      <c r="AB357">
        <f t="shared" si="78"/>
        <v>63.644873046874991</v>
      </c>
      <c r="AC357">
        <f t="shared" si="69"/>
        <v>192.53046953792204</v>
      </c>
      <c r="AD357">
        <f t="shared" si="75"/>
        <v>96.375296743209304</v>
      </c>
      <c r="AE357">
        <f t="shared" ca="1" si="76"/>
        <v>68.243610149943123</v>
      </c>
    </row>
    <row r="358" spans="1:31" x14ac:dyDescent="0.3">
      <c r="A358">
        <f t="shared" si="71"/>
        <v>10</v>
      </c>
      <c r="B358" s="2">
        <f t="shared" si="72"/>
        <v>47.052999999777967</v>
      </c>
      <c r="C358" s="2">
        <f t="shared" si="77"/>
        <v>2.3341599999999971</v>
      </c>
      <c r="D358" s="2">
        <f t="shared" si="73"/>
        <v>7.740906300000006</v>
      </c>
      <c r="E358" s="2"/>
      <c r="F358">
        <v>3229.4162038999998</v>
      </c>
      <c r="G358">
        <v>175.5</v>
      </c>
      <c r="H358">
        <v>187.2</v>
      </c>
      <c r="I358">
        <v>177.59100000000001</v>
      </c>
      <c r="J358">
        <v>190.08199999999999</v>
      </c>
      <c r="K358">
        <v>182.82303428571399</v>
      </c>
      <c r="L358">
        <v>153.669285714285</v>
      </c>
      <c r="M358">
        <v>253.92145613837499</v>
      </c>
      <c r="N358">
        <v>0.1</v>
      </c>
      <c r="O358">
        <v>0</v>
      </c>
      <c r="P358">
        <v>0</v>
      </c>
      <c r="Q358">
        <v>0</v>
      </c>
      <c r="R358">
        <v>0.63532794189453101</v>
      </c>
      <c r="S358">
        <v>-0.18059512329101499</v>
      </c>
      <c r="T358">
        <v>0</v>
      </c>
      <c r="U358">
        <v>159.83000000000001</v>
      </c>
      <c r="V358">
        <v>-2.66</v>
      </c>
      <c r="W358">
        <v>-0.90700000000000003</v>
      </c>
      <c r="X358">
        <v>0.78600000000000003</v>
      </c>
      <c r="Y358" t="b">
        <v>1</v>
      </c>
      <c r="Z358" t="s">
        <v>52</v>
      </c>
      <c r="AA358">
        <f t="shared" si="74"/>
        <v>191.30796398298003</v>
      </c>
      <c r="AB358">
        <f t="shared" si="78"/>
        <v>63.532794189453099</v>
      </c>
      <c r="AC358">
        <f t="shared" si="69"/>
        <v>195.52515174938253</v>
      </c>
      <c r="AD358">
        <f t="shared" si="75"/>
        <v>49.607038871294314</v>
      </c>
      <c r="AE358">
        <f t="shared" ca="1" si="76"/>
        <v>63.929488782648683</v>
      </c>
    </row>
    <row r="359" spans="1:31" x14ac:dyDescent="0.3">
      <c r="A359">
        <f t="shared" si="71"/>
        <v>10</v>
      </c>
      <c r="B359" s="2">
        <f t="shared" si="72"/>
        <v>15.096100000391743</v>
      </c>
      <c r="C359" s="2">
        <f t="shared" si="77"/>
        <v>2.151360000000011</v>
      </c>
      <c r="D359" s="2">
        <f t="shared" si="73"/>
        <v>7.7560024000003978</v>
      </c>
      <c r="E359" s="2"/>
      <c r="F359">
        <v>3229.4313000000002</v>
      </c>
      <c r="G359">
        <v>175.5</v>
      </c>
      <c r="H359">
        <v>185.25</v>
      </c>
      <c r="I359">
        <v>177.46799999999999</v>
      </c>
      <c r="J359">
        <v>183.154</v>
      </c>
      <c r="K359">
        <v>182.41827428571401</v>
      </c>
      <c r="L359">
        <v>155.82064571428501</v>
      </c>
      <c r="M359">
        <v>256.24653636221899</v>
      </c>
      <c r="N359">
        <v>0.1</v>
      </c>
      <c r="O359">
        <v>0</v>
      </c>
      <c r="P359">
        <v>0</v>
      </c>
      <c r="Q359">
        <v>0</v>
      </c>
      <c r="R359">
        <v>0.63532794189453101</v>
      </c>
      <c r="S359">
        <v>-0.18059512329101499</v>
      </c>
      <c r="T359">
        <v>0</v>
      </c>
      <c r="U359">
        <v>159.83000000000001</v>
      </c>
      <c r="V359">
        <v>-2.7149999999999999</v>
      </c>
      <c r="W359">
        <v>-0.90700000000000003</v>
      </c>
      <c r="X359">
        <v>0.78600000000000003</v>
      </c>
      <c r="Y359" t="b">
        <v>1</v>
      </c>
      <c r="Z359" t="s">
        <v>52</v>
      </c>
      <c r="AA359">
        <f t="shared" si="74"/>
        <v>191.25759325863021</v>
      </c>
      <c r="AB359">
        <f t="shared" si="78"/>
        <v>63.532794189453099</v>
      </c>
      <c r="AC359">
        <f t="shared" si="69"/>
        <v>196.48424916377081</v>
      </c>
      <c r="AD359" t="b">
        <f t="shared" si="75"/>
        <v>0</v>
      </c>
      <c r="AE359">
        <f t="shared" ca="1" si="76"/>
        <v>67.213437553211563</v>
      </c>
    </row>
    <row r="360" spans="1:31" x14ac:dyDescent="0.3">
      <c r="A360">
        <f t="shared" si="71"/>
        <v>10</v>
      </c>
      <c r="B360" s="2">
        <f t="shared" si="72"/>
        <v>46.702299999651586</v>
      </c>
      <c r="C360" s="2">
        <f t="shared" si="77"/>
        <v>1.9737999999999829</v>
      </c>
      <c r="D360" s="2">
        <f t="shared" si="73"/>
        <v>7.8027047000000493</v>
      </c>
      <c r="E360" s="2"/>
      <c r="F360">
        <v>3229.4780022999998</v>
      </c>
      <c r="G360">
        <v>175.5</v>
      </c>
      <c r="H360">
        <v>183.3</v>
      </c>
      <c r="I360">
        <v>177.46799999999999</v>
      </c>
      <c r="J360">
        <v>176.357</v>
      </c>
      <c r="K360">
        <v>182.02335428571399</v>
      </c>
      <c r="L360">
        <v>157.79444571428499</v>
      </c>
      <c r="M360">
        <v>258.74456571772299</v>
      </c>
      <c r="N360">
        <v>0.1</v>
      </c>
      <c r="O360">
        <v>0</v>
      </c>
      <c r="P360">
        <v>0</v>
      </c>
      <c r="Q360">
        <v>0</v>
      </c>
      <c r="R360">
        <v>0.68238909912109302</v>
      </c>
      <c r="S360">
        <v>-0.21718957519531201</v>
      </c>
      <c r="T360">
        <v>0</v>
      </c>
      <c r="U360">
        <v>159.83600000000001</v>
      </c>
      <c r="V360">
        <v>-2.7149999999999999</v>
      </c>
      <c r="W360">
        <v>-0.54600000000000004</v>
      </c>
      <c r="X360">
        <v>0.78600000000000003</v>
      </c>
      <c r="Y360" t="b">
        <v>1</v>
      </c>
      <c r="Z360" t="s">
        <v>52</v>
      </c>
      <c r="AA360">
        <f t="shared" si="74"/>
        <v>191.20844708198172</v>
      </c>
      <c r="AB360">
        <f t="shared" si="78"/>
        <v>68.238909912109307</v>
      </c>
      <c r="AC360">
        <f t="shared" si="69"/>
        <v>199.45137677782276</v>
      </c>
      <c r="AD360">
        <f t="shared" si="75"/>
        <v>42.263443128383571</v>
      </c>
      <c r="AE360">
        <f t="shared" ca="1" si="76"/>
        <v>70.362009003386348</v>
      </c>
    </row>
    <row r="361" spans="1:31" x14ac:dyDescent="0.3">
      <c r="A361">
        <f t="shared" si="71"/>
        <v>10</v>
      </c>
      <c r="B361" s="2">
        <f t="shared" si="72"/>
        <v>15.466100000139704</v>
      </c>
      <c r="C361" s="2">
        <f t="shared" si="77"/>
        <v>2.9081600000000094</v>
      </c>
      <c r="D361" s="2">
        <f t="shared" si="73"/>
        <v>7.818170800000189</v>
      </c>
      <c r="E361" s="2"/>
      <c r="F361">
        <v>3229.4934684</v>
      </c>
      <c r="G361">
        <v>175.5</v>
      </c>
      <c r="H361">
        <v>195</v>
      </c>
      <c r="I361">
        <v>176.85300000000001</v>
      </c>
      <c r="J361">
        <v>197.227</v>
      </c>
      <c r="K361">
        <v>181.60875428571401</v>
      </c>
      <c r="L361">
        <v>160.702605714285</v>
      </c>
      <c r="M361">
        <v>261.82202325789501</v>
      </c>
      <c r="N361">
        <v>0.1</v>
      </c>
      <c r="O361">
        <v>0</v>
      </c>
      <c r="P361">
        <v>0</v>
      </c>
      <c r="Q361">
        <v>0</v>
      </c>
      <c r="R361">
        <v>0.68238909912109302</v>
      </c>
      <c r="S361">
        <v>-0.21718957519531201</v>
      </c>
      <c r="T361">
        <v>0</v>
      </c>
      <c r="U361">
        <v>159.83600000000001</v>
      </c>
      <c r="V361">
        <v>-2.8570000000000002</v>
      </c>
      <c r="W361">
        <v>-0.54600000000000004</v>
      </c>
      <c r="X361">
        <v>0.78600000000000003</v>
      </c>
      <c r="Y361" t="b">
        <v>1</v>
      </c>
      <c r="Z361" t="s">
        <v>52</v>
      </c>
      <c r="AA361">
        <f t="shared" si="74"/>
        <v>191.15685180993054</v>
      </c>
      <c r="AB361">
        <f t="shared" si="78"/>
        <v>68.238909912109307</v>
      </c>
      <c r="AC361">
        <f t="shared" si="69"/>
        <v>200.50676658242398</v>
      </c>
      <c r="AD361" t="b">
        <f t="shared" si="75"/>
        <v>0</v>
      </c>
      <c r="AE361">
        <f t="shared" ca="1" si="76"/>
        <v>77.015933162925023</v>
      </c>
    </row>
    <row r="362" spans="1:31" x14ac:dyDescent="0.3">
      <c r="A362">
        <f t="shared" si="71"/>
        <v>10</v>
      </c>
      <c r="B362" s="2">
        <f t="shared" si="72"/>
        <v>31.163099999957922</v>
      </c>
      <c r="C362" s="2">
        <f t="shared" si="77"/>
        <v>2.8924399999999935</v>
      </c>
      <c r="D362" s="2">
        <f t="shared" si="73"/>
        <v>7.849333900000147</v>
      </c>
      <c r="E362" s="2"/>
      <c r="F362">
        <v>3229.5246314999999</v>
      </c>
      <c r="G362">
        <v>175.5</v>
      </c>
      <c r="H362">
        <v>195</v>
      </c>
      <c r="I362">
        <v>176.607</v>
      </c>
      <c r="J362">
        <v>194.345</v>
      </c>
      <c r="K362">
        <v>181.19415428571401</v>
      </c>
      <c r="L362">
        <v>163.59504571428499</v>
      </c>
      <c r="M362">
        <v>265.04923656696599</v>
      </c>
      <c r="N362">
        <v>0.1</v>
      </c>
      <c r="O362">
        <v>0</v>
      </c>
      <c r="P362">
        <v>0</v>
      </c>
      <c r="Q362">
        <v>0</v>
      </c>
      <c r="R362">
        <v>0.67810552978515604</v>
      </c>
      <c r="S362">
        <v>-0.22711698913574199</v>
      </c>
      <c r="T362">
        <v>0</v>
      </c>
      <c r="U362">
        <v>159.98500000000001</v>
      </c>
      <c r="V362">
        <v>-2.8570000000000002</v>
      </c>
      <c r="W362">
        <v>-0.45200000000000001</v>
      </c>
      <c r="X362">
        <v>0.78300000000000003</v>
      </c>
      <c r="Y362" t="b">
        <v>1</v>
      </c>
      <c r="Z362" t="s">
        <v>52</v>
      </c>
      <c r="AA362">
        <f t="shared" si="74"/>
        <v>191.10525653787934</v>
      </c>
      <c r="AB362">
        <f t="shared" si="78"/>
        <v>67.810552978515602</v>
      </c>
      <c r="AC362">
        <f t="shared" si="69"/>
        <v>202.63330255590316</v>
      </c>
      <c r="AD362">
        <f t="shared" si="75"/>
        <v>92.816183242485465</v>
      </c>
      <c r="AE362">
        <f t="shared" ca="1" si="76"/>
        <v>76.409464462606167</v>
      </c>
    </row>
    <row r="363" spans="1:31" x14ac:dyDescent="0.3">
      <c r="A363">
        <f t="shared" si="71"/>
        <v>10</v>
      </c>
      <c r="B363" s="2">
        <f t="shared" si="72"/>
        <v>46.049699999912264</v>
      </c>
      <c r="C363" s="2">
        <f t="shared" si="77"/>
        <v>2.4668800000000033</v>
      </c>
      <c r="D363" s="2">
        <f t="shared" si="73"/>
        <v>7.8953836000000592</v>
      </c>
      <c r="E363" s="2"/>
      <c r="F363">
        <v>3229.5706811999999</v>
      </c>
      <c r="G363">
        <v>180.375</v>
      </c>
      <c r="H363">
        <v>199.875</v>
      </c>
      <c r="I363">
        <v>176.56200000000001</v>
      </c>
      <c r="J363">
        <v>201.316</v>
      </c>
      <c r="K363">
        <v>180.79743428571399</v>
      </c>
      <c r="L363">
        <v>166.061925714285</v>
      </c>
      <c r="M363">
        <v>267.99565645921803</v>
      </c>
      <c r="N363">
        <v>0.1</v>
      </c>
      <c r="O363">
        <v>0</v>
      </c>
      <c r="P363">
        <v>0</v>
      </c>
      <c r="Q363">
        <v>0</v>
      </c>
      <c r="R363">
        <v>0.67810552978515604</v>
      </c>
      <c r="S363">
        <v>-0.22711698913574199</v>
      </c>
      <c r="T363">
        <v>0</v>
      </c>
      <c r="U363">
        <v>159.98500000000001</v>
      </c>
      <c r="V363">
        <v>-3.0619999999999998</v>
      </c>
      <c r="W363">
        <v>-0.45200000000000001</v>
      </c>
      <c r="X363">
        <v>0.78300000000000003</v>
      </c>
      <c r="Y363" t="b">
        <v>1</v>
      </c>
      <c r="Z363" t="s">
        <v>52</v>
      </c>
      <c r="AA363">
        <f t="shared" si="74"/>
        <v>191.05588635860258</v>
      </c>
      <c r="AB363">
        <f t="shared" si="78"/>
        <v>67.810552978515602</v>
      </c>
      <c r="AC363">
        <f t="shared" si="69"/>
        <v>205.75595817739196</v>
      </c>
      <c r="AD363">
        <f t="shared" si="75"/>
        <v>53.569947252744392</v>
      </c>
      <c r="AE363">
        <f t="shared" ca="1" si="76"/>
        <v>73.593737235085229</v>
      </c>
    </row>
    <row r="364" spans="1:31" x14ac:dyDescent="0.3">
      <c r="A364">
        <f t="shared" si="71"/>
        <v>10</v>
      </c>
      <c r="B364" s="2">
        <f t="shared" si="72"/>
        <v>15.152400000260968</v>
      </c>
      <c r="C364" s="2">
        <f t="shared" si="77"/>
        <v>2.8714799999999912</v>
      </c>
      <c r="D364" s="2">
        <f t="shared" si="73"/>
        <v>7.9105360000003202</v>
      </c>
      <c r="E364" s="2"/>
      <c r="F364">
        <v>3229.5858336000001</v>
      </c>
      <c r="G364">
        <v>175.5</v>
      </c>
      <c r="H364">
        <v>204.75</v>
      </c>
      <c r="I364">
        <v>176.36099999999999</v>
      </c>
      <c r="J364">
        <v>208.94200000000001</v>
      </c>
      <c r="K364">
        <v>180.417274285714</v>
      </c>
      <c r="L364">
        <v>168.93340571428499</v>
      </c>
      <c r="M364">
        <v>271.021070971808</v>
      </c>
      <c r="N364">
        <v>0.1</v>
      </c>
      <c r="O364">
        <v>0</v>
      </c>
      <c r="P364">
        <v>0</v>
      </c>
      <c r="Q364">
        <v>0</v>
      </c>
      <c r="R364">
        <v>0.67810552978515604</v>
      </c>
      <c r="S364">
        <v>-0.22711698913574199</v>
      </c>
      <c r="T364">
        <v>0</v>
      </c>
      <c r="U364">
        <v>159.98500000000001</v>
      </c>
      <c r="V364">
        <v>-3.0619999999999998</v>
      </c>
      <c r="W364">
        <v>-0.45200000000000001</v>
      </c>
      <c r="X364">
        <v>0.78300000000000003</v>
      </c>
      <c r="Y364" t="b">
        <v>1</v>
      </c>
      <c r="Z364" t="s">
        <v>52</v>
      </c>
      <c r="AA364">
        <f t="shared" si="74"/>
        <v>191.00857700350613</v>
      </c>
      <c r="AB364">
        <f t="shared" si="78"/>
        <v>67.810552978515602</v>
      </c>
      <c r="AC364">
        <f t="shared" si="69"/>
        <v>206.78345080036132</v>
      </c>
      <c r="AD364" t="b">
        <f t="shared" si="75"/>
        <v>0</v>
      </c>
      <c r="AE364">
        <f t="shared" ca="1" si="76"/>
        <v>76.096710982877823</v>
      </c>
    </row>
    <row r="365" spans="1:31" x14ac:dyDescent="0.3">
      <c r="A365">
        <f t="shared" si="71"/>
        <v>10</v>
      </c>
      <c r="B365" s="2">
        <f t="shared" si="72"/>
        <v>31.105900000056863</v>
      </c>
      <c r="C365" s="2">
        <f t="shared" si="77"/>
        <v>2.8819600000000207</v>
      </c>
      <c r="D365" s="2">
        <f t="shared" si="73"/>
        <v>7.9416419000003771</v>
      </c>
      <c r="E365" s="2"/>
      <c r="F365">
        <v>3229.6169395000002</v>
      </c>
      <c r="G365">
        <v>175.5</v>
      </c>
      <c r="H365">
        <v>204.75</v>
      </c>
      <c r="I365">
        <v>176.36099999999999</v>
      </c>
      <c r="J365">
        <v>206.584</v>
      </c>
      <c r="K365">
        <v>180.05187428571401</v>
      </c>
      <c r="L365">
        <v>171.81536571428501</v>
      </c>
      <c r="M365">
        <v>274.21320306952401</v>
      </c>
      <c r="N365">
        <v>0.1</v>
      </c>
      <c r="O365">
        <v>0</v>
      </c>
      <c r="P365">
        <v>0</v>
      </c>
      <c r="Q365">
        <v>0</v>
      </c>
      <c r="R365">
        <v>0.64149597167968697</v>
      </c>
      <c r="S365">
        <v>-0.23632420349121</v>
      </c>
      <c r="T365">
        <v>0</v>
      </c>
      <c r="U365">
        <v>160.197</v>
      </c>
      <c r="V365">
        <v>-3.1869999999999998</v>
      </c>
      <c r="W365">
        <v>-0.439</v>
      </c>
      <c r="X365">
        <v>0.78500000000000003</v>
      </c>
      <c r="Y365" t="b">
        <v>1</v>
      </c>
      <c r="Z365" t="s">
        <v>52</v>
      </c>
      <c r="AA365">
        <f t="shared" si="74"/>
        <v>190.96310446996173</v>
      </c>
      <c r="AB365">
        <f t="shared" si="78"/>
        <v>64.149597167968693</v>
      </c>
      <c r="AC365">
        <f t="shared" si="69"/>
        <v>208.89275908025959</v>
      </c>
      <c r="AD365">
        <f t="shared" si="75"/>
        <v>92.649947437455666</v>
      </c>
      <c r="AE365">
        <f t="shared" ca="1" si="76"/>
        <v>78.192758964804113</v>
      </c>
    </row>
    <row r="366" spans="1:31" x14ac:dyDescent="0.3">
      <c r="A366">
        <f t="shared" si="71"/>
        <v>10</v>
      </c>
      <c r="B366" s="2">
        <f t="shared" si="72"/>
        <v>46.491099999911967</v>
      </c>
      <c r="C366" s="2">
        <f t="shared" si="77"/>
        <v>2.344239999999985</v>
      </c>
      <c r="D366" s="2">
        <f t="shared" si="73"/>
        <v>7.988133000000289</v>
      </c>
      <c r="E366" s="2"/>
      <c r="F366">
        <v>3229.6634306000001</v>
      </c>
      <c r="G366">
        <v>175.5</v>
      </c>
      <c r="H366">
        <v>204.75</v>
      </c>
      <c r="I366">
        <v>176.11500000000001</v>
      </c>
      <c r="J366">
        <v>204.095</v>
      </c>
      <c r="K366">
        <v>179.70199428571399</v>
      </c>
      <c r="L366">
        <v>174.15960571428499</v>
      </c>
      <c r="M366">
        <v>277.00675790935702</v>
      </c>
      <c r="N366">
        <v>0.1</v>
      </c>
      <c r="O366">
        <v>0</v>
      </c>
      <c r="P366">
        <v>0</v>
      </c>
      <c r="Q366">
        <v>0</v>
      </c>
      <c r="R366">
        <v>0.66260729980468702</v>
      </c>
      <c r="S366">
        <v>-0.243663467407226</v>
      </c>
      <c r="T366">
        <v>0</v>
      </c>
      <c r="U366">
        <v>160.232</v>
      </c>
      <c r="V366">
        <v>-3.1869999999999998</v>
      </c>
      <c r="W366">
        <v>-0.438</v>
      </c>
      <c r="X366">
        <v>0.78300000000000003</v>
      </c>
      <c r="Y366" t="b">
        <v>1</v>
      </c>
      <c r="Z366" t="s">
        <v>52</v>
      </c>
      <c r="AA366">
        <f t="shared" si="74"/>
        <v>190.9195633368569</v>
      </c>
      <c r="AB366">
        <f t="shared" si="78"/>
        <v>66.260729980468696</v>
      </c>
      <c r="AC366">
        <f t="shared" si="69"/>
        <v>211.8751444171497</v>
      </c>
      <c r="AD366">
        <f t="shared" si="75"/>
        <v>50.423414374029093</v>
      </c>
      <c r="AE366">
        <f t="shared" ca="1" si="76"/>
        <v>76.006810305446095</v>
      </c>
    </row>
    <row r="367" spans="1:31" x14ac:dyDescent="0.3">
      <c r="A367">
        <f t="shared" si="71"/>
        <v>10</v>
      </c>
      <c r="B367" s="2">
        <f t="shared" si="72"/>
        <v>31.400899999880494</v>
      </c>
      <c r="C367" s="2">
        <f t="shared" si="77"/>
        <v>2.078000000000003</v>
      </c>
      <c r="D367" s="2">
        <f t="shared" si="73"/>
        <v>8.0195339000001695</v>
      </c>
      <c r="E367" s="2"/>
      <c r="F367">
        <v>3229.6948315</v>
      </c>
      <c r="G367">
        <v>175.5</v>
      </c>
      <c r="H367">
        <v>204.75</v>
      </c>
      <c r="I367">
        <v>175.74600000000001</v>
      </c>
      <c r="J367">
        <v>201.73699999999999</v>
      </c>
      <c r="K367">
        <v>179.351354285714</v>
      </c>
      <c r="L367">
        <v>176.237605714285</v>
      </c>
      <c r="M367">
        <v>279.37883720135</v>
      </c>
      <c r="N367">
        <v>0.1</v>
      </c>
      <c r="O367">
        <v>0</v>
      </c>
      <c r="P367">
        <v>0</v>
      </c>
      <c r="Q367">
        <v>0</v>
      </c>
      <c r="R367">
        <v>0.66260729980468702</v>
      </c>
      <c r="S367">
        <v>-0.243663467407226</v>
      </c>
      <c r="T367">
        <v>0</v>
      </c>
      <c r="U367">
        <v>160.232</v>
      </c>
      <c r="V367">
        <v>-2.84</v>
      </c>
      <c r="W367">
        <v>-0.438</v>
      </c>
      <c r="X367">
        <v>0.78300000000000003</v>
      </c>
      <c r="Y367" t="b">
        <v>1</v>
      </c>
      <c r="Z367" t="s">
        <v>52</v>
      </c>
      <c r="AA367">
        <f t="shared" si="74"/>
        <v>190.87592762486454</v>
      </c>
      <c r="AB367">
        <f t="shared" si="78"/>
        <v>66.260729980468696</v>
      </c>
      <c r="AC367">
        <f t="shared" si="69"/>
        <v>213.95579097318549</v>
      </c>
      <c r="AD367">
        <f t="shared" si="75"/>
        <v>66.176447172148301</v>
      </c>
      <c r="AE367">
        <f t="shared" ca="1" si="76"/>
        <v>79.353839666643793</v>
      </c>
    </row>
    <row r="368" spans="1:31" x14ac:dyDescent="0.3">
      <c r="A368">
        <f t="shared" si="71"/>
        <v>10</v>
      </c>
      <c r="B368" s="2">
        <f t="shared" si="72"/>
        <v>30.402700000195182</v>
      </c>
      <c r="C368" s="2">
        <f t="shared" si="77"/>
        <v>2.2070742857140146</v>
      </c>
      <c r="D368" s="2">
        <f t="shared" si="73"/>
        <v>8.0499366000003647</v>
      </c>
      <c r="E368" s="2"/>
      <c r="F368">
        <v>3229.7252342000002</v>
      </c>
      <c r="G368">
        <v>175.5</v>
      </c>
      <c r="H368">
        <v>204.75</v>
      </c>
      <c r="I368">
        <v>175.131</v>
      </c>
      <c r="J368">
        <v>199.37899999999999</v>
      </c>
      <c r="K368">
        <v>178.99419999999901</v>
      </c>
      <c r="L368">
        <v>178.44467999999901</v>
      </c>
      <c r="M368">
        <v>281.86363158822297</v>
      </c>
      <c r="N368">
        <v>0.1</v>
      </c>
      <c r="O368">
        <v>0</v>
      </c>
      <c r="P368">
        <v>0</v>
      </c>
      <c r="Q368">
        <v>0</v>
      </c>
      <c r="R368">
        <v>0.65894897460937496</v>
      </c>
      <c r="S368">
        <v>-0.25430310058593703</v>
      </c>
      <c r="T368">
        <v>0</v>
      </c>
      <c r="U368">
        <v>160.32900000000001</v>
      </c>
      <c r="V368">
        <v>-2.84</v>
      </c>
      <c r="W368">
        <v>-0.34799999999999998</v>
      </c>
      <c r="X368">
        <v>0.79400000000000004</v>
      </c>
      <c r="Y368" t="b">
        <v>1</v>
      </c>
      <c r="Z368" t="s">
        <v>52</v>
      </c>
      <c r="AA368">
        <f t="shared" si="74"/>
        <v>190.83148123669349</v>
      </c>
      <c r="AB368">
        <f t="shared" si="78"/>
        <v>65.8948974609375</v>
      </c>
      <c r="AC368">
        <f t="shared" si="69"/>
        <v>215.97029606857561</v>
      </c>
      <c r="AD368">
        <f t="shared" si="75"/>
        <v>72.594680265234516</v>
      </c>
      <c r="AE368">
        <f t="shared" ca="1" si="76"/>
        <v>82.761538622109796</v>
      </c>
    </row>
    <row r="369" spans="1:31" x14ac:dyDescent="0.3">
      <c r="A369">
        <f t="shared" si="71"/>
        <v>10</v>
      </c>
      <c r="B369" s="2">
        <f t="shared" si="72"/>
        <v>31.416199999966921</v>
      </c>
      <c r="C369" s="2">
        <f t="shared" si="77"/>
        <v>2.9029199999999946</v>
      </c>
      <c r="D369" s="2">
        <f t="shared" si="73"/>
        <v>8.0813528000003316</v>
      </c>
      <c r="E369" s="2"/>
      <c r="F369">
        <v>3229.7566504000001</v>
      </c>
      <c r="G369">
        <v>175.5</v>
      </c>
      <c r="H369">
        <v>214.5</v>
      </c>
      <c r="I369">
        <v>173.90100000000001</v>
      </c>
      <c r="J369">
        <v>216.989</v>
      </c>
      <c r="K369">
        <v>178.59927999999999</v>
      </c>
      <c r="L369">
        <v>181.34759999999901</v>
      </c>
      <c r="M369">
        <v>285.04646287466602</v>
      </c>
      <c r="N369">
        <v>0.1</v>
      </c>
      <c r="O369">
        <v>0</v>
      </c>
      <c r="P369">
        <v>0</v>
      </c>
      <c r="Q369">
        <v>0</v>
      </c>
      <c r="R369">
        <v>0.65894897460937496</v>
      </c>
      <c r="S369">
        <v>-0.25430310058593703</v>
      </c>
      <c r="T369">
        <v>0</v>
      </c>
      <c r="U369">
        <v>160.32900000000001</v>
      </c>
      <c r="V369">
        <v>-2.8149999999999999</v>
      </c>
      <c r="W369">
        <v>-0.34799999999999998</v>
      </c>
      <c r="X369">
        <v>0.79400000000000004</v>
      </c>
      <c r="Y369" t="b">
        <v>1</v>
      </c>
      <c r="Z369" t="s">
        <v>52</v>
      </c>
      <c r="AA369">
        <f t="shared" si="74"/>
        <v>190.78233506004514</v>
      </c>
      <c r="AB369">
        <f t="shared" si="78"/>
        <v>65.8948974609375</v>
      </c>
      <c r="AC369">
        <f t="shared" si="69"/>
        <v>218.04046334618573</v>
      </c>
      <c r="AD369">
        <f t="shared" si="75"/>
        <v>92.402009154609758</v>
      </c>
      <c r="AE369">
        <f t="shared" ca="1" si="76"/>
        <v>82.508602311216407</v>
      </c>
    </row>
    <row r="370" spans="1:31" x14ac:dyDescent="0.3">
      <c r="A370">
        <f t="shared" si="71"/>
        <v>10</v>
      </c>
      <c r="B370" s="2">
        <f t="shared" si="72"/>
        <v>30.618199999935314</v>
      </c>
      <c r="C370" s="2">
        <f t="shared" si="77"/>
        <v>2.9238799999999969</v>
      </c>
      <c r="D370" s="2">
        <f t="shared" si="73"/>
        <v>8.1119710000002669</v>
      </c>
      <c r="E370" s="2"/>
      <c r="F370">
        <v>3229.7872686000001</v>
      </c>
      <c r="G370">
        <v>175.5</v>
      </c>
      <c r="H370">
        <v>214.5</v>
      </c>
      <c r="I370">
        <v>172.917</v>
      </c>
      <c r="J370">
        <v>214.762</v>
      </c>
      <c r="K370">
        <v>178.17975999999999</v>
      </c>
      <c r="L370">
        <v>184.271479999999</v>
      </c>
      <c r="M370">
        <v>288.236402477345</v>
      </c>
      <c r="N370">
        <v>0.1</v>
      </c>
      <c r="O370">
        <v>0</v>
      </c>
      <c r="P370">
        <v>0</v>
      </c>
      <c r="Q370">
        <v>0</v>
      </c>
      <c r="R370">
        <v>0.65894897460937496</v>
      </c>
      <c r="S370">
        <v>-0.25430310058593703</v>
      </c>
      <c r="T370">
        <v>0</v>
      </c>
      <c r="U370">
        <v>160.32900000000001</v>
      </c>
      <c r="V370">
        <v>-2.8149999999999999</v>
      </c>
      <c r="W370">
        <v>-0.34799999999999998</v>
      </c>
      <c r="X370">
        <v>0.79400000000000004</v>
      </c>
      <c r="Y370" t="b">
        <v>1</v>
      </c>
      <c r="Z370" t="s">
        <v>52</v>
      </c>
      <c r="AA370">
        <f t="shared" si="74"/>
        <v>190.73012751414328</v>
      </c>
      <c r="AB370">
        <f t="shared" si="78"/>
        <v>65.8948974609375</v>
      </c>
      <c r="AC370">
        <f t="shared" si="69"/>
        <v>220.05804649561995</v>
      </c>
      <c r="AD370">
        <f t="shared" si="75"/>
        <v>95.494836404693089</v>
      </c>
      <c r="AE370">
        <f t="shared" ca="1" si="76"/>
        <v>77.540908265938114</v>
      </c>
    </row>
    <row r="371" spans="1:31" x14ac:dyDescent="0.3">
      <c r="A371">
        <f t="shared" si="71"/>
        <v>10</v>
      </c>
      <c r="B371" s="2">
        <f t="shared" si="72"/>
        <v>29.845000000022992</v>
      </c>
      <c r="C371" s="2">
        <f t="shared" si="77"/>
        <v>2.1356399999999951</v>
      </c>
      <c r="D371" s="2">
        <f t="shared" si="73"/>
        <v>8.1418160000002899</v>
      </c>
      <c r="E371" s="2"/>
      <c r="F371">
        <v>3229.8171136000001</v>
      </c>
      <c r="G371">
        <v>175.5</v>
      </c>
      <c r="H371">
        <v>214.5</v>
      </c>
      <c r="I371">
        <v>171.93299999999999</v>
      </c>
      <c r="J371">
        <v>212.535</v>
      </c>
      <c r="K371">
        <v>177.73847999999899</v>
      </c>
      <c r="L371">
        <v>186.407119999999</v>
      </c>
      <c r="M371">
        <v>290.62513461799898</v>
      </c>
      <c r="N371">
        <v>0.1</v>
      </c>
      <c r="O371">
        <v>0</v>
      </c>
      <c r="P371">
        <v>0</v>
      </c>
      <c r="Q371">
        <v>0</v>
      </c>
      <c r="R371">
        <v>0.68983624267578103</v>
      </c>
      <c r="S371">
        <v>-0.25878350830078101</v>
      </c>
      <c r="T371">
        <v>0</v>
      </c>
      <c r="U371">
        <v>160.44900000000001</v>
      </c>
      <c r="V371">
        <v>-3.0609999999999999</v>
      </c>
      <c r="W371">
        <v>-0.21</v>
      </c>
      <c r="X371">
        <v>0.79100000000000004</v>
      </c>
      <c r="Y371" t="b">
        <v>1</v>
      </c>
      <c r="Z371" t="s">
        <v>52</v>
      </c>
      <c r="AA371">
        <f t="shared" si="74"/>
        <v>190.67521202535696</v>
      </c>
      <c r="AB371">
        <f t="shared" si="78"/>
        <v>68.983624267578108</v>
      </c>
      <c r="AC371">
        <f t="shared" ref="AC371:AC434" si="79">AC370+(AB370*(D371-D370))</f>
        <v>222.02467971034315</v>
      </c>
      <c r="AD371">
        <f t="shared" si="75"/>
        <v>71.557714860055285</v>
      </c>
      <c r="AE371">
        <f t="shared" ca="1" si="76"/>
        <v>75.296667248593735</v>
      </c>
    </row>
    <row r="372" spans="1:31" x14ac:dyDescent="0.3">
      <c r="A372">
        <f t="shared" si="71"/>
        <v>10</v>
      </c>
      <c r="B372" s="2">
        <f t="shared" si="72"/>
        <v>46.58579999977519</v>
      </c>
      <c r="C372" s="2">
        <f t="shared" si="77"/>
        <v>3.1433600000000013</v>
      </c>
      <c r="D372" s="2">
        <f t="shared" si="73"/>
        <v>8.1884018000000651</v>
      </c>
      <c r="E372" s="2"/>
      <c r="F372">
        <v>3229.8636993999999</v>
      </c>
      <c r="G372">
        <v>175.5</v>
      </c>
      <c r="H372">
        <v>226.2</v>
      </c>
      <c r="I372">
        <v>170.45699999999999</v>
      </c>
      <c r="J372">
        <v>233.798</v>
      </c>
      <c r="K372">
        <v>177.26615999999899</v>
      </c>
      <c r="L372">
        <v>189.550479999999</v>
      </c>
      <c r="M372">
        <v>294.15157235824</v>
      </c>
      <c r="N372">
        <v>0.1</v>
      </c>
      <c r="O372">
        <v>0</v>
      </c>
      <c r="P372">
        <v>0</v>
      </c>
      <c r="Q372">
        <v>0</v>
      </c>
      <c r="R372">
        <v>0.69072875976562498</v>
      </c>
      <c r="S372">
        <v>-0.25765896606445299</v>
      </c>
      <c r="T372">
        <v>0</v>
      </c>
      <c r="U372">
        <v>160.60499999999999</v>
      </c>
      <c r="V372">
        <v>-3.0609999999999999</v>
      </c>
      <c r="W372">
        <v>-0.221</v>
      </c>
      <c r="X372">
        <v>0.78500000000000003</v>
      </c>
      <c r="Y372" t="b">
        <v>1</v>
      </c>
      <c r="Z372" t="s">
        <v>52</v>
      </c>
      <c r="AA372">
        <f t="shared" si="74"/>
        <v>190.61643373569171</v>
      </c>
      <c r="AB372">
        <f t="shared" si="78"/>
        <v>69.0728759765625</v>
      </c>
      <c r="AC372">
        <f t="shared" si="79"/>
        <v>225.23833703373219</v>
      </c>
      <c r="AD372">
        <f t="shared" si="75"/>
        <v>67.47463819479691</v>
      </c>
      <c r="AE372">
        <f t="shared" ca="1" si="76"/>
        <v>74.977557783353333</v>
      </c>
    </row>
    <row r="373" spans="1:31" x14ac:dyDescent="0.3">
      <c r="A373">
        <f t="shared" si="71"/>
        <v>10</v>
      </c>
      <c r="B373" s="2">
        <f t="shared" si="72"/>
        <v>31.110700000226643</v>
      </c>
      <c r="C373" s="2">
        <f t="shared" si="77"/>
        <v>3.2058399999999949</v>
      </c>
      <c r="D373" s="2">
        <f t="shared" si="73"/>
        <v>8.2195125000002918</v>
      </c>
      <c r="E373" s="2"/>
      <c r="F373">
        <v>3229.8948101000001</v>
      </c>
      <c r="G373">
        <v>172.25</v>
      </c>
      <c r="H373">
        <v>227.5</v>
      </c>
      <c r="I373">
        <v>169.17500000000001</v>
      </c>
      <c r="J373">
        <v>234.05</v>
      </c>
      <c r="K373">
        <v>176.74748</v>
      </c>
      <c r="L373">
        <v>192.75631999999899</v>
      </c>
      <c r="M373">
        <v>297.60533630615902</v>
      </c>
      <c r="N373">
        <v>0.1</v>
      </c>
      <c r="O373">
        <v>0</v>
      </c>
      <c r="P373">
        <v>0</v>
      </c>
      <c r="Q373">
        <v>0</v>
      </c>
      <c r="R373">
        <v>0.69072875976562498</v>
      </c>
      <c r="S373">
        <v>-0.25765896606445299</v>
      </c>
      <c r="T373">
        <v>0</v>
      </c>
      <c r="U373">
        <v>160.60499999999999</v>
      </c>
      <c r="V373">
        <v>-3.1360000000000001</v>
      </c>
      <c r="W373">
        <v>-0.221</v>
      </c>
      <c r="X373">
        <v>0.78500000000000003</v>
      </c>
      <c r="Y373" t="b">
        <v>1</v>
      </c>
      <c r="Z373" t="s">
        <v>52</v>
      </c>
      <c r="AA373">
        <f t="shared" si="74"/>
        <v>190.55188613388884</v>
      </c>
      <c r="AB373">
        <f t="shared" si="78"/>
        <v>69.0728759765625</v>
      </c>
      <c r="AC373">
        <f t="shared" si="79"/>
        <v>227.3872425563919</v>
      </c>
      <c r="AD373" t="b">
        <f t="shared" si="75"/>
        <v>0</v>
      </c>
      <c r="AE373">
        <f t="shared" ca="1" si="76"/>
        <v>76.126849206030244</v>
      </c>
    </row>
    <row r="374" spans="1:31" x14ac:dyDescent="0.3">
      <c r="A374">
        <f t="shared" si="71"/>
        <v>10</v>
      </c>
      <c r="B374" s="2">
        <f t="shared" si="72"/>
        <v>31.011000000034983</v>
      </c>
      <c r="C374" s="2">
        <f t="shared" si="77"/>
        <v>2.944840000000994</v>
      </c>
      <c r="D374" s="2">
        <f t="shared" si="73"/>
        <v>8.2505235000003267</v>
      </c>
      <c r="E374" s="2"/>
      <c r="F374">
        <v>3229.9258211000001</v>
      </c>
      <c r="G374">
        <v>165.75</v>
      </c>
      <c r="H374">
        <v>224.25</v>
      </c>
      <c r="I374">
        <v>168.21</v>
      </c>
      <c r="J374">
        <v>224.774</v>
      </c>
      <c r="K374">
        <v>176.20495999999901</v>
      </c>
      <c r="L374">
        <v>195.70115999999999</v>
      </c>
      <c r="M374">
        <v>300.79119027235402</v>
      </c>
      <c r="N374">
        <v>0.1</v>
      </c>
      <c r="O374">
        <v>0</v>
      </c>
      <c r="P374">
        <v>0</v>
      </c>
      <c r="Q374">
        <v>0</v>
      </c>
      <c r="R374">
        <v>0.68332287597656205</v>
      </c>
      <c r="S374">
        <v>-0.26644631958007797</v>
      </c>
      <c r="T374">
        <v>0</v>
      </c>
      <c r="U374">
        <v>160.63</v>
      </c>
      <c r="V374">
        <v>-3.1360000000000001</v>
      </c>
      <c r="W374">
        <v>-0.27300000000000002</v>
      </c>
      <c r="X374">
        <v>0.78300000000000003</v>
      </c>
      <c r="Y374" t="b">
        <v>1</v>
      </c>
      <c r="Z374" t="s">
        <v>52</v>
      </c>
      <c r="AA374">
        <f t="shared" si="74"/>
        <v>190.48437174171985</v>
      </c>
      <c r="AB374">
        <f t="shared" si="78"/>
        <v>68.332287597656205</v>
      </c>
      <c r="AC374">
        <f t="shared" si="79"/>
        <v>229.52926151330348</v>
      </c>
      <c r="AD374">
        <f t="shared" si="75"/>
        <v>94.961142820214505</v>
      </c>
      <c r="AE374">
        <f t="shared" ca="1" si="76"/>
        <v>76.187084802717109</v>
      </c>
    </row>
    <row r="375" spans="1:31" x14ac:dyDescent="0.3">
      <c r="A375">
        <f t="shared" si="71"/>
        <v>10</v>
      </c>
      <c r="B375" s="2">
        <f t="shared" si="72"/>
        <v>30.818100000033155</v>
      </c>
      <c r="C375" s="2">
        <f t="shared" si="77"/>
        <v>2.2489942857140193</v>
      </c>
      <c r="D375" s="2">
        <f t="shared" si="73"/>
        <v>8.2813416000003599</v>
      </c>
      <c r="E375" s="2"/>
      <c r="F375">
        <v>3229.9566392000002</v>
      </c>
      <c r="G375">
        <v>161.57142857142799</v>
      </c>
      <c r="H375">
        <v>225.642857142857</v>
      </c>
      <c r="I375">
        <v>167.10642857142801</v>
      </c>
      <c r="J375">
        <v>225.118857142857</v>
      </c>
      <c r="K375">
        <v>175.63797714285701</v>
      </c>
      <c r="L375">
        <v>197.95015428571401</v>
      </c>
      <c r="M375">
        <v>303.27379983001299</v>
      </c>
      <c r="N375">
        <v>0.1</v>
      </c>
      <c r="O375">
        <v>0</v>
      </c>
      <c r="P375">
        <v>0</v>
      </c>
      <c r="Q375">
        <v>0</v>
      </c>
      <c r="R375">
        <v>0.68332287597656205</v>
      </c>
      <c r="S375">
        <v>-0.26644631958007797</v>
      </c>
      <c r="T375">
        <v>0</v>
      </c>
      <c r="U375">
        <v>160.63</v>
      </c>
      <c r="V375">
        <v>-3.375</v>
      </c>
      <c r="W375">
        <v>-0.27300000000000002</v>
      </c>
      <c r="X375">
        <v>0.78300000000000003</v>
      </c>
      <c r="Y375" t="b">
        <v>1</v>
      </c>
      <c r="Z375" t="s">
        <v>52</v>
      </c>
      <c r="AA375">
        <f t="shared" si="74"/>
        <v>190.41381304716461</v>
      </c>
      <c r="AB375">
        <f t="shared" si="78"/>
        <v>68.332287597656205</v>
      </c>
      <c r="AC375">
        <f t="shared" si="79"/>
        <v>231.63513278571907</v>
      </c>
      <c r="AD375">
        <f t="shared" si="75"/>
        <v>72.976409503233484</v>
      </c>
      <c r="AE375">
        <f t="shared" ca="1" si="76"/>
        <v>73.840327550529935</v>
      </c>
    </row>
    <row r="376" spans="1:31" x14ac:dyDescent="0.3">
      <c r="A376">
        <f t="shared" si="71"/>
        <v>10</v>
      </c>
      <c r="B376" s="2">
        <f t="shared" si="72"/>
        <v>31.667599999764207</v>
      </c>
      <c r="C376" s="2">
        <f t="shared" si="77"/>
        <v>2.5507199999999841</v>
      </c>
      <c r="D376" s="2">
        <f t="shared" si="73"/>
        <v>8.3130092000001241</v>
      </c>
      <c r="E376" s="2"/>
      <c r="F376">
        <v>3229.9883067999999</v>
      </c>
      <c r="G376">
        <v>165.75</v>
      </c>
      <c r="H376">
        <v>224.25</v>
      </c>
      <c r="I376">
        <v>166.36500000000001</v>
      </c>
      <c r="J376">
        <v>219.40299999999999</v>
      </c>
      <c r="K376">
        <v>175.052977142857</v>
      </c>
      <c r="L376">
        <v>200.50087428571399</v>
      </c>
      <c r="M376">
        <v>306.05860030911299</v>
      </c>
      <c r="N376">
        <v>0.1</v>
      </c>
      <c r="O376">
        <v>0</v>
      </c>
      <c r="P376">
        <v>0</v>
      </c>
      <c r="Q376">
        <v>0</v>
      </c>
      <c r="R376">
        <v>0.68332287597656205</v>
      </c>
      <c r="S376">
        <v>-0.26644631958007797</v>
      </c>
      <c r="T376">
        <v>0</v>
      </c>
      <c r="U376">
        <v>160.63</v>
      </c>
      <c r="V376">
        <v>-3.375</v>
      </c>
      <c r="W376">
        <v>-0.27300000000000002</v>
      </c>
      <c r="X376">
        <v>0.78300000000000003</v>
      </c>
      <c r="Y376" t="b">
        <v>1</v>
      </c>
      <c r="Z376" t="s">
        <v>52</v>
      </c>
      <c r="AA376">
        <f t="shared" si="74"/>
        <v>190.34101219296792</v>
      </c>
      <c r="AB376">
        <f t="shared" si="78"/>
        <v>68.332287597656205</v>
      </c>
      <c r="AC376">
        <f t="shared" si="79"/>
        <v>233.79905233643049</v>
      </c>
      <c r="AD376">
        <f t="shared" si="75"/>
        <v>80.546678624808209</v>
      </c>
      <c r="AE376">
        <f t="shared" ca="1" si="76"/>
        <v>73.997971618243284</v>
      </c>
    </row>
    <row r="377" spans="1:31" x14ac:dyDescent="0.3">
      <c r="A377">
        <f t="shared" si="71"/>
        <v>10</v>
      </c>
      <c r="B377" s="2">
        <f t="shared" si="72"/>
        <v>30.948600000101578</v>
      </c>
      <c r="C377" s="2">
        <f t="shared" si="77"/>
        <v>2.997240000000005</v>
      </c>
      <c r="D377" s="2">
        <f t="shared" si="73"/>
        <v>8.3439578000002257</v>
      </c>
      <c r="E377" s="2"/>
      <c r="F377">
        <v>3230.0192554</v>
      </c>
      <c r="G377">
        <v>175.5</v>
      </c>
      <c r="H377">
        <v>234</v>
      </c>
      <c r="I377">
        <v>165.291</v>
      </c>
      <c r="J377">
        <v>236.62</v>
      </c>
      <c r="K377">
        <v>174.45765714285699</v>
      </c>
      <c r="L377">
        <v>203.498114285714</v>
      </c>
      <c r="M377">
        <v>309.27890031855202</v>
      </c>
      <c r="N377">
        <v>0.1</v>
      </c>
      <c r="O377">
        <v>0</v>
      </c>
      <c r="P377">
        <v>0</v>
      </c>
      <c r="Q377">
        <v>0</v>
      </c>
      <c r="R377">
        <v>0.69398614501953104</v>
      </c>
      <c r="S377">
        <v>-0.25644610595703099</v>
      </c>
      <c r="T377">
        <v>0</v>
      </c>
      <c r="U377">
        <v>160.739</v>
      </c>
      <c r="V377">
        <v>-3.4089999999999998</v>
      </c>
      <c r="W377">
        <v>0.01</v>
      </c>
      <c r="X377">
        <v>0.78</v>
      </c>
      <c r="Y377" t="b">
        <v>1</v>
      </c>
      <c r="Z377" t="s">
        <v>52</v>
      </c>
      <c r="AA377">
        <f t="shared" si="74"/>
        <v>190.26692705703567</v>
      </c>
      <c r="AB377">
        <f t="shared" si="78"/>
        <v>69.398614501953105</v>
      </c>
      <c r="AC377">
        <f t="shared" si="79"/>
        <v>235.91384097238225</v>
      </c>
      <c r="AD377">
        <f t="shared" si="75"/>
        <v>96.845737771342399</v>
      </c>
      <c r="AE377">
        <f t="shared" ca="1" si="76"/>
        <v>72.48567159394706</v>
      </c>
    </row>
    <row r="378" spans="1:31" x14ac:dyDescent="0.3">
      <c r="A378">
        <f t="shared" si="71"/>
        <v>10</v>
      </c>
      <c r="B378" s="2">
        <f t="shared" si="72"/>
        <v>31.339799999841489</v>
      </c>
      <c r="C378" s="2">
        <f t="shared" si="77"/>
        <v>2.2037600000000168</v>
      </c>
      <c r="D378" s="2">
        <f t="shared" si="73"/>
        <v>8.3752976000000672</v>
      </c>
      <c r="E378" s="2"/>
      <c r="F378">
        <v>3230.0505951999999</v>
      </c>
      <c r="G378">
        <v>162.5</v>
      </c>
      <c r="H378">
        <v>234</v>
      </c>
      <c r="I378">
        <v>164.22200000000001</v>
      </c>
      <c r="J378">
        <v>234.524</v>
      </c>
      <c r="K378">
        <v>173.84417714285701</v>
      </c>
      <c r="L378">
        <v>205.70187428571401</v>
      </c>
      <c r="M378">
        <v>311.702935632954</v>
      </c>
      <c r="N378">
        <v>0.1</v>
      </c>
      <c r="O378">
        <v>0</v>
      </c>
      <c r="P378">
        <v>0</v>
      </c>
      <c r="Q378">
        <v>0</v>
      </c>
      <c r="R378">
        <v>0.68773815917968695</v>
      </c>
      <c r="S378">
        <v>-0.241605682373046</v>
      </c>
      <c r="T378">
        <v>0</v>
      </c>
      <c r="U378">
        <v>160.83799999999999</v>
      </c>
      <c r="V378">
        <v>-3.4089999999999998</v>
      </c>
      <c r="W378">
        <v>9.7000000000000003E-2</v>
      </c>
      <c r="X378">
        <v>0.77500000000000002</v>
      </c>
      <c r="Y378" t="b">
        <v>1</v>
      </c>
      <c r="Z378" t="s">
        <v>52</v>
      </c>
      <c r="AA378">
        <f t="shared" si="74"/>
        <v>190.19058198347571</v>
      </c>
      <c r="AB378">
        <f t="shared" si="78"/>
        <v>68.77381591796869</v>
      </c>
      <c r="AC378">
        <f t="shared" si="79"/>
        <v>238.08877967113955</v>
      </c>
      <c r="AD378">
        <f t="shared" si="75"/>
        <v>70.318253467193884</v>
      </c>
      <c r="AE378">
        <f t="shared" ca="1" si="76"/>
        <v>69.51735240984118</v>
      </c>
    </row>
    <row r="379" spans="1:31" x14ac:dyDescent="0.3">
      <c r="A379">
        <f t="shared" si="71"/>
        <v>10</v>
      </c>
      <c r="B379" s="2">
        <f t="shared" si="72"/>
        <v>46.317300000282557</v>
      </c>
      <c r="C379" s="2">
        <f t="shared" si="77"/>
        <v>2.2089999999999748</v>
      </c>
      <c r="D379" s="2">
        <f t="shared" si="73"/>
        <v>8.4216149000003497</v>
      </c>
      <c r="E379" s="2"/>
      <c r="F379">
        <v>3230.0969125000001</v>
      </c>
      <c r="G379">
        <v>165.75</v>
      </c>
      <c r="H379">
        <v>234</v>
      </c>
      <c r="I379">
        <v>163.41300000000001</v>
      </c>
      <c r="J379">
        <v>231.904</v>
      </c>
      <c r="K379">
        <v>173.21309714285701</v>
      </c>
      <c r="L379">
        <v>207.91087428571399</v>
      </c>
      <c r="M379">
        <v>314.22745276016099</v>
      </c>
      <c r="N379">
        <v>0.1</v>
      </c>
      <c r="O379">
        <v>0</v>
      </c>
      <c r="P379">
        <v>0</v>
      </c>
      <c r="Q379">
        <v>0</v>
      </c>
      <c r="R379">
        <v>0.68773815917968695</v>
      </c>
      <c r="S379">
        <v>-0.241605682373046</v>
      </c>
      <c r="T379">
        <v>0</v>
      </c>
      <c r="U379">
        <v>160.83799999999999</v>
      </c>
      <c r="V379">
        <v>-3.14</v>
      </c>
      <c r="W379">
        <v>9.7000000000000003E-2</v>
      </c>
      <c r="X379">
        <v>0.77500000000000002</v>
      </c>
      <c r="Y379" t="b">
        <v>1</v>
      </c>
      <c r="Z379" t="s">
        <v>52</v>
      </c>
      <c r="AA379">
        <f t="shared" si="74"/>
        <v>190.11204666199458</v>
      </c>
      <c r="AB379">
        <f t="shared" si="78"/>
        <v>68.77381591796869</v>
      </c>
      <c r="AC379">
        <f t="shared" si="79"/>
        <v>241.27419713517631</v>
      </c>
      <c r="AD379">
        <f t="shared" si="75"/>
        <v>47.69276274710527</v>
      </c>
      <c r="AE379">
        <f t="shared" ca="1" si="76"/>
        <v>69.907449654165617</v>
      </c>
    </row>
    <row r="380" spans="1:31" x14ac:dyDescent="0.3">
      <c r="A380">
        <f t="shared" si="71"/>
        <v>10</v>
      </c>
      <c r="B380" s="2">
        <f t="shared" si="72"/>
        <v>13.520199999675242</v>
      </c>
      <c r="C380" s="2">
        <f t="shared" si="77"/>
        <v>2.7362400000000093</v>
      </c>
      <c r="D380" s="2">
        <f t="shared" si="73"/>
        <v>8.435135100000025</v>
      </c>
      <c r="E380" s="2"/>
      <c r="F380">
        <v>3230.1104326999998</v>
      </c>
      <c r="G380">
        <v>172.25</v>
      </c>
      <c r="H380">
        <v>240.5</v>
      </c>
      <c r="I380">
        <v>162.41</v>
      </c>
      <c r="J380">
        <v>242.596</v>
      </c>
      <c r="K380">
        <v>172.55173714285701</v>
      </c>
      <c r="L380">
        <v>210.647114285714</v>
      </c>
      <c r="M380">
        <v>317.053592339663</v>
      </c>
      <c r="N380">
        <v>0.1</v>
      </c>
      <c r="O380">
        <v>0</v>
      </c>
      <c r="P380">
        <v>0</v>
      </c>
      <c r="Q380">
        <v>0</v>
      </c>
      <c r="R380">
        <v>0.66156420898437496</v>
      </c>
      <c r="S380">
        <v>-0.25066206359863202</v>
      </c>
      <c r="T380">
        <v>0</v>
      </c>
      <c r="U380">
        <v>160.82900000000001</v>
      </c>
      <c r="V380">
        <v>-3.14</v>
      </c>
      <c r="W380">
        <v>0.372</v>
      </c>
      <c r="X380">
        <v>0.77200000000000002</v>
      </c>
      <c r="Y380" t="b">
        <v>1</v>
      </c>
      <c r="Z380" t="s">
        <v>52</v>
      </c>
      <c r="AA380">
        <f t="shared" si="74"/>
        <v>190.02974311852191</v>
      </c>
      <c r="AB380">
        <f t="shared" si="78"/>
        <v>66.156420898437489</v>
      </c>
      <c r="AC380">
        <f t="shared" si="79"/>
        <v>242.20403288112809</v>
      </c>
      <c r="AD380" t="b">
        <f t="shared" si="75"/>
        <v>0</v>
      </c>
      <c r="AE380">
        <f t="shared" ca="1" si="76"/>
        <v>73.989946715811669</v>
      </c>
    </row>
    <row r="381" spans="1:31" x14ac:dyDescent="0.3">
      <c r="A381">
        <f t="shared" si="71"/>
        <v>10</v>
      </c>
      <c r="B381" s="2">
        <f t="shared" si="72"/>
        <v>32.942700000148761</v>
      </c>
      <c r="C381" s="2">
        <f t="shared" si="77"/>
        <v>2.2732057142860072</v>
      </c>
      <c r="D381" s="2">
        <f t="shared" si="73"/>
        <v>8.4680778000001737</v>
      </c>
      <c r="E381" s="2"/>
      <c r="F381">
        <v>3230.1433754</v>
      </c>
      <c r="G381">
        <v>161.57142857142799</v>
      </c>
      <c r="H381">
        <v>242.35714285714201</v>
      </c>
      <c r="I381">
        <v>160.95642857142801</v>
      </c>
      <c r="J381">
        <v>244.06014285714201</v>
      </c>
      <c r="K381">
        <v>171.858274285714</v>
      </c>
      <c r="L381">
        <v>212.92032</v>
      </c>
      <c r="M381">
        <v>319.541781595327</v>
      </c>
      <c r="N381">
        <v>0.1</v>
      </c>
      <c r="O381">
        <v>0</v>
      </c>
      <c r="P381">
        <v>0</v>
      </c>
      <c r="Q381">
        <v>0</v>
      </c>
      <c r="R381">
        <v>0.66156420898437496</v>
      </c>
      <c r="S381">
        <v>-0.25066206359863202</v>
      </c>
      <c r="T381">
        <v>0</v>
      </c>
      <c r="U381">
        <v>160.82900000000001</v>
      </c>
      <c r="V381">
        <v>-3.14</v>
      </c>
      <c r="W381">
        <v>0.372</v>
      </c>
      <c r="X381">
        <v>0.77200000000000002</v>
      </c>
      <c r="Y381" t="b">
        <v>1</v>
      </c>
      <c r="Z381" t="s">
        <v>52</v>
      </c>
      <c r="AA381">
        <f t="shared" si="74"/>
        <v>189.9434445059515</v>
      </c>
      <c r="AB381">
        <f t="shared" si="78"/>
        <v>66.156420898437489</v>
      </c>
      <c r="AC381">
        <f t="shared" si="79"/>
        <v>244.38340400786888</v>
      </c>
      <c r="AD381">
        <f t="shared" si="75"/>
        <v>69.004839138132027</v>
      </c>
      <c r="AE381">
        <f t="shared" ca="1" si="76"/>
        <v>74.048689192797895</v>
      </c>
    </row>
    <row r="382" spans="1:31" x14ac:dyDescent="0.3">
      <c r="A382">
        <f t="shared" si="71"/>
        <v>10</v>
      </c>
      <c r="B382" s="2">
        <f t="shared" si="72"/>
        <v>31.264799999917159</v>
      </c>
      <c r="C382" s="2">
        <f t="shared" si="77"/>
        <v>2.3970400000000041</v>
      </c>
      <c r="D382" s="2">
        <f t="shared" si="73"/>
        <v>8.4993426000000909</v>
      </c>
      <c r="E382" s="2"/>
      <c r="F382">
        <v>3230.1746401999999</v>
      </c>
      <c r="G382">
        <v>159.9</v>
      </c>
      <c r="H382">
        <v>245.7</v>
      </c>
      <c r="I382">
        <v>159.654</v>
      </c>
      <c r="J382">
        <v>248.58199999999999</v>
      </c>
      <c r="K382">
        <v>171.13095428571401</v>
      </c>
      <c r="L382">
        <v>215.31736000000001</v>
      </c>
      <c r="M382">
        <v>322.13763828690099</v>
      </c>
      <c r="N382">
        <v>0.1</v>
      </c>
      <c r="O382">
        <v>0</v>
      </c>
      <c r="P382">
        <v>0</v>
      </c>
      <c r="Q382">
        <v>0</v>
      </c>
      <c r="R382">
        <v>0.66156420898437496</v>
      </c>
      <c r="S382">
        <v>-0.25066206359863202</v>
      </c>
      <c r="T382">
        <v>0</v>
      </c>
      <c r="U382">
        <v>160.82900000000001</v>
      </c>
      <c r="V382">
        <v>-2.9830000000000001</v>
      </c>
      <c r="W382">
        <v>0.372</v>
      </c>
      <c r="X382">
        <v>0.77200000000000002</v>
      </c>
      <c r="Y382" t="b">
        <v>1</v>
      </c>
      <c r="Z382" t="s">
        <v>52</v>
      </c>
      <c r="AA382">
        <f t="shared" si="74"/>
        <v>189.85293251061074</v>
      </c>
      <c r="AB382">
        <f t="shared" si="78"/>
        <v>66.156420898437489</v>
      </c>
      <c r="AC382">
        <f t="shared" si="79"/>
        <v>246.45177127596887</v>
      </c>
      <c r="AD382">
        <f t="shared" si="75"/>
        <v>76.668969576212078</v>
      </c>
      <c r="AE382">
        <f t="shared" ca="1" si="76"/>
        <v>74.547602316210046</v>
      </c>
    </row>
    <row r="383" spans="1:31" x14ac:dyDescent="0.3">
      <c r="A383">
        <f t="shared" si="71"/>
        <v>0</v>
      </c>
      <c r="B383" s="2">
        <f t="shared" si="72"/>
        <v>30.841700000109995</v>
      </c>
      <c r="C383" s="2">
        <f t="shared" si="77"/>
        <v>-215.31736000000001</v>
      </c>
      <c r="D383" s="2">
        <f t="shared" si="73"/>
        <v>8.5301843000002009</v>
      </c>
      <c r="E383" s="2"/>
      <c r="F383">
        <v>3230.2054819</v>
      </c>
      <c r="G383" t="s">
        <v>39</v>
      </c>
      <c r="H383" t="s">
        <v>41</v>
      </c>
      <c r="V383">
        <v>-3.0920000000000001</v>
      </c>
      <c r="AA383">
        <f t="shared" si="74"/>
        <v>168.55638609779953</v>
      </c>
      <c r="AB383">
        <f>AB382</f>
        <v>66.156420898437489</v>
      </c>
      <c r="AC383">
        <f t="shared" si="79"/>
        <v>248.49214776239947</v>
      </c>
      <c r="AD383">
        <f t="shared" si="75"/>
        <v>76.668969576212078</v>
      </c>
      <c r="AE383">
        <f t="shared" ca="1" si="76"/>
        <v>71.498392527054676</v>
      </c>
    </row>
    <row r="384" spans="1:31" x14ac:dyDescent="0.3">
      <c r="A384">
        <f t="shared" si="71"/>
        <v>0</v>
      </c>
      <c r="B384" s="2">
        <f t="shared" si="72"/>
        <v>0</v>
      </c>
      <c r="C384" s="2">
        <f t="shared" si="77"/>
        <v>217.39595999999901</v>
      </c>
      <c r="D384" s="2">
        <f>F384-$F$7+0.001</f>
        <v>8.5311843000002003</v>
      </c>
      <c r="E384" s="2"/>
      <c r="F384">
        <v>3230.2054819</v>
      </c>
      <c r="G384">
        <v>156</v>
      </c>
      <c r="H384">
        <v>243.75</v>
      </c>
      <c r="I384">
        <v>158.583</v>
      </c>
      <c r="J384">
        <v>242.047</v>
      </c>
      <c r="K384">
        <v>170.370634285714</v>
      </c>
      <c r="L384">
        <v>217.39595999999901</v>
      </c>
      <c r="M384">
        <v>322.13763828690099</v>
      </c>
      <c r="N384">
        <v>0</v>
      </c>
      <c r="O384">
        <v>0</v>
      </c>
      <c r="P384">
        <v>0</v>
      </c>
      <c r="Q384">
        <v>0</v>
      </c>
      <c r="R384">
        <v>0.67368945312499995</v>
      </c>
      <c r="S384">
        <v>-0.25379972839355402</v>
      </c>
      <c r="T384">
        <v>0</v>
      </c>
      <c r="U384">
        <v>160.887</v>
      </c>
      <c r="V384">
        <v>-3.0920000000000001</v>
      </c>
      <c r="W384">
        <v>0.629</v>
      </c>
      <c r="X384">
        <v>0.76900000000000002</v>
      </c>
      <c r="Y384" t="b">
        <v>1</v>
      </c>
      <c r="Z384" t="s">
        <v>52</v>
      </c>
      <c r="AA384">
        <f t="shared" si="74"/>
        <v>189.75831380041788</v>
      </c>
      <c r="AB384">
        <f t="shared" ref="AB384:AB414" si="80">R384*100</f>
        <v>67.368945312499989</v>
      </c>
      <c r="AC384">
        <f t="shared" si="79"/>
        <v>248.55830418329788</v>
      </c>
      <c r="AD384" t="b">
        <f t="shared" si="75"/>
        <v>0</v>
      </c>
      <c r="AE384">
        <f t="shared" ca="1" si="76"/>
        <v>71.294609191003772</v>
      </c>
    </row>
    <row r="385" spans="1:31" x14ac:dyDescent="0.3">
      <c r="A385">
        <f t="shared" si="71"/>
        <v>0</v>
      </c>
      <c r="B385" s="2">
        <f t="shared" si="72"/>
        <v>31.320500000219909</v>
      </c>
      <c r="C385" s="2">
        <f t="shared" si="77"/>
        <v>2.2509199999999794</v>
      </c>
      <c r="D385" s="2">
        <f t="shared" si="73"/>
        <v>8.5615048000004208</v>
      </c>
      <c r="E385" s="2"/>
      <c r="F385">
        <v>3230.2368024000002</v>
      </c>
      <c r="G385">
        <v>156</v>
      </c>
      <c r="H385">
        <v>243.75</v>
      </c>
      <c r="I385">
        <v>157.59899999999999</v>
      </c>
      <c r="J385">
        <v>239.42699999999999</v>
      </c>
      <c r="K385">
        <v>169.57587428571401</v>
      </c>
      <c r="L385">
        <v>219.64687999999899</v>
      </c>
      <c r="M385">
        <v>322.13763828690099</v>
      </c>
      <c r="N385">
        <v>0</v>
      </c>
      <c r="O385">
        <v>0</v>
      </c>
      <c r="P385">
        <v>0</v>
      </c>
      <c r="Q385">
        <v>0</v>
      </c>
      <c r="R385">
        <v>0.67806115722656202</v>
      </c>
      <c r="S385">
        <v>-0.25110415649413997</v>
      </c>
      <c r="T385">
        <v>0</v>
      </c>
      <c r="U385">
        <v>160.852</v>
      </c>
      <c r="V385">
        <v>-3.0880000000000001</v>
      </c>
      <c r="W385">
        <v>0.754</v>
      </c>
      <c r="X385">
        <v>0.76600000000000001</v>
      </c>
      <c r="Y385" t="b">
        <v>1</v>
      </c>
      <c r="Z385" t="s">
        <v>52</v>
      </c>
      <c r="AA385">
        <f t="shared" si="74"/>
        <v>189.65940917327026</v>
      </c>
      <c r="AB385">
        <f t="shared" si="80"/>
        <v>67.806115722656202</v>
      </c>
      <c r="AC385">
        <f t="shared" si="79"/>
        <v>250.6009642896604</v>
      </c>
      <c r="AD385">
        <f t="shared" si="75"/>
        <v>74.237562044940319</v>
      </c>
      <c r="AE385">
        <f t="shared" ca="1" si="76"/>
        <v>71.294609191003772</v>
      </c>
    </row>
    <row r="386" spans="1:31" x14ac:dyDescent="0.3">
      <c r="A386">
        <f t="shared" si="71"/>
        <v>0</v>
      </c>
      <c r="B386" s="2">
        <f t="shared" si="72"/>
        <v>46.994899999845074</v>
      </c>
      <c r="C386" s="2">
        <f t="shared" si="77"/>
        <v>3.2167200000000093</v>
      </c>
      <c r="D386" s="2">
        <f t="shared" si="73"/>
        <v>8.6084997000002659</v>
      </c>
      <c r="E386" s="2"/>
      <c r="F386">
        <v>3230.2837973000001</v>
      </c>
      <c r="G386">
        <v>156</v>
      </c>
      <c r="H386">
        <v>253.5</v>
      </c>
      <c r="I386">
        <v>156.369</v>
      </c>
      <c r="J386">
        <v>256.77499999999998</v>
      </c>
      <c r="K386">
        <v>168.731914285714</v>
      </c>
      <c r="L386">
        <v>222.863599999999</v>
      </c>
      <c r="M386">
        <v>322.13763828690099</v>
      </c>
      <c r="N386">
        <v>0</v>
      </c>
      <c r="O386">
        <v>0</v>
      </c>
      <c r="P386">
        <v>0</v>
      </c>
      <c r="Q386">
        <v>0</v>
      </c>
      <c r="R386">
        <v>0.67806115722656202</v>
      </c>
      <c r="S386">
        <v>-0.25110415649413997</v>
      </c>
      <c r="T386">
        <v>0</v>
      </c>
      <c r="U386">
        <v>160.852</v>
      </c>
      <c r="V386">
        <v>-3.0880000000000001</v>
      </c>
      <c r="W386">
        <v>0.754</v>
      </c>
      <c r="X386">
        <v>0.76600000000000001</v>
      </c>
      <c r="Y386" t="b">
        <v>1</v>
      </c>
      <c r="Z386" t="s">
        <v>52</v>
      </c>
      <c r="AA386">
        <f t="shared" si="74"/>
        <v>189.55438180761584</v>
      </c>
      <c r="AB386">
        <f t="shared" si="80"/>
        <v>67.806115722656202</v>
      </c>
      <c r="AC386">
        <f t="shared" si="79"/>
        <v>253.78750591742454</v>
      </c>
      <c r="AD386">
        <f t="shared" si="75"/>
        <v>68.448278430438492</v>
      </c>
      <c r="AE386">
        <f t="shared" ca="1" si="76"/>
        <v>70.901441800786287</v>
      </c>
    </row>
    <row r="387" spans="1:31" x14ac:dyDescent="0.3">
      <c r="A387">
        <f t="shared" si="71"/>
        <v>0</v>
      </c>
      <c r="B387" s="2">
        <f t="shared" si="72"/>
        <v>31.151099999988219</v>
      </c>
      <c r="C387" s="2">
        <f t="shared" si="77"/>
        <v>2.2771199999999965</v>
      </c>
      <c r="D387" s="2">
        <f t="shared" si="73"/>
        <v>8.6396508000002541</v>
      </c>
      <c r="E387" s="2"/>
      <c r="F387">
        <v>3230.3149484</v>
      </c>
      <c r="G387">
        <v>165.75</v>
      </c>
      <c r="H387">
        <v>253.5</v>
      </c>
      <c r="I387">
        <v>155.66399999999999</v>
      </c>
      <c r="J387">
        <v>254.155</v>
      </c>
      <c r="K387">
        <v>167.88435428571401</v>
      </c>
      <c r="L387">
        <v>225.14071999999899</v>
      </c>
      <c r="M387">
        <v>322.13763828690099</v>
      </c>
      <c r="N387">
        <v>0</v>
      </c>
      <c r="O387">
        <v>0</v>
      </c>
      <c r="P387">
        <v>0</v>
      </c>
      <c r="Q387">
        <v>0</v>
      </c>
      <c r="R387">
        <v>0.64984100341796802</v>
      </c>
      <c r="S387">
        <v>-0.24312356567382801</v>
      </c>
      <c r="T387">
        <v>0</v>
      </c>
      <c r="U387">
        <v>160.815</v>
      </c>
      <c r="V387">
        <v>-3.0880000000000001</v>
      </c>
      <c r="W387">
        <v>0.874</v>
      </c>
      <c r="X387">
        <v>0.77</v>
      </c>
      <c r="Y387" t="b">
        <v>1</v>
      </c>
      <c r="Z387" t="s">
        <v>52</v>
      </c>
      <c r="AA387">
        <f t="shared" si="74"/>
        <v>189.44890643670482</v>
      </c>
      <c r="AB387">
        <f t="shared" si="80"/>
        <v>64.984100341796804</v>
      </c>
      <c r="AC387">
        <f t="shared" si="79"/>
        <v>255.89974100891177</v>
      </c>
      <c r="AD387">
        <f t="shared" si="75"/>
        <v>73.099184298495317</v>
      </c>
      <c r="AE387">
        <f t="shared" ca="1" si="76"/>
        <v>71.208087222079754</v>
      </c>
    </row>
    <row r="388" spans="1:31" x14ac:dyDescent="0.3">
      <c r="A388">
        <f t="shared" si="71"/>
        <v>0</v>
      </c>
      <c r="B388" s="2">
        <f t="shared" si="72"/>
        <v>31.220999999732157</v>
      </c>
      <c r="C388" s="2">
        <f t="shared" si="77"/>
        <v>2.2928400000000124</v>
      </c>
      <c r="D388" s="2">
        <f t="shared" si="73"/>
        <v>8.6708717999999863</v>
      </c>
      <c r="E388" s="2"/>
      <c r="F388">
        <v>3230.3461693999998</v>
      </c>
      <c r="G388">
        <v>156</v>
      </c>
      <c r="H388">
        <v>253.5</v>
      </c>
      <c r="I388">
        <v>154.40100000000001</v>
      </c>
      <c r="J388">
        <v>251.666</v>
      </c>
      <c r="K388">
        <v>166.99611428571399</v>
      </c>
      <c r="L388">
        <v>227.43355999999901</v>
      </c>
      <c r="M388">
        <v>322.13763828690099</v>
      </c>
      <c r="N388">
        <v>0</v>
      </c>
      <c r="O388">
        <v>0</v>
      </c>
      <c r="P388">
        <v>0</v>
      </c>
      <c r="Q388">
        <v>0</v>
      </c>
      <c r="R388">
        <v>0.64984100341796802</v>
      </c>
      <c r="S388">
        <v>-0.24312356567382801</v>
      </c>
      <c r="T388">
        <v>0</v>
      </c>
      <c r="U388">
        <v>160.815</v>
      </c>
      <c r="V388">
        <v>-3.2050000000000001</v>
      </c>
      <c r="W388">
        <v>0.874</v>
      </c>
      <c r="X388">
        <v>0.77</v>
      </c>
      <c r="Y388" t="b">
        <v>1</v>
      </c>
      <c r="Z388" t="s">
        <v>52</v>
      </c>
      <c r="AA388">
        <f t="shared" si="74"/>
        <v>189.33836860639428</v>
      </c>
      <c r="AB388">
        <f t="shared" si="80"/>
        <v>64.984100341796804</v>
      </c>
      <c r="AC388">
        <f t="shared" si="79"/>
        <v>257.9286096056656</v>
      </c>
      <c r="AD388">
        <f t="shared" si="75"/>
        <v>73.439031421789267</v>
      </c>
      <c r="AE388">
        <f t="shared" ca="1" si="76"/>
        <v>71.076868480597327</v>
      </c>
    </row>
    <row r="389" spans="1:31" x14ac:dyDescent="0.3">
      <c r="A389">
        <f t="shared" si="71"/>
        <v>0</v>
      </c>
      <c r="B389" s="2">
        <f t="shared" si="72"/>
        <v>31.75150000015492</v>
      </c>
      <c r="C389" s="2">
        <f t="shared" si="77"/>
        <v>2.551320000000004</v>
      </c>
      <c r="D389" s="2">
        <f t="shared" si="73"/>
        <v>8.7026233000001412</v>
      </c>
      <c r="E389" s="2"/>
      <c r="F389">
        <v>3230.3779208999999</v>
      </c>
      <c r="G389">
        <v>159.9</v>
      </c>
      <c r="H389">
        <v>261.3</v>
      </c>
      <c r="I389">
        <v>153.25800000000001</v>
      </c>
      <c r="J389">
        <v>265.09899999999999</v>
      </c>
      <c r="K389">
        <v>166.063954285714</v>
      </c>
      <c r="L389">
        <v>229.98487999999901</v>
      </c>
      <c r="M389">
        <v>322.13763828690099</v>
      </c>
      <c r="N389">
        <v>0</v>
      </c>
      <c r="O389">
        <v>0</v>
      </c>
      <c r="P389">
        <v>0</v>
      </c>
      <c r="Q389">
        <v>0</v>
      </c>
      <c r="R389">
        <v>0.64984100341796802</v>
      </c>
      <c r="S389">
        <v>-0.24312356567382801</v>
      </c>
      <c r="T389">
        <v>0</v>
      </c>
      <c r="U389">
        <v>160.815</v>
      </c>
      <c r="V389">
        <v>-3.2589999999999999</v>
      </c>
      <c r="W389">
        <v>0.874</v>
      </c>
      <c r="X389">
        <v>0.77</v>
      </c>
      <c r="Y389" t="b">
        <v>1</v>
      </c>
      <c r="Z389" t="s">
        <v>52</v>
      </c>
      <c r="AA389">
        <f t="shared" si="74"/>
        <v>189.22236511195328</v>
      </c>
      <c r="AB389">
        <f t="shared" si="80"/>
        <v>64.984100341796804</v>
      </c>
      <c r="AC389">
        <f t="shared" si="79"/>
        <v>259.99195226767824</v>
      </c>
      <c r="AD389">
        <f t="shared" si="75"/>
        <v>80.352739240273877</v>
      </c>
      <c r="AE389">
        <f t="shared" ca="1" si="76"/>
        <v>69.89243158107972</v>
      </c>
    </row>
    <row r="390" spans="1:31" x14ac:dyDescent="0.3">
      <c r="A390">
        <f t="shared" si="71"/>
        <v>0</v>
      </c>
      <c r="B390" s="2">
        <f t="shared" si="72"/>
        <v>30.839000000014494</v>
      </c>
      <c r="C390" s="2">
        <f t="shared" si="77"/>
        <v>2.2980799999999988</v>
      </c>
      <c r="D390" s="2">
        <f t="shared" si="73"/>
        <v>8.7334623000001557</v>
      </c>
      <c r="E390" s="2"/>
      <c r="F390">
        <v>3230.4087598999999</v>
      </c>
      <c r="G390">
        <v>156</v>
      </c>
      <c r="H390">
        <v>263.25</v>
      </c>
      <c r="I390">
        <v>151.941</v>
      </c>
      <c r="J390">
        <v>266.39400000000001</v>
      </c>
      <c r="K390">
        <v>165.08715428571401</v>
      </c>
      <c r="L390">
        <v>232.28295999999901</v>
      </c>
      <c r="M390">
        <v>322.13763828690099</v>
      </c>
      <c r="N390">
        <v>0</v>
      </c>
      <c r="O390">
        <v>0</v>
      </c>
      <c r="P390">
        <v>0</v>
      </c>
      <c r="Q390">
        <v>0</v>
      </c>
      <c r="R390">
        <v>0.65293292236328104</v>
      </c>
      <c r="S390">
        <v>-0.23134416198730401</v>
      </c>
      <c r="T390">
        <v>0</v>
      </c>
      <c r="U390">
        <v>160.785</v>
      </c>
      <c r="V390">
        <v>-3.2589999999999999</v>
      </c>
      <c r="W390">
        <v>1.07</v>
      </c>
      <c r="X390">
        <v>0.76700000000000002</v>
      </c>
      <c r="Y390" t="b">
        <v>1</v>
      </c>
      <c r="Z390" t="s">
        <v>52</v>
      </c>
      <c r="AA390">
        <f t="shared" si="74"/>
        <v>189.10080635233049</v>
      </c>
      <c r="AB390">
        <f t="shared" si="80"/>
        <v>65.293292236328099</v>
      </c>
      <c r="AC390">
        <f t="shared" si="79"/>
        <v>261.99599693811984</v>
      </c>
      <c r="AD390">
        <f t="shared" si="75"/>
        <v>74.518629008687654</v>
      </c>
      <c r="AE390">
        <f t="shared" ca="1" si="76"/>
        <v>65.54150678655283</v>
      </c>
    </row>
    <row r="391" spans="1:31" x14ac:dyDescent="0.3">
      <c r="A391">
        <f t="shared" si="71"/>
        <v>0</v>
      </c>
      <c r="B391" s="2">
        <f t="shared" si="72"/>
        <v>31.197199999951408</v>
      </c>
      <c r="C391" s="2">
        <f t="shared" si="77"/>
        <v>2.292839999999984</v>
      </c>
      <c r="D391" s="2">
        <f t="shared" si="73"/>
        <v>8.7646595000001071</v>
      </c>
      <c r="E391" s="2"/>
      <c r="F391">
        <v>3230.4399570999999</v>
      </c>
      <c r="G391">
        <v>156</v>
      </c>
      <c r="H391">
        <v>263.25</v>
      </c>
      <c r="I391">
        <v>150.834</v>
      </c>
      <c r="J391">
        <v>263.90499999999997</v>
      </c>
      <c r="K391">
        <v>164.066074285714</v>
      </c>
      <c r="L391">
        <v>234.57579999999899</v>
      </c>
      <c r="M391">
        <v>322.13763828690099</v>
      </c>
      <c r="N391">
        <v>0</v>
      </c>
      <c r="O391">
        <v>0</v>
      </c>
      <c r="P391">
        <v>0</v>
      </c>
      <c r="Q391">
        <v>0</v>
      </c>
      <c r="R391">
        <v>0.68332067871093705</v>
      </c>
      <c r="S391">
        <v>-0.21204113769531199</v>
      </c>
      <c r="T391">
        <v>0</v>
      </c>
      <c r="U391">
        <v>160.83699999999999</v>
      </c>
      <c r="V391">
        <v>-3.2480000000000002</v>
      </c>
      <c r="W391">
        <v>1.256</v>
      </c>
      <c r="X391">
        <v>0.76300000000000001</v>
      </c>
      <c r="Y391" t="b">
        <v>1</v>
      </c>
      <c r="Z391" t="s">
        <v>52</v>
      </c>
      <c r="AA391">
        <f t="shared" si="74"/>
        <v>188.9737371280516</v>
      </c>
      <c r="AB391">
        <f t="shared" si="80"/>
        <v>68.332067871093699</v>
      </c>
      <c r="AC391">
        <f t="shared" si="79"/>
        <v>264.03296483467187</v>
      </c>
      <c r="AD391">
        <f t="shared" si="75"/>
        <v>73.495057248841405</v>
      </c>
      <c r="AE391">
        <f t="shared" ca="1" si="76"/>
        <v>65.265586332616962</v>
      </c>
    </row>
    <row r="392" spans="1:31" x14ac:dyDescent="0.3">
      <c r="A392">
        <f t="shared" ref="A392:A455" si="81">N392*100</f>
        <v>0</v>
      </c>
      <c r="B392" s="2">
        <f t="shared" ref="B392:B455" si="82">(F392-F391)*1000</f>
        <v>46.471300000121119</v>
      </c>
      <c r="C392" s="2">
        <f t="shared" si="77"/>
        <v>2.2875999999999976</v>
      </c>
      <c r="D392" s="2">
        <f t="shared" ref="D392:D455" si="83">F392-$F$7</f>
        <v>8.8111308000002282</v>
      </c>
      <c r="E392" s="2"/>
      <c r="F392">
        <v>3230.4864284</v>
      </c>
      <c r="G392">
        <v>146.25</v>
      </c>
      <c r="H392">
        <v>263.25</v>
      </c>
      <c r="I392">
        <v>149.69399999999999</v>
      </c>
      <c r="J392">
        <v>261.28500000000003</v>
      </c>
      <c r="K392">
        <v>163.009234285714</v>
      </c>
      <c r="L392">
        <v>236.86339999999899</v>
      </c>
      <c r="M392">
        <v>322.13763828690099</v>
      </c>
      <c r="N392">
        <v>0</v>
      </c>
      <c r="O392">
        <v>0</v>
      </c>
      <c r="P392">
        <v>0</v>
      </c>
      <c r="Q392">
        <v>0</v>
      </c>
      <c r="R392">
        <v>0.68332067871093705</v>
      </c>
      <c r="S392">
        <v>-0.21204113769531199</v>
      </c>
      <c r="T392">
        <v>0</v>
      </c>
      <c r="U392">
        <v>160.83699999999999</v>
      </c>
      <c r="V392">
        <v>-3.2480000000000002</v>
      </c>
      <c r="W392">
        <v>1.256</v>
      </c>
      <c r="X392">
        <v>0.76300000000000001</v>
      </c>
      <c r="Y392" t="b">
        <v>1</v>
      </c>
      <c r="Z392" t="s">
        <v>52</v>
      </c>
      <c r="AA392">
        <f t="shared" ref="AA392:AA455" si="84">$K$4+($AA$4/$K$3*(K392-$K$4))</f>
        <v>188.84221771822385</v>
      </c>
      <c r="AB392">
        <f t="shared" si="80"/>
        <v>68.332067871093699</v>
      </c>
      <c r="AC392">
        <f t="shared" si="79"/>
        <v>267.20844486033809</v>
      </c>
      <c r="AD392">
        <f t="shared" ref="AD392:AD455" si="85">IF((L392-L391)/(D392-D391)&lt;100,IF((L392-L391)/(D392-D391)&gt;(-1*20),(L392-L391)/(D392-D391),AD391))</f>
        <v>49.226081473813629</v>
      </c>
      <c r="AE392">
        <f t="shared" ref="AE392:AE455" ca="1" si="86">IF(ROW(AD392)-ROW($AD$7)+1&gt;=$AE$6, AVERAGE(OFFSET(AD392, 0, 0, $AE$6, 1)), NA())</f>
        <v>64.670233869117965</v>
      </c>
    </row>
    <row r="393" spans="1:31" x14ac:dyDescent="0.3">
      <c r="A393">
        <f t="shared" si="81"/>
        <v>0</v>
      </c>
      <c r="B393" s="2">
        <f t="shared" si="82"/>
        <v>31.943299999966257</v>
      </c>
      <c r="C393" s="2">
        <f t="shared" ref="C393:C456" si="87">L393-L392</f>
        <v>2.3904742857150154</v>
      </c>
      <c r="D393" s="2">
        <f t="shared" si="83"/>
        <v>8.8430741000001944</v>
      </c>
      <c r="E393" s="2"/>
      <c r="F393">
        <v>3230.5183717</v>
      </c>
      <c r="G393">
        <v>142.07142857142799</v>
      </c>
      <c r="H393">
        <v>264.642857142857</v>
      </c>
      <c r="I393">
        <v>148.34442857142801</v>
      </c>
      <c r="J393">
        <v>261.49885714285699</v>
      </c>
      <c r="K393">
        <v>161.91317142857099</v>
      </c>
      <c r="L393">
        <v>239.25387428571401</v>
      </c>
      <c r="M393">
        <v>322.13763828690099</v>
      </c>
      <c r="N393">
        <v>0</v>
      </c>
      <c r="O393">
        <v>0</v>
      </c>
      <c r="P393">
        <v>0</v>
      </c>
      <c r="Q393">
        <v>0</v>
      </c>
      <c r="R393">
        <v>0.71031335449218702</v>
      </c>
      <c r="S393">
        <v>-0.16952297973632799</v>
      </c>
      <c r="T393">
        <v>0</v>
      </c>
      <c r="U393">
        <v>160.881</v>
      </c>
      <c r="V393">
        <v>-3.2480000000000002</v>
      </c>
      <c r="W393">
        <v>1.1870000000000001</v>
      </c>
      <c r="X393">
        <v>0.76</v>
      </c>
      <c r="Y393" t="b">
        <v>1</v>
      </c>
      <c r="Z393" t="s">
        <v>52</v>
      </c>
      <c r="AA393">
        <f t="shared" si="84"/>
        <v>188.70581718445757</v>
      </c>
      <c r="AB393">
        <f t="shared" si="80"/>
        <v>71.031335449218702</v>
      </c>
      <c r="AC393">
        <f t="shared" si="79"/>
        <v>269.3911966039625</v>
      </c>
      <c r="AD393">
        <f t="shared" si="85"/>
        <v>74.834919551753913</v>
      </c>
      <c r="AE393">
        <f t="shared" ca="1" si="86"/>
        <v>66.876541354161432</v>
      </c>
    </row>
    <row r="394" spans="1:31" x14ac:dyDescent="0.3">
      <c r="A394">
        <f t="shared" si="81"/>
        <v>0</v>
      </c>
      <c r="B394" s="2">
        <f t="shared" si="82"/>
        <v>29.825300000084098</v>
      </c>
      <c r="C394" s="2">
        <f t="shared" si="87"/>
        <v>3.0705999999999847</v>
      </c>
      <c r="D394" s="2">
        <f t="shared" si="83"/>
        <v>8.8728994000002785</v>
      </c>
      <c r="E394" s="2"/>
      <c r="F394">
        <v>3230.5481970000001</v>
      </c>
      <c r="G394">
        <v>143</v>
      </c>
      <c r="H394">
        <v>273</v>
      </c>
      <c r="I394">
        <v>146.93600000000001</v>
      </c>
      <c r="J394">
        <v>276.14400000000001</v>
      </c>
      <c r="K394">
        <v>160.78537142857101</v>
      </c>
      <c r="L394">
        <v>242.32447428571399</v>
      </c>
      <c r="M394">
        <v>322.13763828690099</v>
      </c>
      <c r="N394">
        <v>0</v>
      </c>
      <c r="O394">
        <v>0</v>
      </c>
      <c r="P394">
        <v>0</v>
      </c>
      <c r="Q394">
        <v>0</v>
      </c>
      <c r="R394">
        <v>0.71031335449218702</v>
      </c>
      <c r="S394">
        <v>-0.16952297973632799</v>
      </c>
      <c r="T394">
        <v>0</v>
      </c>
      <c r="U394">
        <v>160.881</v>
      </c>
      <c r="V394">
        <v>-3.2919999999999998</v>
      </c>
      <c r="W394">
        <v>1.1870000000000001</v>
      </c>
      <c r="X394">
        <v>0.76</v>
      </c>
      <c r="Y394" t="b">
        <v>1</v>
      </c>
      <c r="Z394" t="s">
        <v>52</v>
      </c>
      <c r="AA394">
        <f t="shared" si="84"/>
        <v>188.56546709323874</v>
      </c>
      <c r="AB394">
        <f t="shared" si="80"/>
        <v>71.031335449218702</v>
      </c>
      <c r="AC394">
        <f t="shared" si="79"/>
        <v>271.50972749314207</v>
      </c>
      <c r="AD394" t="b">
        <f t="shared" si="85"/>
        <v>0</v>
      </c>
      <c r="AE394">
        <f t="shared" ca="1" si="86"/>
        <v>66.622650137634736</v>
      </c>
    </row>
    <row r="395" spans="1:31" x14ac:dyDescent="0.3">
      <c r="A395">
        <f t="shared" si="81"/>
        <v>0</v>
      </c>
      <c r="B395" s="2">
        <f t="shared" si="82"/>
        <v>32.060399999863876</v>
      </c>
      <c r="C395" s="2">
        <f t="shared" si="87"/>
        <v>2.2666400000000237</v>
      </c>
      <c r="D395" s="2">
        <f t="shared" si="83"/>
        <v>8.9049598000001424</v>
      </c>
      <c r="E395" s="2"/>
      <c r="F395">
        <v>3230.5802573999999</v>
      </c>
      <c r="G395">
        <v>146.25</v>
      </c>
      <c r="H395">
        <v>273</v>
      </c>
      <c r="I395">
        <v>145.63499999999999</v>
      </c>
      <c r="J395">
        <v>273.65499999999997</v>
      </c>
      <c r="K395">
        <v>159.65473142857101</v>
      </c>
      <c r="L395">
        <v>244.59111428571401</v>
      </c>
      <c r="M395">
        <v>322.13763828690099</v>
      </c>
      <c r="N395">
        <v>0</v>
      </c>
      <c r="O395">
        <v>0</v>
      </c>
      <c r="P395">
        <v>0</v>
      </c>
      <c r="Q395">
        <v>0</v>
      </c>
      <c r="R395">
        <v>0.71031335449218702</v>
      </c>
      <c r="S395">
        <v>-0.16952297973632799</v>
      </c>
      <c r="T395">
        <v>0</v>
      </c>
      <c r="U395">
        <v>160.881</v>
      </c>
      <c r="V395">
        <v>-3.2519999999999998</v>
      </c>
      <c r="W395">
        <v>1.1870000000000001</v>
      </c>
      <c r="X395">
        <v>0.76</v>
      </c>
      <c r="Y395" t="b">
        <v>1</v>
      </c>
      <c r="Z395" t="s">
        <v>52</v>
      </c>
      <c r="AA395">
        <f t="shared" si="84"/>
        <v>188.42476357565079</v>
      </c>
      <c r="AB395">
        <f t="shared" si="80"/>
        <v>71.031335449218702</v>
      </c>
      <c r="AC395">
        <f t="shared" si="79"/>
        <v>273.78702052016854</v>
      </c>
      <c r="AD395">
        <f t="shared" si="85"/>
        <v>70.699055532982982</v>
      </c>
      <c r="AE395">
        <f t="shared" ca="1" si="86"/>
        <v>67.198065111605516</v>
      </c>
    </row>
    <row r="396" spans="1:31" x14ac:dyDescent="0.3">
      <c r="A396">
        <f t="shared" si="81"/>
        <v>0</v>
      </c>
      <c r="B396" s="2">
        <f t="shared" si="82"/>
        <v>15.579899999920599</v>
      </c>
      <c r="C396" s="2">
        <f t="shared" si="87"/>
        <v>2.2613999999999805</v>
      </c>
      <c r="D396" s="2">
        <f t="shared" si="83"/>
        <v>8.920539700000063</v>
      </c>
      <c r="E396" s="2"/>
      <c r="F396">
        <v>3230.5958372999999</v>
      </c>
      <c r="G396">
        <v>146.25</v>
      </c>
      <c r="H396">
        <v>273</v>
      </c>
      <c r="I396">
        <v>144.65100000000001</v>
      </c>
      <c r="J396">
        <v>271.29700000000003</v>
      </c>
      <c r="K396">
        <v>158.52409142857101</v>
      </c>
      <c r="L396">
        <v>246.85251428571399</v>
      </c>
      <c r="M396">
        <v>322.13763828690099</v>
      </c>
      <c r="N396">
        <v>0</v>
      </c>
      <c r="O396">
        <v>0</v>
      </c>
      <c r="P396">
        <v>0</v>
      </c>
      <c r="Q396">
        <v>0</v>
      </c>
      <c r="R396">
        <v>0.69402020263671804</v>
      </c>
      <c r="S396">
        <v>-0.175054428100585</v>
      </c>
      <c r="T396">
        <v>0</v>
      </c>
      <c r="U396">
        <v>160.85</v>
      </c>
      <c r="V396">
        <v>-3.2519999999999998</v>
      </c>
      <c r="W396">
        <v>0.99299999999999999</v>
      </c>
      <c r="X396">
        <v>0.75600000000000001</v>
      </c>
      <c r="Y396" t="b">
        <v>1</v>
      </c>
      <c r="Z396" t="s">
        <v>52</v>
      </c>
      <c r="AA396">
        <f t="shared" si="84"/>
        <v>188.28406005806283</v>
      </c>
      <c r="AB396">
        <f t="shared" si="80"/>
        <v>69.402020263671801</v>
      </c>
      <c r="AC396">
        <f t="shared" si="79"/>
        <v>274.89368162332818</v>
      </c>
      <c r="AD396" t="b">
        <f t="shared" si="85"/>
        <v>0</v>
      </c>
      <c r="AE396">
        <f t="shared" ca="1" si="86"/>
        <v>66.485013030379804</v>
      </c>
    </row>
    <row r="397" spans="1:31" x14ac:dyDescent="0.3">
      <c r="A397">
        <f t="shared" si="81"/>
        <v>0</v>
      </c>
      <c r="B397" s="2">
        <f t="shared" si="82"/>
        <v>31.168600000000879</v>
      </c>
      <c r="C397" s="2">
        <f t="shared" si="87"/>
        <v>2.245679999999993</v>
      </c>
      <c r="D397" s="2">
        <f t="shared" si="83"/>
        <v>8.9517083000000639</v>
      </c>
      <c r="E397" s="2"/>
      <c r="F397">
        <v>3230.6270058999999</v>
      </c>
      <c r="G397">
        <v>146.25</v>
      </c>
      <c r="H397">
        <v>273</v>
      </c>
      <c r="I397">
        <v>143.42099999999999</v>
      </c>
      <c r="J397">
        <v>268.67700000000002</v>
      </c>
      <c r="K397">
        <v>157.38361142857099</v>
      </c>
      <c r="L397">
        <v>249.09819428571399</v>
      </c>
      <c r="M397">
        <v>322.13763828690099</v>
      </c>
      <c r="N397">
        <v>0</v>
      </c>
      <c r="O397">
        <v>0</v>
      </c>
      <c r="P397">
        <v>0</v>
      </c>
      <c r="Q397">
        <v>0</v>
      </c>
      <c r="R397">
        <v>0.69402020263671804</v>
      </c>
      <c r="S397">
        <v>-0.175054428100585</v>
      </c>
      <c r="T397">
        <v>0</v>
      </c>
      <c r="U397">
        <v>160.85</v>
      </c>
      <c r="V397">
        <v>-3.2120000000000002</v>
      </c>
      <c r="W397">
        <v>0.99299999999999999</v>
      </c>
      <c r="X397">
        <v>0.75600000000000001</v>
      </c>
      <c r="Y397" t="b">
        <v>1</v>
      </c>
      <c r="Z397" t="s">
        <v>52</v>
      </c>
      <c r="AA397">
        <f t="shared" si="84"/>
        <v>188.14213199277356</v>
      </c>
      <c r="AB397">
        <f t="shared" si="80"/>
        <v>69.402020263671801</v>
      </c>
      <c r="AC397">
        <f t="shared" si="79"/>
        <v>277.05684543211851</v>
      </c>
      <c r="AD397">
        <f t="shared" si="85"/>
        <v>72.049434366635964</v>
      </c>
      <c r="AE397">
        <f t="shared" ca="1" si="86"/>
        <v>67.835166061210259</v>
      </c>
    </row>
    <row r="398" spans="1:31" x14ac:dyDescent="0.3">
      <c r="A398">
        <f t="shared" si="81"/>
        <v>0</v>
      </c>
      <c r="B398" s="2">
        <f t="shared" si="82"/>
        <v>30.539900000349007</v>
      </c>
      <c r="C398" s="2">
        <f t="shared" si="87"/>
        <v>1.9534400000000005</v>
      </c>
      <c r="D398" s="2">
        <f t="shared" si="83"/>
        <v>8.9822482000004129</v>
      </c>
      <c r="E398" s="2"/>
      <c r="F398">
        <v>3230.6575458000002</v>
      </c>
      <c r="G398">
        <v>132.6</v>
      </c>
      <c r="H398">
        <v>280.8</v>
      </c>
      <c r="I398">
        <v>142.071</v>
      </c>
      <c r="J398">
        <v>282.63400000000001</v>
      </c>
      <c r="K398">
        <v>156.248171428571</v>
      </c>
      <c r="L398">
        <v>251.05163428571399</v>
      </c>
      <c r="M398">
        <v>322.13763828690099</v>
      </c>
      <c r="N398">
        <v>0</v>
      </c>
      <c r="O398">
        <v>0</v>
      </c>
      <c r="P398">
        <v>0</v>
      </c>
      <c r="Q398">
        <v>0</v>
      </c>
      <c r="R398">
        <v>0.59304071044921802</v>
      </c>
      <c r="S398">
        <v>-0.173325088500976</v>
      </c>
      <c r="T398">
        <v>0</v>
      </c>
      <c r="U398">
        <v>160.77600000000001</v>
      </c>
      <c r="V398">
        <v>-3.2120000000000002</v>
      </c>
      <c r="W398">
        <v>0.89</v>
      </c>
      <c r="X398">
        <v>0.752</v>
      </c>
      <c r="Y398" t="b">
        <v>1</v>
      </c>
      <c r="Z398" t="s">
        <v>52</v>
      </c>
      <c r="AA398">
        <f t="shared" si="84"/>
        <v>188.00083113484348</v>
      </c>
      <c r="AB398">
        <f t="shared" si="80"/>
        <v>59.304071044921805</v>
      </c>
      <c r="AC398">
        <f t="shared" si="79"/>
        <v>279.17637619079323</v>
      </c>
      <c r="AD398">
        <f t="shared" si="85"/>
        <v>63.963536225648305</v>
      </c>
      <c r="AE398">
        <f t="shared" ca="1" si="86"/>
        <v>67.783848647101664</v>
      </c>
    </row>
    <row r="399" spans="1:31" x14ac:dyDescent="0.3">
      <c r="A399">
        <f t="shared" si="81"/>
        <v>0</v>
      </c>
      <c r="B399" s="2">
        <f t="shared" si="82"/>
        <v>47.589499999958207</v>
      </c>
      <c r="C399" s="2">
        <f t="shared" si="87"/>
        <v>2.1674800000000118</v>
      </c>
      <c r="D399" s="2">
        <f t="shared" si="83"/>
        <v>9.0298377000003711</v>
      </c>
      <c r="E399" s="2"/>
      <c r="F399">
        <v>3230.7051353000002</v>
      </c>
      <c r="G399">
        <v>132.6</v>
      </c>
      <c r="H399">
        <v>284.7</v>
      </c>
      <c r="I399">
        <v>140.71799999999999</v>
      </c>
      <c r="J399">
        <v>288.236999999999</v>
      </c>
      <c r="K399">
        <v>155.10989142857099</v>
      </c>
      <c r="L399">
        <v>253.219114285714</v>
      </c>
      <c r="M399">
        <v>322.13763828690099</v>
      </c>
      <c r="N399">
        <v>0</v>
      </c>
      <c r="O399">
        <v>0</v>
      </c>
      <c r="P399">
        <v>0</v>
      </c>
      <c r="Q399">
        <v>0</v>
      </c>
      <c r="R399">
        <v>0.484890258789062</v>
      </c>
      <c r="S399">
        <v>-0.129755218505859</v>
      </c>
      <c r="T399">
        <v>0</v>
      </c>
      <c r="U399">
        <v>160.756</v>
      </c>
      <c r="V399">
        <v>-3.2120000000000002</v>
      </c>
      <c r="W399">
        <v>0.879</v>
      </c>
      <c r="X399">
        <v>0.749</v>
      </c>
      <c r="Y399" t="b">
        <v>1</v>
      </c>
      <c r="Z399" t="s">
        <v>52</v>
      </c>
      <c r="AA399">
        <f t="shared" si="84"/>
        <v>187.85917685054432</v>
      </c>
      <c r="AB399">
        <f t="shared" si="80"/>
        <v>48.489025878906197</v>
      </c>
      <c r="AC399">
        <f t="shared" si="79"/>
        <v>281.99862727978308</v>
      </c>
      <c r="AD399">
        <f t="shared" si="85"/>
        <v>45.545340884058781</v>
      </c>
      <c r="AE399">
        <f t="shared" ca="1" si="86"/>
        <v>68.787171983176634</v>
      </c>
    </row>
    <row r="400" spans="1:31" x14ac:dyDescent="0.3">
      <c r="A400">
        <f t="shared" si="81"/>
        <v>0</v>
      </c>
      <c r="B400" s="2">
        <f t="shared" si="82"/>
        <v>31.345599999895057</v>
      </c>
      <c r="C400" s="2">
        <f t="shared" si="87"/>
        <v>2.2666399999999953</v>
      </c>
      <c r="D400" s="2">
        <f t="shared" si="83"/>
        <v>9.0611833000002662</v>
      </c>
      <c r="E400" s="2"/>
      <c r="F400">
        <v>3230.7364809000001</v>
      </c>
      <c r="G400">
        <v>136.5</v>
      </c>
      <c r="H400">
        <v>282.75</v>
      </c>
      <c r="I400">
        <v>139.821</v>
      </c>
      <c r="J400">
        <v>281.44</v>
      </c>
      <c r="K400">
        <v>153.97433142857099</v>
      </c>
      <c r="L400">
        <v>255.48575428571399</v>
      </c>
      <c r="M400">
        <v>322.13763828690099</v>
      </c>
      <c r="N400">
        <v>0</v>
      </c>
      <c r="O400">
        <v>0</v>
      </c>
      <c r="P400">
        <v>0</v>
      </c>
      <c r="Q400">
        <v>0</v>
      </c>
      <c r="R400">
        <v>0.484890258789062</v>
      </c>
      <c r="S400">
        <v>-0.129755218505859</v>
      </c>
      <c r="T400">
        <v>0</v>
      </c>
      <c r="U400">
        <v>160.756</v>
      </c>
      <c r="V400">
        <f>V399</f>
        <v>-3.2120000000000002</v>
      </c>
      <c r="W400">
        <v>0.879</v>
      </c>
      <c r="X400">
        <v>0.749</v>
      </c>
      <c r="Y400" t="b">
        <v>1</v>
      </c>
      <c r="Z400" t="s">
        <v>52</v>
      </c>
      <c r="AA400">
        <f t="shared" si="84"/>
        <v>187.7178610591057</v>
      </c>
      <c r="AB400">
        <f t="shared" si="80"/>
        <v>48.489025878906197</v>
      </c>
      <c r="AC400">
        <f t="shared" si="79"/>
        <v>283.51854488936783</v>
      </c>
      <c r="AD400">
        <f t="shared" si="85"/>
        <v>72.311265377200755</v>
      </c>
      <c r="AE400">
        <f t="shared" ca="1" si="86"/>
        <v>70.600237227022831</v>
      </c>
    </row>
    <row r="401" spans="1:31" x14ac:dyDescent="0.3">
      <c r="A401">
        <f t="shared" si="81"/>
        <v>0</v>
      </c>
      <c r="B401" s="2">
        <f t="shared" si="82"/>
        <v>31.099899999844638</v>
      </c>
      <c r="C401" s="2">
        <f t="shared" si="87"/>
        <v>2.1375657142859836</v>
      </c>
      <c r="D401" s="2">
        <f t="shared" si="83"/>
        <v>9.0922832000001108</v>
      </c>
      <c r="E401" s="2"/>
      <c r="F401">
        <v>3230.7675807999999</v>
      </c>
      <c r="G401">
        <v>136.5</v>
      </c>
      <c r="H401">
        <v>282.75</v>
      </c>
      <c r="I401">
        <v>138.714</v>
      </c>
      <c r="J401">
        <v>278.55799999999999</v>
      </c>
      <c r="K401">
        <v>152.83863428571399</v>
      </c>
      <c r="L401">
        <v>257.62331999999998</v>
      </c>
      <c r="M401">
        <v>322.13763828690099</v>
      </c>
      <c r="N401">
        <v>0</v>
      </c>
      <c r="O401">
        <v>0</v>
      </c>
      <c r="P401">
        <v>0</v>
      </c>
      <c r="Q401">
        <v>0</v>
      </c>
      <c r="R401">
        <v>0.484890258789062</v>
      </c>
      <c r="S401">
        <v>-0.129755218505859</v>
      </c>
      <c r="T401">
        <v>0</v>
      </c>
      <c r="U401">
        <v>160.756</v>
      </c>
      <c r="V401">
        <v>-3.3050000000000002</v>
      </c>
      <c r="W401">
        <v>0.879</v>
      </c>
      <c r="X401">
        <v>0.749</v>
      </c>
      <c r="Y401" t="b">
        <v>1</v>
      </c>
      <c r="Z401" t="s">
        <v>52</v>
      </c>
      <c r="AA401">
        <f t="shared" si="84"/>
        <v>187.57652820080017</v>
      </c>
      <c r="AB401">
        <f t="shared" si="80"/>
        <v>48.489025878906197</v>
      </c>
      <c r="AC401">
        <f t="shared" si="79"/>
        <v>285.02654874529168</v>
      </c>
      <c r="AD401">
        <f t="shared" si="85"/>
        <v>68.732237540849397</v>
      </c>
      <c r="AE401">
        <f t="shared" ca="1" si="86"/>
        <v>72.855210250989117</v>
      </c>
    </row>
    <row r="402" spans="1:31" x14ac:dyDescent="0.3">
      <c r="A402">
        <f t="shared" si="81"/>
        <v>0</v>
      </c>
      <c r="B402" s="2">
        <f t="shared" si="82"/>
        <v>30.11289999994915</v>
      </c>
      <c r="C402" s="2">
        <f t="shared" si="87"/>
        <v>3.0705999999990468</v>
      </c>
      <c r="D402" s="2">
        <f t="shared" si="83"/>
        <v>9.12239610000006</v>
      </c>
      <c r="E402" s="2"/>
      <c r="F402">
        <v>3230.7976936999999</v>
      </c>
      <c r="G402">
        <v>136.5</v>
      </c>
      <c r="H402">
        <v>292.5</v>
      </c>
      <c r="I402">
        <v>137.48400000000001</v>
      </c>
      <c r="J402">
        <v>296.16800000000001</v>
      </c>
      <c r="K402">
        <v>151.683394285714</v>
      </c>
      <c r="L402">
        <v>260.69391999999903</v>
      </c>
      <c r="M402">
        <v>322.13763828690099</v>
      </c>
      <c r="N402">
        <v>0</v>
      </c>
      <c r="O402">
        <v>0</v>
      </c>
      <c r="P402">
        <v>0</v>
      </c>
      <c r="Q402">
        <v>0</v>
      </c>
      <c r="R402">
        <v>0.42562139892578099</v>
      </c>
      <c r="S402">
        <v>-0.10026979064941401</v>
      </c>
      <c r="T402">
        <v>0</v>
      </c>
      <c r="U402">
        <v>160.72800000000001</v>
      </c>
      <c r="V402">
        <v>-3.42</v>
      </c>
      <c r="W402">
        <v>0.64500000000000002</v>
      </c>
      <c r="X402">
        <v>0.751</v>
      </c>
      <c r="Y402" t="b">
        <v>1</v>
      </c>
      <c r="Z402" t="s">
        <v>52</v>
      </c>
      <c r="AA402">
        <f t="shared" si="84"/>
        <v>187.43276331395884</v>
      </c>
      <c r="AB402">
        <f t="shared" si="80"/>
        <v>42.562139892578102</v>
      </c>
      <c r="AC402">
        <f t="shared" si="79"/>
        <v>286.48669393267812</v>
      </c>
      <c r="AD402" t="b">
        <f t="shared" si="85"/>
        <v>0</v>
      </c>
      <c r="AE402">
        <f t="shared" ca="1" si="86"/>
        <v>74.017999900097109</v>
      </c>
    </row>
    <row r="403" spans="1:31" x14ac:dyDescent="0.3">
      <c r="A403">
        <f t="shared" si="81"/>
        <v>0</v>
      </c>
      <c r="B403" s="2">
        <f t="shared" si="82"/>
        <v>30.881900000167661</v>
      </c>
      <c r="C403" s="2">
        <f t="shared" si="87"/>
        <v>2.2561599999999657</v>
      </c>
      <c r="D403" s="2">
        <f t="shared" si="83"/>
        <v>9.1532780000002276</v>
      </c>
      <c r="E403" s="2"/>
      <c r="F403">
        <v>3230.8285756</v>
      </c>
      <c r="G403">
        <v>136.5</v>
      </c>
      <c r="H403">
        <v>292.5</v>
      </c>
      <c r="I403">
        <v>136.25399999999999</v>
      </c>
      <c r="J403">
        <v>293.024</v>
      </c>
      <c r="K403">
        <v>150.52191428571399</v>
      </c>
      <c r="L403">
        <v>262.95007999999899</v>
      </c>
      <c r="M403">
        <v>322.13763828690099</v>
      </c>
      <c r="N403">
        <v>0</v>
      </c>
      <c r="O403">
        <v>0</v>
      </c>
      <c r="P403">
        <v>0</v>
      </c>
      <c r="Q403">
        <v>0</v>
      </c>
      <c r="R403">
        <v>0.42562139892578099</v>
      </c>
      <c r="S403">
        <v>-0.10026979064941401</v>
      </c>
      <c r="T403">
        <v>0</v>
      </c>
      <c r="U403">
        <v>160.72800000000001</v>
      </c>
      <c r="V403">
        <v>-3.42</v>
      </c>
      <c r="W403">
        <v>0.64500000000000002</v>
      </c>
      <c r="X403">
        <v>0.751</v>
      </c>
      <c r="Y403" t="b">
        <v>1</v>
      </c>
      <c r="Z403" t="s">
        <v>52</v>
      </c>
      <c r="AA403">
        <f t="shared" si="84"/>
        <v>187.28822188467274</v>
      </c>
      <c r="AB403">
        <f t="shared" si="80"/>
        <v>42.562139892578102</v>
      </c>
      <c r="AC403">
        <f t="shared" si="79"/>
        <v>287.80109368063387</v>
      </c>
      <c r="AD403">
        <f t="shared" si="85"/>
        <v>73.057681036066981</v>
      </c>
      <c r="AE403">
        <f t="shared" ca="1" si="86"/>
        <v>75.74688584450935</v>
      </c>
    </row>
    <row r="404" spans="1:31" x14ac:dyDescent="0.3">
      <c r="A404">
        <f t="shared" si="81"/>
        <v>0</v>
      </c>
      <c r="B404" s="2">
        <f t="shared" si="82"/>
        <v>30.94039999996312</v>
      </c>
      <c r="C404" s="2">
        <f t="shared" si="87"/>
        <v>2.2037600000010116</v>
      </c>
      <c r="D404" s="2">
        <f t="shared" si="83"/>
        <v>9.1842184000001907</v>
      </c>
      <c r="E404" s="2"/>
      <c r="F404">
        <v>3230.859516</v>
      </c>
      <c r="G404">
        <v>136.5</v>
      </c>
      <c r="H404">
        <v>292.5</v>
      </c>
      <c r="I404">
        <v>135.393</v>
      </c>
      <c r="J404">
        <v>289.61799999999999</v>
      </c>
      <c r="K404">
        <v>149.368754285714</v>
      </c>
      <c r="L404">
        <v>265.15384</v>
      </c>
      <c r="M404">
        <v>322.13763828690099</v>
      </c>
      <c r="N404">
        <v>0</v>
      </c>
      <c r="O404">
        <v>0</v>
      </c>
      <c r="P404">
        <v>0</v>
      </c>
      <c r="Q404">
        <v>0</v>
      </c>
      <c r="R404">
        <v>0.42458120727539</v>
      </c>
      <c r="S404">
        <v>-9.3051055908203104E-2</v>
      </c>
      <c r="T404">
        <v>0</v>
      </c>
      <c r="U404">
        <v>160.74700000000001</v>
      </c>
      <c r="V404">
        <v>-3.1230000000000002</v>
      </c>
      <c r="W404">
        <v>0.312</v>
      </c>
      <c r="X404">
        <v>0.748</v>
      </c>
      <c r="Y404" t="b">
        <v>1</v>
      </c>
      <c r="Z404" t="s">
        <v>52</v>
      </c>
      <c r="AA404">
        <f t="shared" si="84"/>
        <v>187.14471584531299</v>
      </c>
      <c r="AB404">
        <f t="shared" si="80"/>
        <v>42.458120727538997</v>
      </c>
      <c r="AC404">
        <f t="shared" si="79"/>
        <v>289.11798331376463</v>
      </c>
      <c r="AD404">
        <f t="shared" si="85"/>
        <v>71.225969929400989</v>
      </c>
      <c r="AE404">
        <f t="shared" ca="1" si="86"/>
        <v>78.055260023616512</v>
      </c>
    </row>
    <row r="405" spans="1:31" x14ac:dyDescent="0.3">
      <c r="A405">
        <f t="shared" si="81"/>
        <v>0</v>
      </c>
      <c r="B405" s="2">
        <f t="shared" si="82"/>
        <v>45.792700000220066</v>
      </c>
      <c r="C405" s="2">
        <f t="shared" si="87"/>
        <v>2.9762799999999743</v>
      </c>
      <c r="D405" s="2">
        <f t="shared" si="83"/>
        <v>9.2300111000004108</v>
      </c>
      <c r="E405" s="2"/>
      <c r="F405">
        <v>3230.9053087000002</v>
      </c>
      <c r="G405">
        <v>136.5</v>
      </c>
      <c r="H405">
        <v>302.25</v>
      </c>
      <c r="I405">
        <v>134.286</v>
      </c>
      <c r="J405">
        <v>306.31099999999998</v>
      </c>
      <c r="K405">
        <v>148.20367428571399</v>
      </c>
      <c r="L405">
        <v>268.13011999999998</v>
      </c>
      <c r="M405">
        <v>322.13763828690099</v>
      </c>
      <c r="N405">
        <v>0</v>
      </c>
      <c r="O405">
        <v>0</v>
      </c>
      <c r="P405">
        <v>0</v>
      </c>
      <c r="Q405">
        <v>0</v>
      </c>
      <c r="R405">
        <v>0.39982623291015601</v>
      </c>
      <c r="S405">
        <v>-8.6520980834960903E-2</v>
      </c>
      <c r="T405">
        <v>0</v>
      </c>
      <c r="U405">
        <v>160.678</v>
      </c>
      <c r="V405">
        <v>-3.1230000000000002</v>
      </c>
      <c r="W405">
        <v>-6.7000000000000004E-2</v>
      </c>
      <c r="X405">
        <v>0.746</v>
      </c>
      <c r="Y405" t="b">
        <v>1</v>
      </c>
      <c r="Z405" t="s">
        <v>52</v>
      </c>
      <c r="AA405">
        <f t="shared" si="84"/>
        <v>186.99972641077028</v>
      </c>
      <c r="AB405">
        <f t="shared" si="80"/>
        <v>39.982623291015599</v>
      </c>
      <c r="AC405">
        <f t="shared" si="79"/>
        <v>291.06225529881397</v>
      </c>
      <c r="AD405">
        <f t="shared" si="85"/>
        <v>64.994638883177259</v>
      </c>
      <c r="AE405">
        <f t="shared" ca="1" si="86"/>
        <v>78.642539163265212</v>
      </c>
    </row>
    <row r="406" spans="1:31" x14ac:dyDescent="0.3">
      <c r="A406">
        <f t="shared" si="81"/>
        <v>0</v>
      </c>
      <c r="B406" s="2">
        <f t="shared" si="82"/>
        <v>30.677399999603949</v>
      </c>
      <c r="C406" s="2">
        <f t="shared" si="87"/>
        <v>2.412359999999012</v>
      </c>
      <c r="D406" s="2">
        <f t="shared" si="83"/>
        <v>9.2606885000000148</v>
      </c>
      <c r="E406" s="2"/>
      <c r="F406">
        <v>3230.9359860999998</v>
      </c>
      <c r="G406">
        <v>136.5</v>
      </c>
      <c r="H406">
        <v>302.25</v>
      </c>
      <c r="I406">
        <v>133.548</v>
      </c>
      <c r="J406">
        <v>302.90499999999997</v>
      </c>
      <c r="K406">
        <v>147.04919428571401</v>
      </c>
      <c r="L406">
        <v>270.54247999999899</v>
      </c>
      <c r="M406">
        <v>322.13763828690099</v>
      </c>
      <c r="N406">
        <v>0</v>
      </c>
      <c r="O406">
        <v>0</v>
      </c>
      <c r="P406">
        <v>0</v>
      </c>
      <c r="Q406">
        <v>0</v>
      </c>
      <c r="R406">
        <v>0.39982623291015601</v>
      </c>
      <c r="S406">
        <v>-8.6520980834960903E-2</v>
      </c>
      <c r="T406">
        <v>0</v>
      </c>
      <c r="U406">
        <v>160.678</v>
      </c>
      <c r="V406">
        <v>-3.1230000000000002</v>
      </c>
      <c r="W406">
        <v>-6.7000000000000004E-2</v>
      </c>
      <c r="X406">
        <v>0.746</v>
      </c>
      <c r="Y406" t="b">
        <v>1</v>
      </c>
      <c r="Z406" t="s">
        <v>52</v>
      </c>
      <c r="AA406">
        <f t="shared" si="84"/>
        <v>186.85605610281647</v>
      </c>
      <c r="AB406">
        <f t="shared" si="80"/>
        <v>39.982623291015599</v>
      </c>
      <c r="AC406">
        <f t="shared" si="79"/>
        <v>292.28881822654591</v>
      </c>
      <c r="AD406">
        <f t="shared" si="85"/>
        <v>78.636390307853858</v>
      </c>
      <c r="AE406">
        <f t="shared" ca="1" si="86"/>
        <v>79.852951407536267</v>
      </c>
    </row>
    <row r="407" spans="1:31" x14ac:dyDescent="0.3">
      <c r="A407">
        <f t="shared" si="81"/>
        <v>0</v>
      </c>
      <c r="B407" s="2">
        <f t="shared" si="82"/>
        <v>31.050000000050204</v>
      </c>
      <c r="C407" s="2">
        <f t="shared" si="87"/>
        <v>2.2227942857149969</v>
      </c>
      <c r="D407" s="2">
        <f t="shared" si="83"/>
        <v>9.291738500000065</v>
      </c>
      <c r="E407" s="2"/>
      <c r="F407">
        <v>3230.9670360999999</v>
      </c>
      <c r="G407">
        <v>136.5</v>
      </c>
      <c r="H407">
        <v>302.25</v>
      </c>
      <c r="I407">
        <v>132.93299999999999</v>
      </c>
      <c r="J407">
        <v>299.63</v>
      </c>
      <c r="K407">
        <v>145.92825714285701</v>
      </c>
      <c r="L407">
        <v>272.76527428571399</v>
      </c>
      <c r="M407">
        <v>322.13763828690099</v>
      </c>
      <c r="N407">
        <v>0</v>
      </c>
      <c r="O407">
        <v>0</v>
      </c>
      <c r="P407">
        <v>0</v>
      </c>
      <c r="Q407">
        <v>0</v>
      </c>
      <c r="R407">
        <v>0.39982623291015601</v>
      </c>
      <c r="S407">
        <v>-8.6520980834960903E-2</v>
      </c>
      <c r="T407">
        <v>0</v>
      </c>
      <c r="U407">
        <v>160.678</v>
      </c>
      <c r="V407">
        <v>-2.6320000000000001</v>
      </c>
      <c r="W407">
        <v>-6.7000000000000004E-2</v>
      </c>
      <c r="X407">
        <v>0.746</v>
      </c>
      <c r="Y407" t="b">
        <v>1</v>
      </c>
      <c r="Z407" t="s">
        <v>52</v>
      </c>
      <c r="AA407">
        <f t="shared" si="84"/>
        <v>186.71656006606298</v>
      </c>
      <c r="AB407">
        <f t="shared" si="80"/>
        <v>39.982623291015599</v>
      </c>
      <c r="AC407">
        <f t="shared" si="79"/>
        <v>293.53027867973395</v>
      </c>
      <c r="AD407">
        <f t="shared" si="85"/>
        <v>71.587577639658704</v>
      </c>
      <c r="AE407">
        <f t="shared" ca="1" si="86"/>
        <v>79.988124863056541</v>
      </c>
    </row>
    <row r="408" spans="1:31" x14ac:dyDescent="0.3">
      <c r="A408">
        <f t="shared" si="81"/>
        <v>0</v>
      </c>
      <c r="B408" s="2">
        <f t="shared" si="82"/>
        <v>31.722300000183168</v>
      </c>
      <c r="C408" s="2">
        <f t="shared" si="87"/>
        <v>2.3155199999999923</v>
      </c>
      <c r="D408" s="2">
        <f t="shared" si="83"/>
        <v>9.3234608000002481</v>
      </c>
      <c r="E408" s="2"/>
      <c r="F408">
        <v>3230.9987584</v>
      </c>
      <c r="G408">
        <v>136.5</v>
      </c>
      <c r="H408">
        <v>307.125</v>
      </c>
      <c r="I408">
        <v>132.31800000000001</v>
      </c>
      <c r="J408">
        <v>306.47000000000003</v>
      </c>
      <c r="K408">
        <v>144.83481714285699</v>
      </c>
      <c r="L408">
        <v>275.08079428571398</v>
      </c>
      <c r="M408">
        <v>322.13763828690099</v>
      </c>
      <c r="N408">
        <v>0</v>
      </c>
      <c r="O408">
        <v>0</v>
      </c>
      <c r="P408">
        <v>0</v>
      </c>
      <c r="Q408">
        <v>0</v>
      </c>
      <c r="R408">
        <v>0.35438186645507802</v>
      </c>
      <c r="S408">
        <v>-9.9196647644042901E-2</v>
      </c>
      <c r="T408">
        <v>0</v>
      </c>
      <c r="U408">
        <v>160.57900000000001</v>
      </c>
      <c r="V408">
        <v>-2.028</v>
      </c>
      <c r="W408">
        <v>-0.35599999999999998</v>
      </c>
      <c r="X408">
        <v>0.74399999999999999</v>
      </c>
      <c r="Y408" t="b">
        <v>1</v>
      </c>
      <c r="Z408" t="s">
        <v>52</v>
      </c>
      <c r="AA408">
        <f t="shared" si="84"/>
        <v>186.58048593612651</v>
      </c>
      <c r="AB408">
        <f t="shared" si="80"/>
        <v>35.438186645507805</v>
      </c>
      <c r="AC408">
        <f t="shared" si="79"/>
        <v>294.79861945056587</v>
      </c>
      <c r="AD408">
        <f t="shared" si="85"/>
        <v>72.993446250323032</v>
      </c>
      <c r="AE408">
        <f t="shared" ca="1" si="86"/>
        <v>80.637825556346868</v>
      </c>
    </row>
    <row r="409" spans="1:31" x14ac:dyDescent="0.3">
      <c r="A409">
        <f t="shared" si="81"/>
        <v>0</v>
      </c>
      <c r="B409" s="2">
        <f t="shared" si="82"/>
        <v>46.077999999852182</v>
      </c>
      <c r="C409" s="2">
        <f t="shared" si="87"/>
        <v>2.8505200000000173</v>
      </c>
      <c r="D409" s="2">
        <f t="shared" si="83"/>
        <v>9.3695388000001003</v>
      </c>
      <c r="E409" s="2"/>
      <c r="F409">
        <v>3231.0448363999999</v>
      </c>
      <c r="G409">
        <v>136.5</v>
      </c>
      <c r="H409">
        <v>312</v>
      </c>
      <c r="I409">
        <v>131.334</v>
      </c>
      <c r="J409">
        <v>313.31</v>
      </c>
      <c r="K409">
        <v>143.744857142857</v>
      </c>
      <c r="L409">
        <v>277.931314285714</v>
      </c>
      <c r="M409">
        <v>322.13763828690099</v>
      </c>
      <c r="N409">
        <v>0</v>
      </c>
      <c r="O409">
        <v>0</v>
      </c>
      <c r="P409">
        <v>0</v>
      </c>
      <c r="Q409">
        <v>0</v>
      </c>
      <c r="R409">
        <v>0.33253579711914</v>
      </c>
      <c r="S409">
        <v>-0.11065095520019499</v>
      </c>
      <c r="T409">
        <v>0</v>
      </c>
      <c r="U409">
        <v>160.76300000000001</v>
      </c>
      <c r="V409">
        <v>-2.028</v>
      </c>
      <c r="W409">
        <v>-0.40500000000000003</v>
      </c>
      <c r="X409">
        <v>0.73899999999999999</v>
      </c>
      <c r="Y409" t="b">
        <v>1</v>
      </c>
      <c r="Z409" t="s">
        <v>52</v>
      </c>
      <c r="AA409">
        <f t="shared" si="84"/>
        <v>186.4448448779381</v>
      </c>
      <c r="AB409">
        <f t="shared" si="80"/>
        <v>33.253579711914</v>
      </c>
      <c r="AC409">
        <f t="shared" si="79"/>
        <v>296.43154021481234</v>
      </c>
      <c r="AD409">
        <f t="shared" si="85"/>
        <v>61.862928078674457</v>
      </c>
      <c r="AE409">
        <f t="shared" ca="1" si="86"/>
        <v>81.037984421744895</v>
      </c>
    </row>
    <row r="410" spans="1:31" x14ac:dyDescent="0.3">
      <c r="A410">
        <f t="shared" si="81"/>
        <v>0</v>
      </c>
      <c r="B410" s="2">
        <f t="shared" si="82"/>
        <v>30.611399999997957</v>
      </c>
      <c r="C410" s="2">
        <f t="shared" si="87"/>
        <v>2.8348000000000297</v>
      </c>
      <c r="D410" s="2">
        <f t="shared" si="83"/>
        <v>9.4001502000000983</v>
      </c>
      <c r="E410" s="2"/>
      <c r="F410">
        <v>3231.0754477999999</v>
      </c>
      <c r="G410">
        <v>136.5</v>
      </c>
      <c r="H410">
        <v>312</v>
      </c>
      <c r="I410">
        <v>130.596</v>
      </c>
      <c r="J410">
        <v>310.29700000000003</v>
      </c>
      <c r="K410">
        <v>142.66473714285701</v>
      </c>
      <c r="L410">
        <v>280.76611428571402</v>
      </c>
      <c r="M410">
        <v>322.13763828690099</v>
      </c>
      <c r="N410">
        <v>0</v>
      </c>
      <c r="O410">
        <v>0</v>
      </c>
      <c r="P410">
        <v>0</v>
      </c>
      <c r="Q410">
        <v>0</v>
      </c>
      <c r="R410">
        <v>0.33253579711914</v>
      </c>
      <c r="S410">
        <v>-0.11065095520019499</v>
      </c>
      <c r="T410">
        <v>0</v>
      </c>
      <c r="U410">
        <v>160.76300000000001</v>
      </c>
      <c r="V410">
        <v>-1.3160000000000001</v>
      </c>
      <c r="W410">
        <v>-0.40500000000000003</v>
      </c>
      <c r="X410">
        <v>0.73899999999999999</v>
      </c>
      <c r="Y410" t="b">
        <v>1</v>
      </c>
      <c r="Z410" t="s">
        <v>52</v>
      </c>
      <c r="AA410">
        <f t="shared" si="84"/>
        <v>186.31042836745104</v>
      </c>
      <c r="AB410">
        <f t="shared" si="80"/>
        <v>33.253579711914</v>
      </c>
      <c r="AC410">
        <f t="shared" si="79"/>
        <v>297.44947884480558</v>
      </c>
      <c r="AD410">
        <f t="shared" si="85"/>
        <v>92.606022592897389</v>
      </c>
      <c r="AE410">
        <f t="shared" ca="1" si="86"/>
        <v>85.03617638304803</v>
      </c>
    </row>
    <row r="411" spans="1:31" x14ac:dyDescent="0.3">
      <c r="A411">
        <f t="shared" si="81"/>
        <v>0</v>
      </c>
      <c r="B411" s="2">
        <f t="shared" si="82"/>
        <v>30.817700000170589</v>
      </c>
      <c r="C411" s="2">
        <f t="shared" si="87"/>
        <v>2.4406799999999862</v>
      </c>
      <c r="D411" s="2">
        <f t="shared" si="83"/>
        <v>9.4309679000002689</v>
      </c>
      <c r="E411" s="2"/>
      <c r="F411">
        <v>3231.1062655000001</v>
      </c>
      <c r="G411">
        <v>141.375</v>
      </c>
      <c r="H411">
        <v>316.875</v>
      </c>
      <c r="I411">
        <v>129.93600000000001</v>
      </c>
      <c r="J411">
        <v>317.79199999999997</v>
      </c>
      <c r="K411">
        <v>141.607417142857</v>
      </c>
      <c r="L411">
        <v>283.20679428571401</v>
      </c>
      <c r="M411">
        <v>322.13763828690099</v>
      </c>
      <c r="N411">
        <v>0</v>
      </c>
      <c r="O411">
        <v>0</v>
      </c>
      <c r="P411">
        <v>0</v>
      </c>
      <c r="Q411">
        <v>0</v>
      </c>
      <c r="R411">
        <v>0.309857452392578</v>
      </c>
      <c r="S411">
        <v>-8.3500129699706993E-2</v>
      </c>
      <c r="T411">
        <v>0</v>
      </c>
      <c r="U411">
        <v>160.81800000000001</v>
      </c>
      <c r="V411">
        <v>-1.3160000000000001</v>
      </c>
      <c r="W411">
        <v>-0.37</v>
      </c>
      <c r="X411">
        <v>0.73699999999999999</v>
      </c>
      <c r="Y411" t="b">
        <v>1</v>
      </c>
      <c r="Z411" t="s">
        <v>52</v>
      </c>
      <c r="AA411">
        <f t="shared" si="84"/>
        <v>186.17884922358908</v>
      </c>
      <c r="AB411">
        <f t="shared" si="80"/>
        <v>30.985745239257799</v>
      </c>
      <c r="AC411">
        <f t="shared" si="79"/>
        <v>298.47427768829908</v>
      </c>
      <c r="AD411">
        <f t="shared" si="85"/>
        <v>79.197344382821427</v>
      </c>
      <c r="AE411">
        <f t="shared" ca="1" si="86"/>
        <v>83.208684006609687</v>
      </c>
    </row>
    <row r="412" spans="1:31" x14ac:dyDescent="0.3">
      <c r="A412">
        <f t="shared" si="81"/>
        <v>0</v>
      </c>
      <c r="B412" s="2">
        <f t="shared" si="82"/>
        <v>31.333899999935966</v>
      </c>
      <c r="C412" s="2">
        <f t="shared" si="87"/>
        <v>2.86099999999999</v>
      </c>
      <c r="D412" s="2">
        <f t="shared" si="83"/>
        <v>9.4623018000002048</v>
      </c>
      <c r="E412" s="2"/>
      <c r="F412">
        <v>3231.1375994</v>
      </c>
      <c r="G412">
        <v>136.5</v>
      </c>
      <c r="H412">
        <v>321.75</v>
      </c>
      <c r="I412">
        <v>129.12</v>
      </c>
      <c r="J412">
        <v>325.68</v>
      </c>
      <c r="K412">
        <v>140.54565714285701</v>
      </c>
      <c r="L412">
        <v>286.067794285714</v>
      </c>
      <c r="M412">
        <v>322.13763828690099</v>
      </c>
      <c r="N412">
        <v>0</v>
      </c>
      <c r="O412">
        <v>0</v>
      </c>
      <c r="P412">
        <v>0</v>
      </c>
      <c r="Q412">
        <v>0</v>
      </c>
      <c r="R412">
        <v>0.309857452392578</v>
      </c>
      <c r="S412">
        <v>-8.3500129699706993E-2</v>
      </c>
      <c r="T412">
        <v>0</v>
      </c>
      <c r="U412">
        <v>160.81800000000001</v>
      </c>
      <c r="V412">
        <v>-1.3160000000000001</v>
      </c>
      <c r="W412">
        <v>-0.37</v>
      </c>
      <c r="X412">
        <v>0.73699999999999999</v>
      </c>
      <c r="Y412" t="b">
        <v>1</v>
      </c>
      <c r="Z412" t="s">
        <v>52</v>
      </c>
      <c r="AA412">
        <f t="shared" si="84"/>
        <v>186.04671753991067</v>
      </c>
      <c r="AB412">
        <f t="shared" si="80"/>
        <v>30.985745239257799</v>
      </c>
      <c r="AC412">
        <f t="shared" si="79"/>
        <v>299.44518193104949</v>
      </c>
      <c r="AD412">
        <f t="shared" si="85"/>
        <v>91.306859344219419</v>
      </c>
      <c r="AE412">
        <f t="shared" ca="1" si="86"/>
        <v>83.249635063045233</v>
      </c>
    </row>
    <row r="413" spans="1:31" x14ac:dyDescent="0.3">
      <c r="A413">
        <f t="shared" si="81"/>
        <v>0</v>
      </c>
      <c r="B413" s="2">
        <f t="shared" si="82"/>
        <v>31.264300000202638</v>
      </c>
      <c r="C413" s="2">
        <f t="shared" si="87"/>
        <v>3.0057942857139892</v>
      </c>
      <c r="D413" s="2">
        <f t="shared" si="83"/>
        <v>9.4935661000004075</v>
      </c>
      <c r="E413" s="2"/>
      <c r="F413">
        <v>3231.1688637000002</v>
      </c>
      <c r="G413">
        <v>130.92857142857099</v>
      </c>
      <c r="H413">
        <v>323.142857142857</v>
      </c>
      <c r="I413">
        <v>128.591571428571</v>
      </c>
      <c r="J413">
        <v>326.810857142857</v>
      </c>
      <c r="K413">
        <v>139.51328000000001</v>
      </c>
      <c r="L413">
        <v>289.07358857142799</v>
      </c>
      <c r="M413">
        <v>322.13763828690099</v>
      </c>
      <c r="N413">
        <v>0</v>
      </c>
      <c r="O413">
        <v>0</v>
      </c>
      <c r="P413">
        <v>0</v>
      </c>
      <c r="Q413">
        <v>0</v>
      </c>
      <c r="R413">
        <v>0.309857452392578</v>
      </c>
      <c r="S413">
        <v>-8.3500129699706993E-2</v>
      </c>
      <c r="T413">
        <v>0</v>
      </c>
      <c r="U413">
        <v>160.81800000000001</v>
      </c>
      <c r="V413">
        <v>-0.70699999999999996</v>
      </c>
      <c r="W413">
        <v>-0.37</v>
      </c>
      <c r="X413">
        <v>0.73699999999999999</v>
      </c>
      <c r="Y413" t="b">
        <v>1</v>
      </c>
      <c r="Z413" t="s">
        <v>52</v>
      </c>
      <c r="AA413">
        <f t="shared" si="84"/>
        <v>185.91824243246944</v>
      </c>
      <c r="AB413">
        <f t="shared" si="80"/>
        <v>30.985745239257799</v>
      </c>
      <c r="AC413">
        <f t="shared" si="79"/>
        <v>300.4139295659395</v>
      </c>
      <c r="AD413">
        <f t="shared" si="85"/>
        <v>96.141422827138541</v>
      </c>
      <c r="AE413">
        <f t="shared" ca="1" si="86"/>
        <v>82.065140847966632</v>
      </c>
    </row>
    <row r="414" spans="1:31" x14ac:dyDescent="0.3">
      <c r="A414">
        <f t="shared" si="81"/>
        <v>0</v>
      </c>
      <c r="B414" s="2">
        <f t="shared" si="82"/>
        <v>31.133499999668857</v>
      </c>
      <c r="C414" s="2">
        <f t="shared" si="87"/>
        <v>2.4003542857140019</v>
      </c>
      <c r="D414" s="2">
        <f t="shared" si="83"/>
        <v>9.5246996000000763</v>
      </c>
      <c r="E414" s="2"/>
      <c r="F414">
        <v>3231.1999971999999</v>
      </c>
      <c r="G414">
        <v>130.92857142857099</v>
      </c>
      <c r="H414">
        <v>323.142857142857</v>
      </c>
      <c r="I414">
        <v>128.34557142857099</v>
      </c>
      <c r="J414">
        <v>325.10785714285697</v>
      </c>
      <c r="K414">
        <v>138.516782857142</v>
      </c>
      <c r="L414">
        <v>291.47394285714199</v>
      </c>
      <c r="M414">
        <v>322.13763828690099</v>
      </c>
      <c r="N414">
        <v>0</v>
      </c>
      <c r="O414">
        <v>0</v>
      </c>
      <c r="P414">
        <v>0</v>
      </c>
      <c r="Q414">
        <v>0</v>
      </c>
      <c r="R414">
        <v>0.30135186767578098</v>
      </c>
      <c r="S414">
        <v>-9.5801887512207001E-2</v>
      </c>
      <c r="T414">
        <v>0</v>
      </c>
      <c r="U414">
        <v>160.76599999999999</v>
      </c>
      <c r="V414">
        <v>-0.70699999999999996</v>
      </c>
      <c r="W414">
        <v>-0.56699999999999995</v>
      </c>
      <c r="X414">
        <v>0.73499999999999999</v>
      </c>
      <c r="Y414" t="b">
        <v>1</v>
      </c>
      <c r="Z414" t="s">
        <v>52</v>
      </c>
      <c r="AA414">
        <f t="shared" si="84"/>
        <v>185.79423244408545</v>
      </c>
      <c r="AB414">
        <f t="shared" si="80"/>
        <v>30.135186767578098</v>
      </c>
      <c r="AC414">
        <f t="shared" si="79"/>
        <v>301.37862426533565</v>
      </c>
      <c r="AD414">
        <f t="shared" si="85"/>
        <v>77.098761325887949</v>
      </c>
      <c r="AE414">
        <f t="shared" ca="1" si="86"/>
        <v>80.26816362802677</v>
      </c>
    </row>
    <row r="415" spans="1:31" x14ac:dyDescent="0.3">
      <c r="A415">
        <f t="shared" si="81"/>
        <v>0</v>
      </c>
      <c r="B415" s="2">
        <f t="shared" si="82"/>
        <v>30.728000000181055</v>
      </c>
      <c r="C415" s="2">
        <f t="shared" si="87"/>
        <v>-291.47394285714199</v>
      </c>
      <c r="D415" s="2">
        <f t="shared" si="83"/>
        <v>9.5554276000002574</v>
      </c>
      <c r="E415" s="2"/>
      <c r="F415">
        <v>3231.2307252000001</v>
      </c>
      <c r="G415" t="s">
        <v>39</v>
      </c>
      <c r="H415" t="s">
        <v>42</v>
      </c>
      <c r="V415">
        <v>7.2999999999999995E-2</v>
      </c>
      <c r="AA415">
        <f t="shared" si="84"/>
        <v>168.55638609779953</v>
      </c>
      <c r="AB415">
        <f>AB414</f>
        <v>30.135186767578098</v>
      </c>
      <c r="AC415">
        <f t="shared" si="79"/>
        <v>302.30461828433522</v>
      </c>
      <c r="AD415">
        <f t="shared" si="85"/>
        <v>77.098761325887949</v>
      </c>
      <c r="AE415">
        <f t="shared" ca="1" si="86"/>
        <v>76.431025727968574</v>
      </c>
    </row>
    <row r="416" spans="1:31" x14ac:dyDescent="0.3">
      <c r="A416">
        <f t="shared" si="81"/>
        <v>0</v>
      </c>
      <c r="B416" s="2">
        <f t="shared" si="82"/>
        <v>0</v>
      </c>
      <c r="C416" s="2">
        <f t="shared" si="87"/>
        <v>293.759617142857</v>
      </c>
      <c r="D416" s="2">
        <f>F416-$F$7+0.0001</f>
        <v>9.5555276000002571</v>
      </c>
      <c r="E416" s="2"/>
      <c r="F416">
        <v>3231.2307252000001</v>
      </c>
      <c r="G416">
        <v>130.92857142857099</v>
      </c>
      <c r="H416">
        <v>323.142857142857</v>
      </c>
      <c r="I416">
        <v>127.97657142857101</v>
      </c>
      <c r="J416">
        <v>323.53585714285703</v>
      </c>
      <c r="K416">
        <v>137.55820571428501</v>
      </c>
      <c r="L416">
        <v>293.759617142857</v>
      </c>
      <c r="M416">
        <v>322.13763828690099</v>
      </c>
      <c r="N416">
        <v>0</v>
      </c>
      <c r="O416">
        <v>0</v>
      </c>
      <c r="P416">
        <v>0</v>
      </c>
      <c r="Q416">
        <v>0</v>
      </c>
      <c r="R416">
        <v>0.30135186767578098</v>
      </c>
      <c r="S416">
        <v>-9.5801887512207001E-2</v>
      </c>
      <c r="T416">
        <v>0</v>
      </c>
      <c r="U416">
        <v>160.76599999999999</v>
      </c>
      <c r="V416">
        <v>0.59399999999999997</v>
      </c>
      <c r="W416">
        <v>-0.56699999999999995</v>
      </c>
      <c r="X416">
        <v>0.73499999999999999</v>
      </c>
      <c r="Y416" t="b">
        <v>1</v>
      </c>
      <c r="Z416" t="s">
        <v>52</v>
      </c>
      <c r="AA416">
        <f t="shared" si="84"/>
        <v>185.67494144440442</v>
      </c>
      <c r="AB416">
        <f t="shared" ref="AB416:AB447" si="88">R416*100</f>
        <v>30.135186767578098</v>
      </c>
      <c r="AC416">
        <f t="shared" si="79"/>
        <v>302.30763180301199</v>
      </c>
      <c r="AD416" t="b">
        <f t="shared" si="85"/>
        <v>0</v>
      </c>
      <c r="AE416">
        <f t="shared" ca="1" si="86"/>
        <v>73.731186159940364</v>
      </c>
    </row>
    <row r="417" spans="1:31" x14ac:dyDescent="0.3">
      <c r="A417">
        <f t="shared" si="81"/>
        <v>0</v>
      </c>
      <c r="B417" s="2">
        <f t="shared" si="82"/>
        <v>30.226400000174181</v>
      </c>
      <c r="C417" s="2">
        <f t="shared" si="87"/>
        <v>2.3328342857140001</v>
      </c>
      <c r="D417" s="2">
        <f t="shared" si="83"/>
        <v>9.5856540000004316</v>
      </c>
      <c r="E417" s="2"/>
      <c r="F417">
        <v>3231.2609516000002</v>
      </c>
      <c r="G417">
        <v>130.92857142857099</v>
      </c>
      <c r="H417">
        <v>323.142857142857</v>
      </c>
      <c r="I417">
        <v>127.730571428571</v>
      </c>
      <c r="J417">
        <v>322.22585714285702</v>
      </c>
      <c r="K417">
        <v>136.634068571428</v>
      </c>
      <c r="L417">
        <v>296.092451428571</v>
      </c>
      <c r="M417">
        <v>322.13763828690099</v>
      </c>
      <c r="N417">
        <v>0</v>
      </c>
      <c r="O417">
        <v>0</v>
      </c>
      <c r="P417">
        <v>0</v>
      </c>
      <c r="Q417">
        <v>0</v>
      </c>
      <c r="R417">
        <v>0.236992843627929</v>
      </c>
      <c r="S417">
        <v>-0.16578199768066401</v>
      </c>
      <c r="T417">
        <v>0</v>
      </c>
      <c r="U417">
        <v>160.72399999999999</v>
      </c>
      <c r="V417">
        <v>0.59399999999999997</v>
      </c>
      <c r="W417">
        <v>-0.66300000000000003</v>
      </c>
      <c r="X417">
        <v>0.73299999999999998</v>
      </c>
      <c r="Y417" t="b">
        <v>1</v>
      </c>
      <c r="Z417" t="s">
        <v>52</v>
      </c>
      <c r="AA417">
        <f t="shared" si="84"/>
        <v>185.55993636167813</v>
      </c>
      <c r="AB417">
        <f t="shared" si="88"/>
        <v>23.699284362792898</v>
      </c>
      <c r="AC417">
        <f t="shared" si="79"/>
        <v>303.21549649365198</v>
      </c>
      <c r="AD417">
        <f t="shared" si="85"/>
        <v>77.434883879271808</v>
      </c>
      <c r="AE417">
        <f t="shared" ca="1" si="86"/>
        <v>72.542603247014398</v>
      </c>
    </row>
    <row r="418" spans="1:31" x14ac:dyDescent="0.3">
      <c r="A418">
        <f t="shared" si="81"/>
        <v>0</v>
      </c>
      <c r="B418" s="2">
        <f t="shared" si="82"/>
        <v>31.072499999936554</v>
      </c>
      <c r="C418" s="2">
        <f t="shared" si="87"/>
        <v>2.3799942857140195</v>
      </c>
      <c r="D418" s="2">
        <f t="shared" si="83"/>
        <v>9.6167265000003681</v>
      </c>
      <c r="E418" s="2"/>
      <c r="F418">
        <v>3231.2920241000002</v>
      </c>
      <c r="G418">
        <v>130.92857142857099</v>
      </c>
      <c r="H418">
        <v>323.142857142857</v>
      </c>
      <c r="I418">
        <v>127.60757142857101</v>
      </c>
      <c r="J418">
        <v>320.78485714285699</v>
      </c>
      <c r="K418">
        <v>135.75061142857101</v>
      </c>
      <c r="L418">
        <v>298.47244571428502</v>
      </c>
      <c r="M418">
        <v>322.13763828690099</v>
      </c>
      <c r="N418">
        <v>0</v>
      </c>
      <c r="O418">
        <v>0</v>
      </c>
      <c r="P418">
        <v>0</v>
      </c>
      <c r="Q418">
        <v>0</v>
      </c>
      <c r="R418">
        <v>0.16917729187011701</v>
      </c>
      <c r="S418">
        <v>-0.17858589172363201</v>
      </c>
      <c r="T418">
        <v>0</v>
      </c>
      <c r="U418">
        <v>160.678</v>
      </c>
      <c r="V418">
        <v>0.59399999999999997</v>
      </c>
      <c r="W418">
        <v>-0.35799999999999998</v>
      </c>
      <c r="X418">
        <v>0.72599999999999998</v>
      </c>
      <c r="Y418" t="b">
        <v>1</v>
      </c>
      <c r="Z418" t="s">
        <v>52</v>
      </c>
      <c r="AA418">
        <f t="shared" si="84"/>
        <v>185.44999373835137</v>
      </c>
      <c r="AB418">
        <f t="shared" si="88"/>
        <v>16.917729187011702</v>
      </c>
      <c r="AC418">
        <f t="shared" si="79"/>
        <v>303.95189250701338</v>
      </c>
      <c r="AD418">
        <f t="shared" si="85"/>
        <v>76.594876038905113</v>
      </c>
      <c r="AE418">
        <f t="shared" ca="1" si="86"/>
        <v>72.30407427325386</v>
      </c>
    </row>
    <row r="419" spans="1:31" x14ac:dyDescent="0.3">
      <c r="A419">
        <f t="shared" si="81"/>
        <v>0</v>
      </c>
      <c r="B419" s="2">
        <f t="shared" si="82"/>
        <v>30.758800000057818</v>
      </c>
      <c r="C419" s="2">
        <f t="shared" si="87"/>
        <v>3.0096457142859663</v>
      </c>
      <c r="D419" s="2">
        <f t="shared" si="83"/>
        <v>9.6474853000004259</v>
      </c>
      <c r="E419" s="2"/>
      <c r="F419">
        <v>3231.3227829000002</v>
      </c>
      <c r="G419">
        <v>126.75</v>
      </c>
      <c r="H419">
        <v>331.5</v>
      </c>
      <c r="I419">
        <v>127.119</v>
      </c>
      <c r="J419">
        <v>336.74</v>
      </c>
      <c r="K419">
        <v>134.901594285714</v>
      </c>
      <c r="L419">
        <v>301.48209142857098</v>
      </c>
      <c r="M419">
        <v>322.13763828690099</v>
      </c>
      <c r="N419">
        <v>0</v>
      </c>
      <c r="O419">
        <v>0</v>
      </c>
      <c r="P419">
        <v>0</v>
      </c>
      <c r="Q419">
        <v>0</v>
      </c>
      <c r="R419">
        <v>0.16917729187011701</v>
      </c>
      <c r="S419">
        <v>-0.17858589172363201</v>
      </c>
      <c r="T419">
        <v>0</v>
      </c>
      <c r="U419">
        <v>160.678</v>
      </c>
      <c r="V419">
        <v>0.45800000000000002</v>
      </c>
      <c r="W419">
        <v>-0.35799999999999998</v>
      </c>
      <c r="X419">
        <v>0.72599999999999998</v>
      </c>
      <c r="Y419" t="b">
        <v>1</v>
      </c>
      <c r="Z419" t="s">
        <v>52</v>
      </c>
      <c r="AA419">
        <f t="shared" si="84"/>
        <v>185.34433703197936</v>
      </c>
      <c r="AB419">
        <f t="shared" si="88"/>
        <v>16.917729187011702</v>
      </c>
      <c r="AC419">
        <f t="shared" si="79"/>
        <v>304.47226155553182</v>
      </c>
      <c r="AD419">
        <f t="shared" si="85"/>
        <v>97.846655730402645</v>
      </c>
      <c r="AE419">
        <f t="shared" ca="1" si="86"/>
        <v>70.706857550705806</v>
      </c>
    </row>
    <row r="420" spans="1:31" x14ac:dyDescent="0.3">
      <c r="A420">
        <f t="shared" si="81"/>
        <v>0</v>
      </c>
      <c r="B420" s="2">
        <f t="shared" si="82"/>
        <v>31.482199999572913</v>
      </c>
      <c r="C420" s="2">
        <f t="shared" si="87"/>
        <v>2.397640000000024</v>
      </c>
      <c r="D420" s="2">
        <f t="shared" si="83"/>
        <v>9.6789674999999988</v>
      </c>
      <c r="E420" s="2"/>
      <c r="F420">
        <v>3231.3542650999998</v>
      </c>
      <c r="G420">
        <v>126.75</v>
      </c>
      <c r="H420">
        <v>331.5</v>
      </c>
      <c r="I420">
        <v>126.996</v>
      </c>
      <c r="J420">
        <v>336.08499999999998</v>
      </c>
      <c r="K420">
        <v>134.10399428571401</v>
      </c>
      <c r="L420">
        <v>303.87973142857101</v>
      </c>
      <c r="M420">
        <v>322.13763828690099</v>
      </c>
      <c r="N420">
        <v>0</v>
      </c>
      <c r="O420">
        <v>0</v>
      </c>
      <c r="P420">
        <v>0</v>
      </c>
      <c r="Q420">
        <v>0</v>
      </c>
      <c r="R420">
        <v>0.16917729187011701</v>
      </c>
      <c r="S420">
        <v>-0.17858589172363201</v>
      </c>
      <c r="T420">
        <v>0</v>
      </c>
      <c r="U420">
        <v>160.678</v>
      </c>
      <c r="V420">
        <v>0.45800000000000002</v>
      </c>
      <c r="W420">
        <v>-0.35799999999999998</v>
      </c>
      <c r="X420">
        <v>0.72599999999999998</v>
      </c>
      <c r="Y420" t="b">
        <v>1</v>
      </c>
      <c r="Z420" t="s">
        <v>52</v>
      </c>
      <c r="AA420">
        <f t="shared" si="84"/>
        <v>185.24507897846263</v>
      </c>
      <c r="AB420">
        <f t="shared" si="88"/>
        <v>16.917729187011702</v>
      </c>
      <c r="AC420">
        <f t="shared" si="79"/>
        <v>305.00486888933591</v>
      </c>
      <c r="AD420">
        <f t="shared" si="85"/>
        <v>76.15859120495233</v>
      </c>
      <c r="AE420">
        <f t="shared" ca="1" si="86"/>
        <v>67.026584444100422</v>
      </c>
    </row>
    <row r="421" spans="1:31" x14ac:dyDescent="0.3">
      <c r="A421">
        <f t="shared" si="81"/>
        <v>0</v>
      </c>
      <c r="B421" s="2">
        <f t="shared" si="82"/>
        <v>30.463300000064919</v>
      </c>
      <c r="C421" s="2">
        <f t="shared" si="87"/>
        <v>2.4238399999999842</v>
      </c>
      <c r="D421" s="2">
        <f t="shared" si="83"/>
        <v>9.7094308000000638</v>
      </c>
      <c r="E421" s="2"/>
      <c r="F421">
        <v>3231.3847283999999</v>
      </c>
      <c r="G421">
        <v>126.75</v>
      </c>
      <c r="H421">
        <v>331.5</v>
      </c>
      <c r="I421">
        <v>126.504</v>
      </c>
      <c r="J421">
        <v>334.25099999999998</v>
      </c>
      <c r="K421">
        <v>133.338754285714</v>
      </c>
      <c r="L421">
        <v>306.30357142857099</v>
      </c>
      <c r="M421">
        <v>322.13763828690099</v>
      </c>
      <c r="N421">
        <v>0</v>
      </c>
      <c r="O421">
        <v>0</v>
      </c>
      <c r="P421">
        <v>0</v>
      </c>
      <c r="Q421">
        <v>0</v>
      </c>
      <c r="R421">
        <v>0.16115859985351499</v>
      </c>
      <c r="S421">
        <v>-0.14493133544921799</v>
      </c>
      <c r="T421">
        <v>0</v>
      </c>
      <c r="U421">
        <v>160.649</v>
      </c>
      <c r="V421">
        <v>-5.3999999999999999E-2</v>
      </c>
      <c r="W421">
        <v>8.0000000000000002E-3</v>
      </c>
      <c r="X421">
        <v>0.70599999999999996</v>
      </c>
      <c r="Y421" t="b">
        <v>1</v>
      </c>
      <c r="Z421" t="s">
        <v>52</v>
      </c>
      <c r="AA421">
        <f t="shared" si="84"/>
        <v>185.1498479944191</v>
      </c>
      <c r="AB421">
        <f t="shared" si="88"/>
        <v>16.115859985351499</v>
      </c>
      <c r="AC421">
        <f t="shared" si="79"/>
        <v>305.52023874887971</v>
      </c>
      <c r="AD421">
        <f t="shared" si="85"/>
        <v>79.565903890741282</v>
      </c>
      <c r="AE421">
        <f t="shared" ca="1" si="86"/>
        <v>65.923100642124538</v>
      </c>
    </row>
    <row r="422" spans="1:31" x14ac:dyDescent="0.3">
      <c r="A422">
        <f t="shared" si="81"/>
        <v>0</v>
      </c>
      <c r="B422" s="2">
        <f t="shared" si="82"/>
        <v>30.964800000219839</v>
      </c>
      <c r="C422" s="2">
        <f t="shared" si="87"/>
        <v>2.4972000000000207</v>
      </c>
      <c r="D422" s="2">
        <f t="shared" si="83"/>
        <v>9.7403956000002836</v>
      </c>
      <c r="E422" s="2"/>
      <c r="F422">
        <v>3231.4156932000001</v>
      </c>
      <c r="G422">
        <v>126.75</v>
      </c>
      <c r="H422">
        <v>331.5</v>
      </c>
      <c r="I422">
        <v>126.381</v>
      </c>
      <c r="J422">
        <v>333.72699999999998</v>
      </c>
      <c r="K422">
        <v>132.60795428571399</v>
      </c>
      <c r="L422">
        <v>308.80077142857101</v>
      </c>
      <c r="M422">
        <v>322.13763828690099</v>
      </c>
      <c r="N422">
        <v>0</v>
      </c>
      <c r="O422">
        <v>0</v>
      </c>
      <c r="P422">
        <v>0</v>
      </c>
      <c r="Q422">
        <v>0</v>
      </c>
      <c r="R422">
        <v>0.16115859985351499</v>
      </c>
      <c r="S422">
        <v>-0.14493133544921799</v>
      </c>
      <c r="T422">
        <v>0</v>
      </c>
      <c r="U422">
        <v>160.649</v>
      </c>
      <c r="V422">
        <v>-0.42599999999999999</v>
      </c>
      <c r="W422">
        <v>8.0000000000000002E-3</v>
      </c>
      <c r="X422">
        <v>0.70599999999999996</v>
      </c>
      <c r="Y422" t="b">
        <v>1</v>
      </c>
      <c r="Z422" t="s">
        <v>52</v>
      </c>
      <c r="AA422">
        <f t="shared" si="84"/>
        <v>185.05890292733031</v>
      </c>
      <c r="AB422">
        <f t="shared" si="88"/>
        <v>16.115859985351499</v>
      </c>
      <c r="AC422">
        <f t="shared" si="79"/>
        <v>306.01926313015764</v>
      </c>
      <c r="AD422">
        <f t="shared" si="85"/>
        <v>80.646411408511966</v>
      </c>
      <c r="AE422">
        <f t="shared" ca="1" si="86"/>
        <v>60.770025541661951</v>
      </c>
    </row>
    <row r="423" spans="1:31" x14ac:dyDescent="0.3">
      <c r="A423">
        <f t="shared" si="81"/>
        <v>0</v>
      </c>
      <c r="B423" s="2">
        <f t="shared" si="82"/>
        <v>31.620400000065274</v>
      </c>
      <c r="C423" s="2">
        <f t="shared" si="87"/>
        <v>2.5286399999999958</v>
      </c>
      <c r="D423" s="2">
        <f t="shared" si="83"/>
        <v>9.7720160000003489</v>
      </c>
      <c r="E423" s="2"/>
      <c r="F423">
        <v>3231.4473136000001</v>
      </c>
      <c r="G423">
        <v>126.75</v>
      </c>
      <c r="H423">
        <v>331.5</v>
      </c>
      <c r="I423">
        <v>125.76600000000001</v>
      </c>
      <c r="J423">
        <v>331.89299999999997</v>
      </c>
      <c r="K423">
        <v>131.90175428571399</v>
      </c>
      <c r="L423">
        <v>311.32941142857101</v>
      </c>
      <c r="M423">
        <v>322.13763828690099</v>
      </c>
      <c r="N423">
        <v>0</v>
      </c>
      <c r="O423">
        <v>0</v>
      </c>
      <c r="P423">
        <v>0</v>
      </c>
      <c r="Q423">
        <v>0</v>
      </c>
      <c r="R423">
        <v>0.142430084228515</v>
      </c>
      <c r="S423">
        <v>-0.156378860473632</v>
      </c>
      <c r="T423">
        <v>0</v>
      </c>
      <c r="U423">
        <v>160.60599999999999</v>
      </c>
      <c r="V423">
        <v>-0.42599999999999999</v>
      </c>
      <c r="W423">
        <v>-4.3999999999999997E-2</v>
      </c>
      <c r="X423">
        <v>0.66900000000000004</v>
      </c>
      <c r="Y423" t="b">
        <v>1</v>
      </c>
      <c r="Z423" t="s">
        <v>52</v>
      </c>
      <c r="AA423">
        <f t="shared" si="84"/>
        <v>184.97101922949491</v>
      </c>
      <c r="AB423">
        <f t="shared" si="88"/>
        <v>14.243008422851499</v>
      </c>
      <c r="AC423">
        <f t="shared" si="79"/>
        <v>306.52885306923952</v>
      </c>
      <c r="AD423">
        <f t="shared" si="85"/>
        <v>79.968627847679855</v>
      </c>
      <c r="AE423">
        <f t="shared" ca="1" si="86"/>
        <v>58.561538223123065</v>
      </c>
    </row>
    <row r="424" spans="1:31" x14ac:dyDescent="0.3">
      <c r="A424">
        <f t="shared" si="81"/>
        <v>0</v>
      </c>
      <c r="B424" s="2">
        <f t="shared" si="82"/>
        <v>45.6755999998677</v>
      </c>
      <c r="C424" s="2">
        <f t="shared" si="87"/>
        <v>1.9441600000000108</v>
      </c>
      <c r="D424" s="2">
        <f t="shared" si="83"/>
        <v>9.8176916000002166</v>
      </c>
      <c r="E424" s="2"/>
      <c r="F424">
        <v>3231.4929892</v>
      </c>
      <c r="G424">
        <v>126.75</v>
      </c>
      <c r="H424">
        <v>331.5</v>
      </c>
      <c r="I424">
        <v>125.52</v>
      </c>
      <c r="J424">
        <v>331.238</v>
      </c>
      <c r="K424">
        <v>131.239714285714</v>
      </c>
      <c r="L424">
        <v>313.27357142857102</v>
      </c>
      <c r="M424">
        <v>322.13763828690099</v>
      </c>
      <c r="N424">
        <v>0</v>
      </c>
      <c r="O424">
        <v>0</v>
      </c>
      <c r="P424">
        <v>0</v>
      </c>
      <c r="Q424">
        <v>0</v>
      </c>
      <c r="R424">
        <v>0.12075503540039</v>
      </c>
      <c r="S424">
        <v>-0.157935546875</v>
      </c>
      <c r="T424">
        <v>0</v>
      </c>
      <c r="U424">
        <v>160.64500000000001</v>
      </c>
      <c r="V424">
        <v>-0.42599999999999999</v>
      </c>
      <c r="W424">
        <v>-0.106</v>
      </c>
      <c r="X424">
        <v>0.63900000000000001</v>
      </c>
      <c r="Y424" t="b">
        <v>1</v>
      </c>
      <c r="Z424" t="s">
        <v>52</v>
      </c>
      <c r="AA424">
        <f t="shared" si="84"/>
        <v>184.88863106280709</v>
      </c>
      <c r="AB424">
        <f t="shared" si="88"/>
        <v>12.075503540039</v>
      </c>
      <c r="AC424">
        <f t="shared" si="79"/>
        <v>307.1794110247564</v>
      </c>
      <c r="AD424">
        <f t="shared" si="85"/>
        <v>42.564520225364134</v>
      </c>
      <c r="AE424">
        <f t="shared" ca="1" si="86"/>
        <v>55.870777017577048</v>
      </c>
    </row>
    <row r="425" spans="1:31" x14ac:dyDescent="0.3">
      <c r="A425">
        <f t="shared" si="81"/>
        <v>0</v>
      </c>
      <c r="B425" s="2">
        <f t="shared" si="82"/>
        <v>31.187000000045373</v>
      </c>
      <c r="C425" s="2">
        <f t="shared" si="87"/>
        <v>1.6466800000000035</v>
      </c>
      <c r="D425" s="2">
        <f t="shared" si="83"/>
        <v>9.8488786000002619</v>
      </c>
      <c r="E425" s="2"/>
      <c r="F425">
        <v>3231.5241762000001</v>
      </c>
      <c r="G425">
        <v>126.75</v>
      </c>
      <c r="H425">
        <v>331.5</v>
      </c>
      <c r="I425">
        <v>124.905</v>
      </c>
      <c r="J425">
        <v>329.404</v>
      </c>
      <c r="K425">
        <v>130.607194285714</v>
      </c>
      <c r="L425">
        <v>314.92025142857102</v>
      </c>
      <c r="M425">
        <v>322.13763828690099</v>
      </c>
      <c r="N425">
        <v>0</v>
      </c>
      <c r="O425">
        <v>0</v>
      </c>
      <c r="P425">
        <v>0</v>
      </c>
      <c r="Q425">
        <v>0</v>
      </c>
      <c r="R425">
        <v>0.12075503540039</v>
      </c>
      <c r="S425">
        <v>-0.157935546875</v>
      </c>
      <c r="T425">
        <v>0</v>
      </c>
      <c r="U425">
        <v>160.64500000000001</v>
      </c>
      <c r="V425">
        <v>-0.67500000000000004</v>
      </c>
      <c r="W425">
        <v>-0.106</v>
      </c>
      <c r="X425">
        <v>0.63900000000000001</v>
      </c>
      <c r="Y425" t="b">
        <v>1</v>
      </c>
      <c r="Z425" t="s">
        <v>52</v>
      </c>
      <c r="AA425">
        <f t="shared" si="84"/>
        <v>184.80991653922337</v>
      </c>
      <c r="AB425">
        <f t="shared" si="88"/>
        <v>12.075503540039</v>
      </c>
      <c r="AC425">
        <f t="shared" si="79"/>
        <v>307.55600975366013</v>
      </c>
      <c r="AD425">
        <f t="shared" si="85"/>
        <v>52.800205213634136</v>
      </c>
      <c r="AE425">
        <f t="shared" ca="1" si="86"/>
        <v>56.325610137572603</v>
      </c>
    </row>
    <row r="426" spans="1:31" x14ac:dyDescent="0.3">
      <c r="A426">
        <f t="shared" si="81"/>
        <v>0</v>
      </c>
      <c r="B426" s="2">
        <f t="shared" si="82"/>
        <v>30.428799999754119</v>
      </c>
      <c r="C426" s="2">
        <f t="shared" si="87"/>
        <v>1.8818799999999669</v>
      </c>
      <c r="D426" s="2">
        <f t="shared" si="83"/>
        <v>9.8793074000000161</v>
      </c>
      <c r="E426" s="2"/>
      <c r="F426">
        <v>3231.5546049999998</v>
      </c>
      <c r="G426">
        <v>117</v>
      </c>
      <c r="H426">
        <v>331.5</v>
      </c>
      <c r="I426">
        <v>124.872</v>
      </c>
      <c r="J426">
        <v>328.48700000000002</v>
      </c>
      <c r="K426">
        <v>130.009234285714</v>
      </c>
      <c r="L426">
        <v>316.80213142857099</v>
      </c>
      <c r="M426">
        <v>322.13763828690099</v>
      </c>
      <c r="N426">
        <v>0</v>
      </c>
      <c r="O426">
        <v>0</v>
      </c>
      <c r="P426">
        <v>0</v>
      </c>
      <c r="Q426">
        <v>0</v>
      </c>
      <c r="R426">
        <v>0.12075503540039</v>
      </c>
      <c r="S426">
        <v>-0.157935546875</v>
      </c>
      <c r="T426">
        <v>0</v>
      </c>
      <c r="U426">
        <v>160.64500000000001</v>
      </c>
      <c r="V426">
        <v>-0.91200000000000003</v>
      </c>
      <c r="W426">
        <v>-0.106</v>
      </c>
      <c r="X426">
        <v>0.63900000000000001</v>
      </c>
      <c r="Y426" t="b">
        <v>1</v>
      </c>
      <c r="Z426" t="s">
        <v>52</v>
      </c>
      <c r="AA426">
        <f t="shared" si="84"/>
        <v>184.73550286610293</v>
      </c>
      <c r="AB426">
        <f t="shared" si="88"/>
        <v>12.075503540039</v>
      </c>
      <c r="AC426">
        <f t="shared" si="79"/>
        <v>307.92345283577629</v>
      </c>
      <c r="AD426">
        <f t="shared" si="85"/>
        <v>61.845357030680589</v>
      </c>
      <c r="AE426">
        <f t="shared" ca="1" si="86"/>
        <v>54.552839647144353</v>
      </c>
    </row>
    <row r="427" spans="1:31" x14ac:dyDescent="0.3">
      <c r="A427">
        <f t="shared" si="81"/>
        <v>0</v>
      </c>
      <c r="B427" s="2">
        <f t="shared" si="82"/>
        <v>31.304100000397739</v>
      </c>
      <c r="C427" s="2">
        <f t="shared" si="87"/>
        <v>2.3493599999999901</v>
      </c>
      <c r="D427" s="2">
        <f t="shared" si="83"/>
        <v>9.9106115000004138</v>
      </c>
      <c r="E427" s="2"/>
      <c r="F427">
        <v>3231.5859091000002</v>
      </c>
      <c r="G427">
        <v>121.875</v>
      </c>
      <c r="H427">
        <v>336.375</v>
      </c>
      <c r="I427">
        <v>124.33499999999999</v>
      </c>
      <c r="J427">
        <v>337.29199999999997</v>
      </c>
      <c r="K427">
        <v>129.43407428571399</v>
      </c>
      <c r="L427">
        <v>319.15149142857098</v>
      </c>
      <c r="M427">
        <v>322.13763828690099</v>
      </c>
      <c r="N427">
        <v>0</v>
      </c>
      <c r="O427">
        <v>0</v>
      </c>
      <c r="P427">
        <v>0</v>
      </c>
      <c r="Q427">
        <v>0</v>
      </c>
      <c r="R427">
        <v>0.100481704711914</v>
      </c>
      <c r="S427">
        <v>-0.14156248474121</v>
      </c>
      <c r="T427">
        <v>0</v>
      </c>
      <c r="U427">
        <v>160.71799999999999</v>
      </c>
      <c r="V427">
        <v>-0.91200000000000003</v>
      </c>
      <c r="W427">
        <v>-0.218</v>
      </c>
      <c r="X427">
        <v>0.59599999999999997</v>
      </c>
      <c r="Y427" t="b">
        <v>1</v>
      </c>
      <c r="Z427" t="s">
        <v>52</v>
      </c>
      <c r="AA427">
        <f t="shared" si="84"/>
        <v>184.6639265596076</v>
      </c>
      <c r="AB427">
        <f t="shared" si="88"/>
        <v>10.048170471191401</v>
      </c>
      <c r="AC427">
        <f t="shared" si="79"/>
        <v>308.30146560614884</v>
      </c>
      <c r="AD427">
        <f t="shared" si="85"/>
        <v>75.049594141666432</v>
      </c>
      <c r="AE427">
        <f t="shared" ca="1" si="86"/>
        <v>51.985073422171212</v>
      </c>
    </row>
    <row r="428" spans="1:31" x14ac:dyDescent="0.3">
      <c r="A428">
        <f t="shared" si="81"/>
        <v>0</v>
      </c>
      <c r="B428" s="2">
        <f t="shared" si="82"/>
        <v>30.360899999777757</v>
      </c>
      <c r="C428" s="2">
        <f t="shared" si="87"/>
        <v>1.8405600000000391</v>
      </c>
      <c r="D428" s="2">
        <f t="shared" si="83"/>
        <v>9.9409724000001916</v>
      </c>
      <c r="E428" s="2"/>
      <c r="F428">
        <v>3231.61627</v>
      </c>
      <c r="G428">
        <v>120.9</v>
      </c>
      <c r="H428">
        <v>339.3</v>
      </c>
      <c r="I428">
        <v>123.60599999999999</v>
      </c>
      <c r="J428">
        <v>342.18200000000002</v>
      </c>
      <c r="K428">
        <v>128.878954285714</v>
      </c>
      <c r="L428">
        <v>320.99205142857102</v>
      </c>
      <c r="M428">
        <v>322.13763828690099</v>
      </c>
      <c r="N428">
        <v>0</v>
      </c>
      <c r="O428">
        <v>0</v>
      </c>
      <c r="P428">
        <v>0</v>
      </c>
      <c r="Q428">
        <v>0</v>
      </c>
      <c r="R428">
        <v>0.100481704711914</v>
      </c>
      <c r="S428">
        <v>-0.14156248474121</v>
      </c>
      <c r="T428">
        <v>0</v>
      </c>
      <c r="U428">
        <v>160.71799999999999</v>
      </c>
      <c r="V428">
        <v>-0.97699999999999998</v>
      </c>
      <c r="W428">
        <v>-0.218</v>
      </c>
      <c r="X428">
        <v>0.59599999999999997</v>
      </c>
      <c r="Y428" t="b">
        <v>1</v>
      </c>
      <c r="Z428" t="s">
        <v>52</v>
      </c>
      <c r="AA428">
        <f t="shared" si="84"/>
        <v>184.59484414904065</v>
      </c>
      <c r="AB428">
        <f t="shared" si="88"/>
        <v>10.048170471191401</v>
      </c>
      <c r="AC428">
        <f t="shared" si="79"/>
        <v>308.60653710500537</v>
      </c>
      <c r="AD428">
        <f t="shared" si="85"/>
        <v>60.6227088134249</v>
      </c>
      <c r="AE428">
        <f t="shared" ca="1" si="86"/>
        <v>46.848062858256647</v>
      </c>
    </row>
    <row r="429" spans="1:31" x14ac:dyDescent="0.3">
      <c r="A429">
        <f t="shared" si="81"/>
        <v>0</v>
      </c>
      <c r="B429" s="2">
        <f t="shared" si="82"/>
        <v>31.868200000189972</v>
      </c>
      <c r="C429" s="2">
        <f t="shared" si="87"/>
        <v>1.9453599999999938</v>
      </c>
      <c r="D429" s="2">
        <f t="shared" si="83"/>
        <v>9.9728406000003815</v>
      </c>
      <c r="E429" s="2"/>
      <c r="F429">
        <v>3231.6481382000002</v>
      </c>
      <c r="G429">
        <v>120.9</v>
      </c>
      <c r="H429">
        <v>339.3</v>
      </c>
      <c r="I429">
        <v>123.36</v>
      </c>
      <c r="J429">
        <v>341.65800000000002</v>
      </c>
      <c r="K429">
        <v>128.363194285714</v>
      </c>
      <c r="L429">
        <v>322.93741142857101</v>
      </c>
      <c r="M429">
        <v>322.13763828690099</v>
      </c>
      <c r="N429">
        <v>0</v>
      </c>
      <c r="O429">
        <v>0</v>
      </c>
      <c r="P429">
        <v>0</v>
      </c>
      <c r="Q429">
        <v>0</v>
      </c>
      <c r="R429">
        <v>8.0519813537597601E-2</v>
      </c>
      <c r="S429">
        <v>-0.15284790039062501</v>
      </c>
      <c r="T429">
        <v>0</v>
      </c>
      <c r="U429">
        <v>160.804</v>
      </c>
      <c r="V429">
        <v>-0.97699999999999998</v>
      </c>
      <c r="W429">
        <v>-0.45</v>
      </c>
      <c r="X429">
        <v>0.55900000000000005</v>
      </c>
      <c r="Y429" t="b">
        <v>1</v>
      </c>
      <c r="Z429" t="s">
        <v>52</v>
      </c>
      <c r="AA429">
        <f t="shared" si="84"/>
        <v>184.53065992927912</v>
      </c>
      <c r="AB429">
        <f t="shared" si="88"/>
        <v>8.0519813537597607</v>
      </c>
      <c r="AC429">
        <f t="shared" si="79"/>
        <v>308.92675421121731</v>
      </c>
      <c r="AD429">
        <f t="shared" si="85"/>
        <v>61.043924664348694</v>
      </c>
      <c r="AE429">
        <f t="shared" ca="1" si="86"/>
        <v>41.343529372447371</v>
      </c>
    </row>
    <row r="430" spans="1:31" x14ac:dyDescent="0.3">
      <c r="A430">
        <f t="shared" si="81"/>
        <v>0</v>
      </c>
      <c r="B430" s="2">
        <f t="shared" si="82"/>
        <v>31.239599999935308</v>
      </c>
      <c r="C430" s="2">
        <f t="shared" si="87"/>
        <v>2.0344399999999609</v>
      </c>
      <c r="D430" s="2">
        <f t="shared" si="83"/>
        <v>10.004080200000317</v>
      </c>
      <c r="E430" s="2"/>
      <c r="F430">
        <v>3231.6793778000001</v>
      </c>
      <c r="G430">
        <v>120.9</v>
      </c>
      <c r="H430">
        <v>339.3</v>
      </c>
      <c r="I430">
        <v>122.13</v>
      </c>
      <c r="J430">
        <v>340.47899999999998</v>
      </c>
      <c r="K430">
        <v>127.83267428571401</v>
      </c>
      <c r="L430">
        <v>324.97185142857097</v>
      </c>
      <c r="M430">
        <v>322.13763828690099</v>
      </c>
      <c r="N430">
        <v>0</v>
      </c>
      <c r="O430">
        <v>0</v>
      </c>
      <c r="P430">
        <v>0</v>
      </c>
      <c r="Q430">
        <v>0</v>
      </c>
      <c r="R430">
        <v>7.36905975341796E-2</v>
      </c>
      <c r="S430">
        <v>-0.15639054870605401</v>
      </c>
      <c r="T430">
        <v>0</v>
      </c>
      <c r="U430">
        <v>160.98699999999999</v>
      </c>
      <c r="V430">
        <v>-0.97699999999999998</v>
      </c>
      <c r="W430">
        <v>-0.70699999999999996</v>
      </c>
      <c r="X430">
        <v>0.51500000000000001</v>
      </c>
      <c r="Y430" t="b">
        <v>1</v>
      </c>
      <c r="Z430" t="s">
        <v>52</v>
      </c>
      <c r="AA430">
        <f t="shared" si="84"/>
        <v>184.46463888796558</v>
      </c>
      <c r="AB430">
        <f t="shared" si="88"/>
        <v>7.36905975341796</v>
      </c>
      <c r="AC430">
        <f t="shared" si="79"/>
        <v>309.17829488791568</v>
      </c>
      <c r="AD430">
        <f t="shared" si="85"/>
        <v>65.123753185193593</v>
      </c>
      <c r="AE430">
        <f t="shared" ca="1" si="86"/>
        <v>41.550572152537143</v>
      </c>
    </row>
    <row r="431" spans="1:31" x14ac:dyDescent="0.3">
      <c r="A431">
        <f t="shared" si="81"/>
        <v>0</v>
      </c>
      <c r="B431" s="2">
        <f t="shared" si="82"/>
        <v>48.189499999807595</v>
      </c>
      <c r="C431" s="2">
        <f t="shared" si="87"/>
        <v>1.3510000000000559</v>
      </c>
      <c r="D431" s="2">
        <f t="shared" si="83"/>
        <v>10.052269700000124</v>
      </c>
      <c r="E431" s="2"/>
      <c r="F431">
        <v>3231.7275672999999</v>
      </c>
      <c r="G431">
        <v>120.9</v>
      </c>
      <c r="H431">
        <v>339.3</v>
      </c>
      <c r="I431">
        <v>121.63800000000001</v>
      </c>
      <c r="J431">
        <v>340.08600000000001</v>
      </c>
      <c r="K431">
        <v>127.326754285714</v>
      </c>
      <c r="L431">
        <v>326.32285142857103</v>
      </c>
      <c r="M431">
        <v>322.13763828690099</v>
      </c>
      <c r="N431">
        <v>0</v>
      </c>
      <c r="O431">
        <v>0</v>
      </c>
      <c r="P431">
        <v>0</v>
      </c>
      <c r="Q431">
        <v>0</v>
      </c>
      <c r="R431">
        <v>7.36905975341796E-2</v>
      </c>
      <c r="S431">
        <v>-0.15639054870605401</v>
      </c>
      <c r="T431">
        <v>0</v>
      </c>
      <c r="U431">
        <v>160.98699999999999</v>
      </c>
      <c r="V431">
        <v>-0.94399999999999995</v>
      </c>
      <c r="W431">
        <v>-0.70699999999999996</v>
      </c>
      <c r="X431">
        <v>0.51500000000000001</v>
      </c>
      <c r="Y431" t="b">
        <v>1</v>
      </c>
      <c r="Z431" t="s">
        <v>52</v>
      </c>
      <c r="AA431">
        <f t="shared" si="84"/>
        <v>184.40167921590543</v>
      </c>
      <c r="AB431">
        <f t="shared" si="88"/>
        <v>7.36905975341796</v>
      </c>
      <c r="AC431">
        <f t="shared" si="79"/>
        <v>309.53340619290162</v>
      </c>
      <c r="AD431">
        <f t="shared" si="85"/>
        <v>28.035152886115235</v>
      </c>
      <c r="AE431">
        <f t="shared" ca="1" si="86"/>
        <v>41.823924537327329</v>
      </c>
    </row>
    <row r="432" spans="1:31" x14ac:dyDescent="0.3">
      <c r="A432">
        <f t="shared" si="81"/>
        <v>0</v>
      </c>
      <c r="B432" s="2">
        <f t="shared" si="82"/>
        <v>15.343099999881815</v>
      </c>
      <c r="C432" s="2">
        <f t="shared" si="87"/>
        <v>1.6228799999999524</v>
      </c>
      <c r="D432" s="2">
        <f t="shared" si="83"/>
        <v>10.067612800000006</v>
      </c>
      <c r="E432" s="2"/>
      <c r="F432">
        <v>3231.7429103999998</v>
      </c>
      <c r="G432">
        <v>117</v>
      </c>
      <c r="H432">
        <v>341.25</v>
      </c>
      <c r="I432">
        <v>120.321</v>
      </c>
      <c r="J432">
        <v>343.47699999999998</v>
      </c>
      <c r="K432">
        <v>126.797674285714</v>
      </c>
      <c r="L432">
        <v>327.94573142857098</v>
      </c>
      <c r="M432">
        <v>322.13763828690099</v>
      </c>
      <c r="N432">
        <v>0</v>
      </c>
      <c r="O432">
        <v>0</v>
      </c>
      <c r="P432">
        <v>0</v>
      </c>
      <c r="Q432">
        <v>0</v>
      </c>
      <c r="R432">
        <v>7.36905975341796E-2</v>
      </c>
      <c r="S432">
        <v>-0.15639054870605401</v>
      </c>
      <c r="T432">
        <v>0</v>
      </c>
      <c r="U432">
        <v>160.98699999999999</v>
      </c>
      <c r="V432">
        <f>V431</f>
        <v>-0.94399999999999995</v>
      </c>
      <c r="W432">
        <v>-0.70699999999999996</v>
      </c>
      <c r="X432">
        <v>0.51500000000000001</v>
      </c>
      <c r="Y432" t="b">
        <v>1</v>
      </c>
      <c r="Z432" t="s">
        <v>52</v>
      </c>
      <c r="AA432">
        <f t="shared" si="84"/>
        <v>184.33583737669451</v>
      </c>
      <c r="AB432">
        <f t="shared" si="88"/>
        <v>7.36905975341796</v>
      </c>
      <c r="AC432">
        <f t="shared" si="79"/>
        <v>309.64647041360342</v>
      </c>
      <c r="AD432" t="b">
        <f t="shared" si="85"/>
        <v>0</v>
      </c>
      <c r="AE432">
        <f t="shared" ca="1" si="86"/>
        <v>43.547520993728845</v>
      </c>
    </row>
    <row r="433" spans="1:31" x14ac:dyDescent="0.3">
      <c r="A433">
        <f t="shared" si="81"/>
        <v>0</v>
      </c>
      <c r="B433" s="2">
        <f t="shared" si="82"/>
        <v>30.894800000169198</v>
      </c>
      <c r="C433" s="2">
        <f t="shared" si="87"/>
        <v>1.722440000000006</v>
      </c>
      <c r="D433" s="2">
        <f t="shared" si="83"/>
        <v>10.098507600000175</v>
      </c>
      <c r="E433" s="2"/>
      <c r="F433">
        <v>3231.7738052</v>
      </c>
      <c r="G433">
        <v>117</v>
      </c>
      <c r="H433">
        <v>341.25</v>
      </c>
      <c r="I433">
        <v>119.46</v>
      </c>
      <c r="J433">
        <v>342.69099999999997</v>
      </c>
      <c r="K433">
        <v>126.25875428571401</v>
      </c>
      <c r="L433">
        <v>329.66817142857099</v>
      </c>
      <c r="M433">
        <v>322.13763828690099</v>
      </c>
      <c r="N433">
        <v>0</v>
      </c>
      <c r="O433">
        <v>0</v>
      </c>
      <c r="P433">
        <v>0</v>
      </c>
      <c r="Q433">
        <v>0</v>
      </c>
      <c r="R433">
        <v>5.70228576660156E-2</v>
      </c>
      <c r="S433">
        <v>-0.147936614990234</v>
      </c>
      <c r="T433">
        <v>0</v>
      </c>
      <c r="U433">
        <v>161.095</v>
      </c>
      <c r="V433">
        <v>-0.94399999999999995</v>
      </c>
      <c r="W433">
        <v>-0.71299999999999997</v>
      </c>
      <c r="X433">
        <v>0.46600000000000003</v>
      </c>
      <c r="Y433" t="b">
        <v>1</v>
      </c>
      <c r="Z433" t="s">
        <v>52</v>
      </c>
      <c r="AA433">
        <f t="shared" si="84"/>
        <v>184.26877098978224</v>
      </c>
      <c r="AB433">
        <f t="shared" si="88"/>
        <v>5.7022857666015598</v>
      </c>
      <c r="AC433">
        <f t="shared" si="79"/>
        <v>309.87413604087459</v>
      </c>
      <c r="AD433">
        <f t="shared" si="85"/>
        <v>55.751776997765738</v>
      </c>
      <c r="AE433">
        <f t="shared" ca="1" si="86"/>
        <v>42.563149124578437</v>
      </c>
    </row>
    <row r="434" spans="1:31" x14ac:dyDescent="0.3">
      <c r="A434">
        <f t="shared" si="81"/>
        <v>0</v>
      </c>
      <c r="B434" s="2">
        <f t="shared" si="82"/>
        <v>30.603100000007544</v>
      </c>
      <c r="C434" s="2">
        <f t="shared" si="87"/>
        <v>1.427880000000016</v>
      </c>
      <c r="D434" s="2">
        <f t="shared" si="83"/>
        <v>10.129110700000183</v>
      </c>
      <c r="E434" s="2"/>
      <c r="F434">
        <v>3231.8044083</v>
      </c>
      <c r="G434">
        <v>117</v>
      </c>
      <c r="H434">
        <v>341.25</v>
      </c>
      <c r="I434">
        <v>118.72199999999999</v>
      </c>
      <c r="J434">
        <v>342.16699999999997</v>
      </c>
      <c r="K434">
        <v>125.714914285714</v>
      </c>
      <c r="L434">
        <v>331.096051428571</v>
      </c>
      <c r="M434">
        <v>322.13763828690099</v>
      </c>
      <c r="N434">
        <v>0</v>
      </c>
      <c r="O434">
        <v>0</v>
      </c>
      <c r="P434">
        <v>0</v>
      </c>
      <c r="Q434">
        <v>0</v>
      </c>
      <c r="R434">
        <v>5.70228576660156E-2</v>
      </c>
      <c r="S434">
        <v>-0.147936614990234</v>
      </c>
      <c r="T434">
        <v>0</v>
      </c>
      <c r="U434">
        <v>161.095</v>
      </c>
      <c r="V434">
        <v>-0.75</v>
      </c>
      <c r="W434">
        <v>-0.71299999999999997</v>
      </c>
      <c r="X434">
        <v>0.46600000000000003</v>
      </c>
      <c r="Y434" t="b">
        <v>1</v>
      </c>
      <c r="Z434" t="s">
        <v>52</v>
      </c>
      <c r="AA434">
        <f t="shared" si="84"/>
        <v>184.20109232901927</v>
      </c>
      <c r="AB434">
        <f t="shared" si="88"/>
        <v>5.7022857666015598</v>
      </c>
      <c r="AC434">
        <f t="shared" si="79"/>
        <v>310.0486436624185</v>
      </c>
      <c r="AD434">
        <f t="shared" si="85"/>
        <v>46.658018305324106</v>
      </c>
      <c r="AE434">
        <f t="shared" ca="1" si="86"/>
        <v>37.390260063267561</v>
      </c>
    </row>
    <row r="435" spans="1:31" x14ac:dyDescent="0.3">
      <c r="A435">
        <f t="shared" si="81"/>
        <v>0</v>
      </c>
      <c r="B435" s="2">
        <f t="shared" si="82"/>
        <v>30.758899999909772</v>
      </c>
      <c r="C435" s="2">
        <f t="shared" si="87"/>
        <v>1.1333200000000261</v>
      </c>
      <c r="D435" s="2">
        <f t="shared" si="83"/>
        <v>10.159869600000093</v>
      </c>
      <c r="E435" s="2"/>
      <c r="F435">
        <v>3231.8351671999999</v>
      </c>
      <c r="G435">
        <v>117</v>
      </c>
      <c r="H435">
        <v>341.25</v>
      </c>
      <c r="I435">
        <v>118.107</v>
      </c>
      <c r="J435">
        <v>341.64299999999997</v>
      </c>
      <c r="K435">
        <v>125.18583428571399</v>
      </c>
      <c r="L435">
        <v>332.22937142857103</v>
      </c>
      <c r="M435">
        <v>322.13763828690099</v>
      </c>
      <c r="N435">
        <v>0</v>
      </c>
      <c r="O435">
        <v>0</v>
      </c>
      <c r="P435">
        <v>0</v>
      </c>
      <c r="Q435">
        <v>0</v>
      </c>
      <c r="R435">
        <v>2.77362575531005E-2</v>
      </c>
      <c r="S435">
        <v>-0.14731179809570299</v>
      </c>
      <c r="T435">
        <v>0</v>
      </c>
      <c r="U435">
        <v>161.161</v>
      </c>
      <c r="V435">
        <v>-0.65200000000000002</v>
      </c>
      <c r="W435">
        <v>-0.23300000000000001</v>
      </c>
      <c r="X435">
        <v>0.41899999999999998</v>
      </c>
      <c r="Y435" t="b">
        <v>1</v>
      </c>
      <c r="Z435" t="s">
        <v>52</v>
      </c>
      <c r="AA435">
        <f t="shared" si="84"/>
        <v>184.13525048980839</v>
      </c>
      <c r="AB435">
        <f t="shared" si="88"/>
        <v>2.7736257553100501</v>
      </c>
      <c r="AC435">
        <f t="shared" ref="AC435:AC498" si="89">AC434+(AB434*(D435-D434))</f>
        <v>310.22403970008429</v>
      </c>
      <c r="AD435">
        <f t="shared" si="85"/>
        <v>36.845270799779918</v>
      </c>
      <c r="AE435">
        <f t="shared" ca="1" si="86"/>
        <v>39.025707560695906</v>
      </c>
    </row>
    <row r="436" spans="1:31" x14ac:dyDescent="0.3">
      <c r="A436">
        <f t="shared" si="81"/>
        <v>0</v>
      </c>
      <c r="B436" s="2">
        <f t="shared" si="82"/>
        <v>31.828200000290963</v>
      </c>
      <c r="C436" s="2">
        <f t="shared" si="87"/>
        <v>1.232879999999966</v>
      </c>
      <c r="D436" s="2">
        <f t="shared" si="83"/>
        <v>10.191697800000384</v>
      </c>
      <c r="E436" s="2"/>
      <c r="F436">
        <v>3231.8669954000002</v>
      </c>
      <c r="G436">
        <v>117</v>
      </c>
      <c r="H436">
        <v>341.25</v>
      </c>
      <c r="I436">
        <v>117.61499999999999</v>
      </c>
      <c r="J436">
        <v>341.11900000000003</v>
      </c>
      <c r="K436">
        <v>124.666594285714</v>
      </c>
      <c r="L436">
        <v>333.46225142857099</v>
      </c>
      <c r="M436">
        <v>322.13763828690099</v>
      </c>
      <c r="N436">
        <v>0</v>
      </c>
      <c r="O436">
        <v>0</v>
      </c>
      <c r="P436">
        <v>0</v>
      </c>
      <c r="Q436">
        <v>0</v>
      </c>
      <c r="R436">
        <v>2.77362575531005E-2</v>
      </c>
      <c r="S436">
        <v>-0.14731179809570299</v>
      </c>
      <c r="T436">
        <v>0</v>
      </c>
      <c r="U436">
        <v>161.161</v>
      </c>
      <c r="V436">
        <v>-0.65200000000000002</v>
      </c>
      <c r="W436">
        <v>-0.23300000000000001</v>
      </c>
      <c r="X436">
        <v>0.41899999999999998</v>
      </c>
      <c r="Y436" t="b">
        <v>1</v>
      </c>
      <c r="Z436" t="s">
        <v>52</v>
      </c>
      <c r="AA436">
        <f t="shared" si="84"/>
        <v>184.07063319829882</v>
      </c>
      <c r="AB436">
        <f t="shared" si="88"/>
        <v>2.7736257553100501</v>
      </c>
      <c r="AC436">
        <f t="shared" si="89"/>
        <v>310.31231921535027</v>
      </c>
      <c r="AD436">
        <f t="shared" si="85"/>
        <v>38.735461005922275</v>
      </c>
      <c r="AE436">
        <f t="shared" ca="1" si="86"/>
        <v>41.784442589597624</v>
      </c>
    </row>
    <row r="437" spans="1:31" x14ac:dyDescent="0.3">
      <c r="A437">
        <f t="shared" si="81"/>
        <v>0</v>
      </c>
      <c r="B437" s="2">
        <f t="shared" si="82"/>
        <v>31.652699999995093</v>
      </c>
      <c r="C437" s="2">
        <f t="shared" si="87"/>
        <v>0.91212000000001581</v>
      </c>
      <c r="D437" s="2">
        <f t="shared" si="83"/>
        <v>10.223350500000379</v>
      </c>
      <c r="E437" s="2"/>
      <c r="F437">
        <v>3231.8986481000002</v>
      </c>
      <c r="G437">
        <v>117</v>
      </c>
      <c r="H437">
        <v>341.25</v>
      </c>
      <c r="I437">
        <v>117</v>
      </c>
      <c r="J437">
        <v>340.59500000000003</v>
      </c>
      <c r="K437">
        <v>124.149154285714</v>
      </c>
      <c r="L437">
        <v>334.37437142857101</v>
      </c>
      <c r="M437">
        <v>322.13763828690099</v>
      </c>
      <c r="N437">
        <v>0</v>
      </c>
      <c r="O437">
        <v>0</v>
      </c>
      <c r="P437">
        <v>0</v>
      </c>
      <c r="Q437">
        <v>0</v>
      </c>
      <c r="R437">
        <v>-2.9791073799133299E-3</v>
      </c>
      <c r="S437">
        <v>-0.12349624633789</v>
      </c>
      <c r="T437">
        <v>0</v>
      </c>
      <c r="U437">
        <v>161.33600000000001</v>
      </c>
      <c r="V437">
        <v>-0.65200000000000002</v>
      </c>
      <c r="W437">
        <v>0.36899999999999999</v>
      </c>
      <c r="X437">
        <v>0.371</v>
      </c>
      <c r="Y437" t="b">
        <v>1</v>
      </c>
      <c r="Z437" t="s">
        <v>52</v>
      </c>
      <c r="AA437">
        <f t="shared" si="84"/>
        <v>184.00623990941756</v>
      </c>
      <c r="AB437">
        <f t="shared" si="88"/>
        <v>-0.297910737991333</v>
      </c>
      <c r="AC437">
        <f t="shared" si="89"/>
        <v>310.40011195929537</v>
      </c>
      <c r="AD437">
        <f t="shared" si="85"/>
        <v>28.81649906643532</v>
      </c>
      <c r="AE437">
        <f t="shared" ca="1" si="86"/>
        <v>44.898535003421799</v>
      </c>
    </row>
    <row r="438" spans="1:31" x14ac:dyDescent="0.3">
      <c r="A438">
        <f t="shared" si="81"/>
        <v>0</v>
      </c>
      <c r="B438" s="2">
        <f t="shared" si="82"/>
        <v>94.128199999886419</v>
      </c>
      <c r="C438" s="2">
        <f t="shared" si="87"/>
        <v>1.0431199999999876</v>
      </c>
      <c r="D438" s="2">
        <f t="shared" si="83"/>
        <v>10.317478700000265</v>
      </c>
      <c r="E438" s="2"/>
      <c r="F438">
        <v>3231.9927763000001</v>
      </c>
      <c r="G438">
        <v>112.125</v>
      </c>
      <c r="H438">
        <v>346.125</v>
      </c>
      <c r="I438">
        <v>117.16800000000001</v>
      </c>
      <c r="J438">
        <v>351.75799999999998</v>
      </c>
      <c r="K438">
        <v>123.671074285714</v>
      </c>
      <c r="L438">
        <v>335.417491428571</v>
      </c>
      <c r="M438">
        <v>322.13763828690099</v>
      </c>
      <c r="N438">
        <v>0</v>
      </c>
      <c r="O438">
        <v>0</v>
      </c>
      <c r="P438">
        <v>0</v>
      </c>
      <c r="Q438">
        <v>0</v>
      </c>
      <c r="R438">
        <v>-1.7325565338134698E-2</v>
      </c>
      <c r="S438">
        <v>-0.129741271972656</v>
      </c>
      <c r="T438">
        <v>0</v>
      </c>
      <c r="U438">
        <v>161.33699999999999</v>
      </c>
      <c r="V438">
        <v>-0.74199999999999999</v>
      </c>
      <c r="W438">
        <v>0.66700000000000004</v>
      </c>
      <c r="X438">
        <v>0.32100000000000001</v>
      </c>
      <c r="Y438" t="b">
        <v>1</v>
      </c>
      <c r="Z438" t="s">
        <v>52</v>
      </c>
      <c r="AA438">
        <f t="shared" si="84"/>
        <v>183.94674481134174</v>
      </c>
      <c r="AB438">
        <f t="shared" si="88"/>
        <v>-1.7325565338134699</v>
      </c>
      <c r="AC438">
        <f t="shared" si="89"/>
        <v>310.37207015776761</v>
      </c>
      <c r="AD438">
        <f t="shared" si="85"/>
        <v>11.081907441141404</v>
      </c>
      <c r="AE438">
        <f t="shared" ca="1" si="86"/>
        <v>49.462607578081794</v>
      </c>
    </row>
    <row r="439" spans="1:31" x14ac:dyDescent="0.3">
      <c r="A439">
        <f t="shared" si="81"/>
        <v>0</v>
      </c>
      <c r="B439" s="2">
        <f t="shared" si="82"/>
        <v>15.696200000093086</v>
      </c>
      <c r="C439" s="2">
        <f t="shared" si="87"/>
        <v>0.98740571428601243</v>
      </c>
      <c r="D439" s="2">
        <f t="shared" si="83"/>
        <v>10.333174900000358</v>
      </c>
      <c r="E439" s="2"/>
      <c r="F439">
        <v>3232.0084725000002</v>
      </c>
      <c r="G439">
        <v>112.125</v>
      </c>
      <c r="H439">
        <v>346.125</v>
      </c>
      <c r="I439">
        <v>116.676</v>
      </c>
      <c r="J439">
        <v>351.49599999999998</v>
      </c>
      <c r="K439">
        <v>123.194451428571</v>
      </c>
      <c r="L439">
        <v>336.40489714285701</v>
      </c>
      <c r="M439">
        <v>322.13763828690099</v>
      </c>
      <c r="N439">
        <v>0</v>
      </c>
      <c r="O439">
        <v>0</v>
      </c>
      <c r="P439">
        <v>0</v>
      </c>
      <c r="Q439">
        <v>0</v>
      </c>
      <c r="R439">
        <v>-1.7325565338134698E-2</v>
      </c>
      <c r="S439">
        <v>-0.129741271972656</v>
      </c>
      <c r="T439">
        <v>0</v>
      </c>
      <c r="U439">
        <v>161.33699999999999</v>
      </c>
      <c r="V439">
        <v>-0.74199999999999999</v>
      </c>
      <c r="W439">
        <v>0.66700000000000004</v>
      </c>
      <c r="X439">
        <v>0.32100000000000001</v>
      </c>
      <c r="Y439" t="b">
        <v>1</v>
      </c>
      <c r="Z439" t="s">
        <v>52</v>
      </c>
      <c r="AA439">
        <f t="shared" si="84"/>
        <v>183.88743104872691</v>
      </c>
      <c r="AB439">
        <f t="shared" si="88"/>
        <v>-1.7325565338134699</v>
      </c>
      <c r="AC439">
        <f t="shared" si="89"/>
        <v>310.34487560390141</v>
      </c>
      <c r="AD439">
        <f t="shared" si="85"/>
        <v>62.907309685156704</v>
      </c>
      <c r="AE439">
        <f t="shared" ca="1" si="86"/>
        <v>48.23128452906608</v>
      </c>
    </row>
    <row r="440" spans="1:31" x14ac:dyDescent="0.3">
      <c r="A440">
        <f t="shared" si="81"/>
        <v>0</v>
      </c>
      <c r="B440" s="2">
        <f t="shared" si="82"/>
        <v>15.38540000001376</v>
      </c>
      <c r="C440" s="2">
        <f t="shared" si="87"/>
        <v>1.0398057142849666</v>
      </c>
      <c r="D440" s="2">
        <f t="shared" si="83"/>
        <v>10.348560300000372</v>
      </c>
      <c r="E440" s="2"/>
      <c r="F440">
        <v>3232.0238579000002</v>
      </c>
      <c r="G440">
        <v>112.125</v>
      </c>
      <c r="H440">
        <v>346.125</v>
      </c>
      <c r="I440">
        <v>116.307</v>
      </c>
      <c r="J440">
        <v>351.10300000000001</v>
      </c>
      <c r="K440">
        <v>122.712908571428</v>
      </c>
      <c r="L440">
        <v>337.44470285714198</v>
      </c>
      <c r="M440">
        <v>322.13763828690099</v>
      </c>
      <c r="N440">
        <v>0</v>
      </c>
      <c r="O440">
        <v>0</v>
      </c>
      <c r="P440">
        <v>0</v>
      </c>
      <c r="Q440">
        <v>0</v>
      </c>
      <c r="R440">
        <v>-1.7325565338134698E-2</v>
      </c>
      <c r="S440">
        <v>-0.129741271972656</v>
      </c>
      <c r="T440">
        <v>0</v>
      </c>
      <c r="U440">
        <v>161.33699999999999</v>
      </c>
      <c r="V440">
        <v>-0.88100000000000001</v>
      </c>
      <c r="W440">
        <v>0.66700000000000004</v>
      </c>
      <c r="X440">
        <v>0.32100000000000001</v>
      </c>
      <c r="Y440" t="b">
        <v>1</v>
      </c>
      <c r="Z440" t="s">
        <v>52</v>
      </c>
      <c r="AA440">
        <f t="shared" si="84"/>
        <v>183.82750501226141</v>
      </c>
      <c r="AB440">
        <f t="shared" si="88"/>
        <v>-1.7325565338134699</v>
      </c>
      <c r="AC440">
        <f t="shared" si="89"/>
        <v>310.31821952860605</v>
      </c>
      <c r="AD440">
        <f t="shared" si="85"/>
        <v>67.583924648305313</v>
      </c>
      <c r="AE440">
        <f t="shared" ca="1" si="86"/>
        <v>41.241583452937554</v>
      </c>
    </row>
    <row r="441" spans="1:31" x14ac:dyDescent="0.3">
      <c r="A441">
        <f t="shared" si="81"/>
        <v>0</v>
      </c>
      <c r="B441" s="2">
        <f t="shared" si="82"/>
        <v>15.116699999907723</v>
      </c>
      <c r="C441" s="2">
        <f t="shared" si="87"/>
        <v>1.5387257142860449</v>
      </c>
      <c r="D441" s="2">
        <f t="shared" si="83"/>
        <v>10.36367700000028</v>
      </c>
      <c r="E441" s="2"/>
      <c r="F441">
        <v>3232.0389746000001</v>
      </c>
      <c r="G441">
        <v>117</v>
      </c>
      <c r="H441">
        <v>351</v>
      </c>
      <c r="I441">
        <v>113.80200000000001</v>
      </c>
      <c r="J441">
        <v>362.00400000000002</v>
      </c>
      <c r="K441">
        <v>122.145925714285</v>
      </c>
      <c r="L441">
        <v>338.98342857142802</v>
      </c>
      <c r="M441">
        <v>322.13763828690099</v>
      </c>
      <c r="N441">
        <v>0</v>
      </c>
      <c r="O441">
        <v>0</v>
      </c>
      <c r="P441">
        <v>0</v>
      </c>
      <c r="Q441">
        <v>0</v>
      </c>
      <c r="R441">
        <v>-3.0515796661376899E-2</v>
      </c>
      <c r="S441">
        <v>-0.11864238739013599</v>
      </c>
      <c r="T441">
        <v>0</v>
      </c>
      <c r="U441">
        <v>161.46700000000001</v>
      </c>
      <c r="V441">
        <v>-0.96599999999999997</v>
      </c>
      <c r="W441">
        <v>0.78600000000000003</v>
      </c>
      <c r="X441">
        <v>0.27800000000000002</v>
      </c>
      <c r="Y441" t="b">
        <v>1</v>
      </c>
      <c r="Z441" t="s">
        <v>52</v>
      </c>
      <c r="AA441">
        <f t="shared" si="84"/>
        <v>183.75694631770602</v>
      </c>
      <c r="AB441">
        <f t="shared" si="88"/>
        <v>-3.0515796661376897</v>
      </c>
      <c r="AC441">
        <f t="shared" si="89"/>
        <v>310.29202899125153</v>
      </c>
      <c r="AD441" t="b">
        <f t="shared" si="85"/>
        <v>0</v>
      </c>
      <c r="AE441">
        <f t="shared" ca="1" si="86"/>
        <v>33.732258492014743</v>
      </c>
    </row>
    <row r="442" spans="1:31" x14ac:dyDescent="0.3">
      <c r="A442">
        <f t="shared" si="81"/>
        <v>0</v>
      </c>
      <c r="B442" s="2">
        <f t="shared" si="82"/>
        <v>46.624699999938457</v>
      </c>
      <c r="C442" s="2">
        <f t="shared" si="87"/>
        <v>1.6173257142859825</v>
      </c>
      <c r="D442" s="2">
        <f t="shared" si="83"/>
        <v>10.410301700000218</v>
      </c>
      <c r="E442" s="2"/>
      <c r="F442">
        <v>3232.0855993</v>
      </c>
      <c r="G442">
        <v>107.25</v>
      </c>
      <c r="H442">
        <v>351</v>
      </c>
      <c r="I442">
        <v>116.598</v>
      </c>
      <c r="J442">
        <v>362.65899999999999</v>
      </c>
      <c r="K442">
        <v>121.70062285714199</v>
      </c>
      <c r="L442">
        <v>340.600754285714</v>
      </c>
      <c r="M442">
        <v>322.13763828690099</v>
      </c>
      <c r="N442">
        <v>0</v>
      </c>
      <c r="O442">
        <v>0</v>
      </c>
      <c r="P442">
        <v>0</v>
      </c>
      <c r="Q442">
        <v>0</v>
      </c>
      <c r="R442">
        <v>-2.5320013046264599E-2</v>
      </c>
      <c r="S442">
        <v>-0.12840948486328099</v>
      </c>
      <c r="T442">
        <v>0</v>
      </c>
      <c r="U442">
        <v>161.58799999999999</v>
      </c>
      <c r="V442">
        <v>-0.96599999999999997</v>
      </c>
      <c r="W442">
        <v>0.67700000000000005</v>
      </c>
      <c r="X442">
        <v>0.23300000000000001</v>
      </c>
      <c r="Y442" t="b">
        <v>1</v>
      </c>
      <c r="Z442" t="s">
        <v>52</v>
      </c>
      <c r="AA442">
        <f t="shared" si="84"/>
        <v>183.70153020082358</v>
      </c>
      <c r="AB442">
        <f t="shared" si="88"/>
        <v>-2.5320013046264598</v>
      </c>
      <c r="AC442">
        <f t="shared" si="89"/>
        <v>310.14975000479194</v>
      </c>
      <c r="AD442">
        <f t="shared" si="85"/>
        <v>34.688174171375202</v>
      </c>
      <c r="AE442">
        <f t="shared" ca="1" si="86"/>
        <v>30.359032642813268</v>
      </c>
    </row>
    <row r="443" spans="1:31" x14ac:dyDescent="0.3">
      <c r="A443">
        <f t="shared" si="81"/>
        <v>0</v>
      </c>
      <c r="B443" s="2">
        <f t="shared" si="82"/>
        <v>173.0278999998518</v>
      </c>
      <c r="C443" s="2">
        <f t="shared" si="87"/>
        <v>1.5911257142860222</v>
      </c>
      <c r="D443" s="2">
        <f t="shared" si="83"/>
        <v>10.58332960000007</v>
      </c>
      <c r="E443" s="2"/>
      <c r="F443">
        <v>3232.2586271999999</v>
      </c>
      <c r="G443">
        <v>117</v>
      </c>
      <c r="H443">
        <v>351</v>
      </c>
      <c r="I443">
        <v>111.58799999999999</v>
      </c>
      <c r="J443">
        <v>360.56299999999999</v>
      </c>
      <c r="K443">
        <v>121.059839999999</v>
      </c>
      <c r="L443">
        <v>342.19188000000003</v>
      </c>
      <c r="M443">
        <v>322.13763828690099</v>
      </c>
      <c r="N443">
        <v>0</v>
      </c>
      <c r="O443">
        <v>0</v>
      </c>
      <c r="P443">
        <v>0</v>
      </c>
      <c r="Q443">
        <v>0</v>
      </c>
      <c r="R443">
        <v>-2.24321002960205E-2</v>
      </c>
      <c r="S443">
        <v>-0.142402053833007</v>
      </c>
      <c r="T443">
        <v>0</v>
      </c>
      <c r="U443">
        <v>161.82900000000001</v>
      </c>
      <c r="V443">
        <v>-0.96599999999999997</v>
      </c>
      <c r="W443">
        <v>1.2E-2</v>
      </c>
      <c r="X443">
        <v>0.20200000000000001</v>
      </c>
      <c r="Y443" t="b">
        <v>1</v>
      </c>
      <c r="Z443" t="s">
        <v>52</v>
      </c>
      <c r="AA443">
        <f t="shared" si="84"/>
        <v>183.62178739850802</v>
      </c>
      <c r="AB443">
        <f t="shared" si="88"/>
        <v>-2.2432100296020501</v>
      </c>
      <c r="AC443">
        <f t="shared" si="89"/>
        <v>309.71164313625553</v>
      </c>
      <c r="AD443">
        <f t="shared" si="85"/>
        <v>9.1957754459678753</v>
      </c>
      <c r="AE443">
        <f t="shared" ca="1" si="86"/>
        <v>26.890215225675753</v>
      </c>
    </row>
    <row r="444" spans="1:31" x14ac:dyDescent="0.3">
      <c r="A444">
        <f t="shared" si="81"/>
        <v>0</v>
      </c>
      <c r="B444" s="2">
        <f t="shared" si="82"/>
        <v>15.440300000136631</v>
      </c>
      <c r="C444" s="2">
        <f t="shared" si="87"/>
        <v>0.94767999999896801</v>
      </c>
      <c r="D444" s="2">
        <f t="shared" si="83"/>
        <v>10.598769900000207</v>
      </c>
      <c r="E444" s="2"/>
      <c r="F444">
        <v>3232.2740675</v>
      </c>
      <c r="G444">
        <v>117</v>
      </c>
      <c r="H444">
        <v>351</v>
      </c>
      <c r="I444">
        <v>110.48099999999999</v>
      </c>
      <c r="J444">
        <v>360.43200000000002</v>
      </c>
      <c r="K444">
        <v>120.39431999999999</v>
      </c>
      <c r="L444">
        <v>343.13955999999899</v>
      </c>
      <c r="M444">
        <v>322.13763828690099</v>
      </c>
      <c r="N444">
        <v>0</v>
      </c>
      <c r="O444">
        <v>0</v>
      </c>
      <c r="P444">
        <v>0</v>
      </c>
      <c r="Q444">
        <v>0</v>
      </c>
      <c r="R444">
        <v>-2.24321002960205E-2</v>
      </c>
      <c r="S444">
        <v>-0.142402053833007</v>
      </c>
      <c r="T444">
        <v>0</v>
      </c>
      <c r="U444">
        <v>161.82900000000001</v>
      </c>
      <c r="V444">
        <v>-0.94299999999999995</v>
      </c>
      <c r="W444">
        <v>1.2E-2</v>
      </c>
      <c r="X444">
        <v>0.20200000000000001</v>
      </c>
      <c r="Y444" t="b">
        <v>1</v>
      </c>
      <c r="Z444" t="s">
        <v>52</v>
      </c>
      <c r="AA444">
        <f t="shared" si="84"/>
        <v>183.53896616007228</v>
      </c>
      <c r="AB444">
        <f t="shared" si="88"/>
        <v>-2.2432100296020501</v>
      </c>
      <c r="AC444">
        <f t="shared" si="89"/>
        <v>309.67700730043515</v>
      </c>
      <c r="AD444">
        <f t="shared" si="85"/>
        <v>61.377045782179231</v>
      </c>
      <c r="AE444">
        <f t="shared" ca="1" si="86"/>
        <v>25.970637681078966</v>
      </c>
    </row>
    <row r="445" spans="1:31" x14ac:dyDescent="0.3">
      <c r="A445">
        <f t="shared" si="81"/>
        <v>0</v>
      </c>
      <c r="B445" s="2">
        <f t="shared" si="82"/>
        <v>15.790800000104355</v>
      </c>
      <c r="C445" s="2">
        <f t="shared" si="87"/>
        <v>0.97388000000103148</v>
      </c>
      <c r="D445" s="2">
        <f t="shared" si="83"/>
        <v>10.614560700000311</v>
      </c>
      <c r="E445" s="2"/>
      <c r="F445">
        <v>3232.2898583000001</v>
      </c>
      <c r="G445">
        <v>117</v>
      </c>
      <c r="H445">
        <v>351</v>
      </c>
      <c r="I445">
        <v>109.128</v>
      </c>
      <c r="J445">
        <v>360.43200000000002</v>
      </c>
      <c r="K445">
        <v>119.67959999999999</v>
      </c>
      <c r="L445">
        <v>344.11344000000003</v>
      </c>
      <c r="M445">
        <v>322.13763828690099</v>
      </c>
      <c r="N445">
        <v>0</v>
      </c>
      <c r="O445">
        <v>0</v>
      </c>
      <c r="P445">
        <v>0</v>
      </c>
      <c r="Q445">
        <v>0</v>
      </c>
      <c r="R445">
        <v>-2.24321002960205E-2</v>
      </c>
      <c r="S445">
        <v>-0.142402053833007</v>
      </c>
      <c r="T445">
        <v>0</v>
      </c>
      <c r="U445">
        <v>161.82900000000001</v>
      </c>
      <c r="V445">
        <v>-0.94299999999999995</v>
      </c>
      <c r="W445">
        <v>1.2E-2</v>
      </c>
      <c r="X445">
        <v>0.20200000000000001</v>
      </c>
      <c r="Y445" t="b">
        <v>1</v>
      </c>
      <c r="Z445" t="s">
        <v>52</v>
      </c>
      <c r="AA445">
        <f t="shared" si="84"/>
        <v>183.45002218312962</v>
      </c>
      <c r="AB445">
        <f t="shared" si="88"/>
        <v>-2.2432100296020501</v>
      </c>
      <c r="AC445">
        <f t="shared" si="89"/>
        <v>309.64158521949946</v>
      </c>
      <c r="AD445">
        <f t="shared" si="85"/>
        <v>61.673886059895352</v>
      </c>
      <c r="AE445">
        <f t="shared" ca="1" si="86"/>
        <v>19.832933102861041</v>
      </c>
    </row>
    <row r="446" spans="1:31" x14ac:dyDescent="0.3">
      <c r="A446">
        <f t="shared" si="81"/>
        <v>0</v>
      </c>
      <c r="B446" s="2">
        <f t="shared" si="82"/>
        <v>15.686100000039005</v>
      </c>
      <c r="C446" s="2">
        <f t="shared" si="87"/>
        <v>1.047239999999988</v>
      </c>
      <c r="D446" s="2">
        <f t="shared" si="83"/>
        <v>10.63024680000035</v>
      </c>
      <c r="E446" s="2"/>
      <c r="F446">
        <v>3232.3055444000001</v>
      </c>
      <c r="G446">
        <v>117</v>
      </c>
      <c r="H446">
        <v>351</v>
      </c>
      <c r="I446">
        <v>107.529</v>
      </c>
      <c r="J446">
        <v>360.43200000000002</v>
      </c>
      <c r="K446">
        <v>118.92059999999999</v>
      </c>
      <c r="L446">
        <v>345.16068000000001</v>
      </c>
      <c r="M446">
        <v>322.13763828690099</v>
      </c>
      <c r="N446">
        <v>0</v>
      </c>
      <c r="O446">
        <v>0</v>
      </c>
      <c r="P446">
        <v>0</v>
      </c>
      <c r="Q446">
        <v>0</v>
      </c>
      <c r="R446">
        <v>-2.24321002960205E-2</v>
      </c>
      <c r="S446">
        <v>-0.142402053833007</v>
      </c>
      <c r="T446">
        <v>0</v>
      </c>
      <c r="U446">
        <v>161.82900000000001</v>
      </c>
      <c r="V446">
        <v>-0.85199999999999998</v>
      </c>
      <c r="W446">
        <v>1.2E-2</v>
      </c>
      <c r="X446">
        <v>0.20200000000000001</v>
      </c>
      <c r="Y446" t="b">
        <v>1</v>
      </c>
      <c r="Z446" t="s">
        <v>52</v>
      </c>
      <c r="AA446">
        <f t="shared" si="84"/>
        <v>183.35556774153082</v>
      </c>
      <c r="AB446">
        <f t="shared" si="88"/>
        <v>-2.2432100296020501</v>
      </c>
      <c r="AC446">
        <f t="shared" si="89"/>
        <v>309.60639800265403</v>
      </c>
      <c r="AD446">
        <f t="shared" si="85"/>
        <v>66.762292730339851</v>
      </c>
      <c r="AE446">
        <f t="shared" ca="1" si="86"/>
        <v>13.665544496871508</v>
      </c>
    </row>
    <row r="447" spans="1:31" x14ac:dyDescent="0.3">
      <c r="A447">
        <f t="shared" si="81"/>
        <v>0</v>
      </c>
      <c r="B447" s="2">
        <f t="shared" si="82"/>
        <v>15.35829999966154</v>
      </c>
      <c r="C447" s="2">
        <f t="shared" si="87"/>
        <v>1.0734399999989819</v>
      </c>
      <c r="D447" s="2">
        <f t="shared" si="83"/>
        <v>10.645605100000012</v>
      </c>
      <c r="E447" s="2"/>
      <c r="F447">
        <v>3232.3209026999998</v>
      </c>
      <c r="G447">
        <v>117</v>
      </c>
      <c r="H447">
        <v>351</v>
      </c>
      <c r="I447">
        <v>105.56100000000001</v>
      </c>
      <c r="J447">
        <v>360.56299999999999</v>
      </c>
      <c r="K447">
        <v>118.0878</v>
      </c>
      <c r="L447">
        <v>346.234119999999</v>
      </c>
      <c r="M447">
        <v>322.13763828690099</v>
      </c>
      <c r="N447">
        <v>0</v>
      </c>
      <c r="O447">
        <v>0</v>
      </c>
      <c r="P447">
        <v>0</v>
      </c>
      <c r="Q447">
        <v>0</v>
      </c>
      <c r="R447">
        <v>-2.24321002960205E-2</v>
      </c>
      <c r="S447">
        <v>-0.142402053833007</v>
      </c>
      <c r="T447">
        <v>0</v>
      </c>
      <c r="U447">
        <v>161.82900000000001</v>
      </c>
      <c r="V447">
        <v>-0.69599999999999995</v>
      </c>
      <c r="W447">
        <v>1.2E-2</v>
      </c>
      <c r="X447">
        <v>0.20200000000000001</v>
      </c>
      <c r="Y447" t="b">
        <v>1</v>
      </c>
      <c r="Z447" t="s">
        <v>52</v>
      </c>
      <c r="AA447">
        <f t="shared" si="84"/>
        <v>183.25192919217184</v>
      </c>
      <c r="AB447">
        <f t="shared" si="88"/>
        <v>-2.2432100296020501</v>
      </c>
      <c r="AC447">
        <f t="shared" si="89"/>
        <v>309.57194611005713</v>
      </c>
      <c r="AD447">
        <f t="shared" si="85"/>
        <v>69.893152238375208</v>
      </c>
      <c r="AE447">
        <f t="shared" ca="1" si="86"/>
        <v>6.9893152238375205</v>
      </c>
    </row>
    <row r="448" spans="1:31" x14ac:dyDescent="0.3">
      <c r="A448">
        <f t="shared" si="81"/>
        <v>0</v>
      </c>
      <c r="B448" s="2">
        <f t="shared" si="82"/>
        <v>16.283200000088982</v>
      </c>
      <c r="C448" s="2">
        <f t="shared" si="87"/>
        <v>0</v>
      </c>
      <c r="D448" s="2">
        <f t="shared" si="83"/>
        <v>10.661888300000101</v>
      </c>
      <c r="E448" s="2"/>
      <c r="F448">
        <v>3232.3371858999999</v>
      </c>
      <c r="G448">
        <v>117</v>
      </c>
      <c r="H448">
        <v>351</v>
      </c>
      <c r="I448">
        <v>105.56100000000001</v>
      </c>
      <c r="J448">
        <v>360.56299999999999</v>
      </c>
      <c r="K448">
        <v>118.0878</v>
      </c>
      <c r="L448">
        <v>346.234119999999</v>
      </c>
      <c r="M448">
        <v>322.13763828690099</v>
      </c>
      <c r="N448">
        <v>0</v>
      </c>
      <c r="O448">
        <v>0</v>
      </c>
      <c r="P448">
        <v>0</v>
      </c>
      <c r="Q448">
        <v>0</v>
      </c>
      <c r="R448">
        <v>-0.27931750488281198</v>
      </c>
      <c r="S448">
        <v>-0.30228652954101498</v>
      </c>
      <c r="T448">
        <v>0</v>
      </c>
      <c r="U448">
        <v>161.88300000000001</v>
      </c>
      <c r="V448">
        <v>-0.69599999999999995</v>
      </c>
      <c r="W448">
        <v>0.188</v>
      </c>
      <c r="X448">
        <v>0.151</v>
      </c>
      <c r="Y448" t="b">
        <v>1</v>
      </c>
      <c r="Z448" t="s">
        <v>52</v>
      </c>
      <c r="AA448">
        <f t="shared" si="84"/>
        <v>183.25192919217184</v>
      </c>
      <c r="AB448">
        <f>AB447</f>
        <v>-2.2432100296020501</v>
      </c>
      <c r="AC448">
        <f t="shared" si="89"/>
        <v>309.53541947250289</v>
      </c>
      <c r="AD448">
        <f t="shared" si="85"/>
        <v>0</v>
      </c>
      <c r="AE448">
        <f t="shared" ca="1" si="86"/>
        <v>0</v>
      </c>
    </row>
    <row r="449" spans="1:31" x14ac:dyDescent="0.3">
      <c r="A449">
        <f t="shared" si="81"/>
        <v>0</v>
      </c>
      <c r="B449" s="2">
        <f t="shared" si="82"/>
        <v>16.014300000279036</v>
      </c>
      <c r="C449" s="2">
        <f t="shared" si="87"/>
        <v>0</v>
      </c>
      <c r="D449" s="2">
        <f t="shared" si="83"/>
        <v>10.67790260000038</v>
      </c>
      <c r="E449" s="2"/>
      <c r="F449">
        <v>3232.3532002000002</v>
      </c>
      <c r="G449">
        <v>117</v>
      </c>
      <c r="H449">
        <v>351</v>
      </c>
      <c r="I449">
        <v>105.56100000000001</v>
      </c>
      <c r="J449">
        <v>360.56299999999999</v>
      </c>
      <c r="K449">
        <v>118.0878</v>
      </c>
      <c r="L449">
        <v>346.234119999999</v>
      </c>
      <c r="M449">
        <v>322.13763828690099</v>
      </c>
      <c r="N449">
        <v>0</v>
      </c>
      <c r="O449">
        <v>0</v>
      </c>
      <c r="P449">
        <v>0</v>
      </c>
      <c r="Q449">
        <v>0</v>
      </c>
      <c r="R449">
        <v>-0.27931750488281198</v>
      </c>
      <c r="S449">
        <v>-0.30228652954101498</v>
      </c>
      <c r="T449">
        <v>0</v>
      </c>
      <c r="U449">
        <v>161.88300000000001</v>
      </c>
      <c r="V449">
        <v>-0.69599999999999995</v>
      </c>
      <c r="W449">
        <v>0.188</v>
      </c>
      <c r="X449">
        <v>0.151</v>
      </c>
      <c r="Y449" t="b">
        <v>1</v>
      </c>
      <c r="Z449" t="s">
        <v>52</v>
      </c>
      <c r="AA449">
        <f t="shared" si="84"/>
        <v>183.25192919217184</v>
      </c>
      <c r="AB449">
        <f>AB448</f>
        <v>-2.2432100296020501</v>
      </c>
      <c r="AC449">
        <f t="shared" si="89"/>
        <v>309.49949603412523</v>
      </c>
      <c r="AD449">
        <f t="shared" si="85"/>
        <v>0</v>
      </c>
      <c r="AE449">
        <f t="shared" ca="1" si="86"/>
        <v>0</v>
      </c>
    </row>
    <row r="450" spans="1:31" x14ac:dyDescent="0.3">
      <c r="A450">
        <f t="shared" si="81"/>
        <v>0</v>
      </c>
      <c r="B450" s="2">
        <f t="shared" si="82"/>
        <v>15.290399999685178</v>
      </c>
      <c r="C450" s="2">
        <f t="shared" si="87"/>
        <v>0</v>
      </c>
      <c r="D450" s="2">
        <f t="shared" si="83"/>
        <v>10.693193000000065</v>
      </c>
      <c r="E450" s="2"/>
      <c r="F450">
        <v>3232.3684905999999</v>
      </c>
      <c r="G450">
        <v>117</v>
      </c>
      <c r="H450">
        <v>351</v>
      </c>
      <c r="I450">
        <v>105.56100000000001</v>
      </c>
      <c r="J450">
        <v>360.56299999999999</v>
      </c>
      <c r="K450">
        <v>118.0878</v>
      </c>
      <c r="L450">
        <v>346.234119999999</v>
      </c>
      <c r="M450">
        <v>322.13763828690099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162.02799999999999</v>
      </c>
      <c r="V450">
        <v>-0.48099999999999998</v>
      </c>
      <c r="W450">
        <v>0.187</v>
      </c>
      <c r="X450">
        <v>0</v>
      </c>
      <c r="Y450" t="b">
        <v>0</v>
      </c>
      <c r="Z450" t="s">
        <v>52</v>
      </c>
      <c r="AA450">
        <f t="shared" si="84"/>
        <v>183.25192919217184</v>
      </c>
      <c r="AB450">
        <f t="shared" ref="AB450:AB481" si="90">R450*100</f>
        <v>0</v>
      </c>
      <c r="AC450">
        <f t="shared" si="89"/>
        <v>309.46519645548932</v>
      </c>
      <c r="AD450">
        <f t="shared" si="85"/>
        <v>0</v>
      </c>
      <c r="AE450">
        <f t="shared" ca="1" si="86"/>
        <v>0</v>
      </c>
    </row>
    <row r="451" spans="1:31" x14ac:dyDescent="0.3">
      <c r="A451">
        <f t="shared" si="81"/>
        <v>0</v>
      </c>
      <c r="B451" s="2">
        <f t="shared" si="82"/>
        <v>15.823600000203442</v>
      </c>
      <c r="C451" s="2">
        <f t="shared" si="87"/>
        <v>0</v>
      </c>
      <c r="D451" s="2">
        <f t="shared" si="83"/>
        <v>10.709016600000268</v>
      </c>
      <c r="E451" s="2"/>
      <c r="F451">
        <v>3232.3843142000001</v>
      </c>
      <c r="G451">
        <v>117</v>
      </c>
      <c r="H451">
        <v>351</v>
      </c>
      <c r="I451">
        <v>105.56100000000001</v>
      </c>
      <c r="J451">
        <v>360.56299999999999</v>
      </c>
      <c r="K451">
        <v>118.0878</v>
      </c>
      <c r="L451">
        <v>346.234119999999</v>
      </c>
      <c r="M451">
        <v>322.13763828690099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162.02799999999999</v>
      </c>
      <c r="V451">
        <v>-0.48099999999999998</v>
      </c>
      <c r="W451">
        <v>0.187</v>
      </c>
      <c r="X451">
        <v>0</v>
      </c>
      <c r="Y451" t="b">
        <v>0</v>
      </c>
      <c r="Z451" t="s">
        <v>52</v>
      </c>
      <c r="AA451">
        <f t="shared" si="84"/>
        <v>183.25192919217184</v>
      </c>
      <c r="AB451">
        <f t="shared" si="90"/>
        <v>0</v>
      </c>
      <c r="AC451">
        <f t="shared" si="89"/>
        <v>309.46519645548932</v>
      </c>
      <c r="AD451">
        <f t="shared" si="85"/>
        <v>0</v>
      </c>
      <c r="AE451">
        <f t="shared" ca="1" si="86"/>
        <v>0</v>
      </c>
    </row>
    <row r="452" spans="1:31" x14ac:dyDescent="0.3">
      <c r="A452">
        <f t="shared" si="81"/>
        <v>0</v>
      </c>
      <c r="B452" s="2">
        <f t="shared" si="82"/>
        <v>15.027399999780755</v>
      </c>
      <c r="C452" s="2">
        <f t="shared" si="87"/>
        <v>0</v>
      </c>
      <c r="D452" s="2">
        <f t="shared" si="83"/>
        <v>10.724044000000049</v>
      </c>
      <c r="E452" s="2"/>
      <c r="F452">
        <v>3232.3993415999998</v>
      </c>
      <c r="G452">
        <v>117</v>
      </c>
      <c r="H452">
        <v>351</v>
      </c>
      <c r="I452">
        <v>105.56100000000001</v>
      </c>
      <c r="J452">
        <v>360.56299999999999</v>
      </c>
      <c r="K452">
        <v>118.0878</v>
      </c>
      <c r="L452">
        <v>346.234119999999</v>
      </c>
      <c r="M452">
        <v>322.13763828690099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162.02799999999999</v>
      </c>
      <c r="V452">
        <v>-0.216</v>
      </c>
      <c r="W452">
        <v>0.187</v>
      </c>
      <c r="X452">
        <v>0</v>
      </c>
      <c r="Y452" t="b">
        <v>0</v>
      </c>
      <c r="Z452" t="s">
        <v>52</v>
      </c>
      <c r="AA452">
        <f t="shared" si="84"/>
        <v>183.25192919217184</v>
      </c>
      <c r="AB452">
        <f t="shared" si="90"/>
        <v>0</v>
      </c>
      <c r="AC452">
        <f t="shared" si="89"/>
        <v>309.46519645548932</v>
      </c>
      <c r="AD452">
        <f t="shared" si="85"/>
        <v>0</v>
      </c>
      <c r="AE452">
        <f t="shared" ca="1" si="86"/>
        <v>0</v>
      </c>
    </row>
    <row r="453" spans="1:31" x14ac:dyDescent="0.3">
      <c r="A453">
        <f t="shared" si="81"/>
        <v>0</v>
      </c>
      <c r="B453" s="2">
        <f t="shared" si="82"/>
        <v>32.176200000321842</v>
      </c>
      <c r="C453" s="2">
        <f t="shared" si="87"/>
        <v>0</v>
      </c>
      <c r="D453" s="2">
        <f t="shared" si="83"/>
        <v>10.756220200000371</v>
      </c>
      <c r="E453" s="2"/>
      <c r="F453">
        <v>3232.4315178000002</v>
      </c>
      <c r="G453">
        <v>117</v>
      </c>
      <c r="H453">
        <v>351</v>
      </c>
      <c r="I453">
        <v>105.56100000000001</v>
      </c>
      <c r="J453">
        <v>360.56299999999999</v>
      </c>
      <c r="K453">
        <v>118.0878</v>
      </c>
      <c r="L453">
        <v>346.234119999999</v>
      </c>
      <c r="M453">
        <v>322.13763828690099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162.672</v>
      </c>
      <c r="V453">
        <v>-0.216</v>
      </c>
      <c r="W453">
        <v>-1.0089999999999999</v>
      </c>
      <c r="X453">
        <v>0</v>
      </c>
      <c r="Y453" t="b">
        <v>0</v>
      </c>
      <c r="Z453" t="s">
        <v>52</v>
      </c>
      <c r="AA453">
        <f t="shared" si="84"/>
        <v>183.25192919217184</v>
      </c>
      <c r="AB453">
        <f t="shared" si="90"/>
        <v>0</v>
      </c>
      <c r="AC453">
        <f t="shared" si="89"/>
        <v>309.46519645548932</v>
      </c>
      <c r="AD453">
        <f t="shared" si="85"/>
        <v>0</v>
      </c>
      <c r="AE453">
        <f t="shared" ca="1" si="86"/>
        <v>0</v>
      </c>
    </row>
    <row r="454" spans="1:31" x14ac:dyDescent="0.3">
      <c r="A454">
        <f t="shared" si="81"/>
        <v>0</v>
      </c>
      <c r="B454" s="2">
        <f t="shared" si="82"/>
        <v>31.088599999748112</v>
      </c>
      <c r="C454" s="2">
        <f t="shared" si="87"/>
        <v>0</v>
      </c>
      <c r="D454" s="2">
        <f t="shared" si="83"/>
        <v>10.787308800000119</v>
      </c>
      <c r="E454" s="2"/>
      <c r="F454">
        <v>3232.4626063999999</v>
      </c>
      <c r="G454">
        <v>117</v>
      </c>
      <c r="H454">
        <v>351</v>
      </c>
      <c r="I454">
        <v>105.56100000000001</v>
      </c>
      <c r="J454">
        <v>360.56299999999999</v>
      </c>
      <c r="K454">
        <v>118.0878</v>
      </c>
      <c r="L454">
        <v>346.234119999999</v>
      </c>
      <c r="M454">
        <v>322.13763828690099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162.78800000000001</v>
      </c>
      <c r="V454">
        <v>-0.313</v>
      </c>
      <c r="W454">
        <v>-9.6000000000000002E-2</v>
      </c>
      <c r="X454">
        <v>0</v>
      </c>
      <c r="Y454" t="b">
        <v>0</v>
      </c>
      <c r="Z454" t="s">
        <v>52</v>
      </c>
      <c r="AA454">
        <f t="shared" si="84"/>
        <v>183.25192919217184</v>
      </c>
      <c r="AB454">
        <f t="shared" si="90"/>
        <v>0</v>
      </c>
      <c r="AC454">
        <f t="shared" si="89"/>
        <v>309.46519645548932</v>
      </c>
      <c r="AD454">
        <f t="shared" si="85"/>
        <v>0</v>
      </c>
      <c r="AE454">
        <f t="shared" ca="1" si="86"/>
        <v>0</v>
      </c>
    </row>
    <row r="455" spans="1:31" x14ac:dyDescent="0.3">
      <c r="A455">
        <f t="shared" si="81"/>
        <v>0</v>
      </c>
      <c r="B455" s="2">
        <f t="shared" si="82"/>
        <v>45.921200000066165</v>
      </c>
      <c r="C455" s="2">
        <f t="shared" si="87"/>
        <v>0</v>
      </c>
      <c r="D455" s="2">
        <f t="shared" si="83"/>
        <v>10.833230000000185</v>
      </c>
      <c r="E455" s="2"/>
      <c r="F455">
        <v>3232.5085276</v>
      </c>
      <c r="G455">
        <v>117</v>
      </c>
      <c r="H455">
        <v>351</v>
      </c>
      <c r="I455">
        <v>105.56100000000001</v>
      </c>
      <c r="J455">
        <v>360.56299999999999</v>
      </c>
      <c r="K455">
        <v>118.0878</v>
      </c>
      <c r="L455">
        <v>346.234119999999</v>
      </c>
      <c r="M455">
        <v>322.13763828690099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162.78800000000001</v>
      </c>
      <c r="V455">
        <v>-0.84899999999999998</v>
      </c>
      <c r="W455">
        <v>-9.6000000000000002E-2</v>
      </c>
      <c r="X455">
        <v>0</v>
      </c>
      <c r="Y455" t="b">
        <v>0</v>
      </c>
      <c r="Z455" t="s">
        <v>52</v>
      </c>
      <c r="AA455">
        <f t="shared" si="84"/>
        <v>183.25192919217184</v>
      </c>
      <c r="AB455">
        <f t="shared" si="90"/>
        <v>0</v>
      </c>
      <c r="AC455">
        <f t="shared" si="89"/>
        <v>309.46519645548932</v>
      </c>
      <c r="AD455">
        <f t="shared" si="85"/>
        <v>0</v>
      </c>
      <c r="AE455">
        <f t="shared" ca="1" si="86"/>
        <v>0</v>
      </c>
    </row>
    <row r="456" spans="1:31" x14ac:dyDescent="0.3">
      <c r="A456">
        <f t="shared" ref="A456:A519" si="91">N456*100</f>
        <v>0</v>
      </c>
      <c r="B456" s="2">
        <f t="shared" ref="B456:B519" si="92">(F456-F455)*1000</f>
        <v>15.678600000228471</v>
      </c>
      <c r="C456" s="2">
        <f t="shared" si="87"/>
        <v>0</v>
      </c>
      <c r="D456" s="2">
        <f t="shared" ref="D456:D519" si="93">F456-$F$7</f>
        <v>10.848908600000414</v>
      </c>
      <c r="E456" s="2"/>
      <c r="F456">
        <v>3232.5242062000002</v>
      </c>
      <c r="G456">
        <v>117</v>
      </c>
      <c r="H456">
        <v>351</v>
      </c>
      <c r="I456">
        <v>105.56100000000001</v>
      </c>
      <c r="J456">
        <v>360.56299999999999</v>
      </c>
      <c r="K456">
        <v>118.0878</v>
      </c>
      <c r="L456">
        <v>346.234119999999</v>
      </c>
      <c r="M456">
        <v>322.13763828690099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162.78800000000001</v>
      </c>
      <c r="V456">
        <v>-0.84899999999999998</v>
      </c>
      <c r="W456">
        <v>-9.6000000000000002E-2</v>
      </c>
      <c r="X456">
        <v>0</v>
      </c>
      <c r="Y456" t="b">
        <v>0</v>
      </c>
      <c r="Z456" t="s">
        <v>52</v>
      </c>
      <c r="AA456">
        <f t="shared" ref="AA456:AA519" si="94">$K$4+($AA$4/$K$3*(K456-$K$4))</f>
        <v>183.25192919217184</v>
      </c>
      <c r="AB456">
        <f t="shared" si="90"/>
        <v>0</v>
      </c>
      <c r="AC456">
        <f t="shared" si="89"/>
        <v>309.46519645548932</v>
      </c>
      <c r="AD456">
        <f t="shared" ref="AD456:AD519" si="95">IF((L456-L455)/(D456-D455)&lt;100,IF((L456-L455)/(D456-D455)&gt;(-1*20),(L456-L455)/(D456-D455),AD455))</f>
        <v>0</v>
      </c>
      <c r="AE456">
        <f t="shared" ref="AE456:AE519" ca="1" si="96">IF(ROW(AD456)-ROW($AD$7)+1&gt;=$AE$6, AVERAGE(OFFSET(AD456, 0, 0, $AE$6, 1)), NA())</f>
        <v>0</v>
      </c>
    </row>
    <row r="457" spans="1:31" x14ac:dyDescent="0.3">
      <c r="A457">
        <f t="shared" si="91"/>
        <v>0</v>
      </c>
      <c r="B457" s="2">
        <f t="shared" si="92"/>
        <v>46.195899999929679</v>
      </c>
      <c r="C457" s="2">
        <f t="shared" ref="C457:C520" si="97">L457-L456</f>
        <v>0</v>
      </c>
      <c r="D457" s="2">
        <f t="shared" si="93"/>
        <v>10.895104500000343</v>
      </c>
      <c r="E457" s="2"/>
      <c r="F457">
        <v>3232.5704021000001</v>
      </c>
      <c r="G457">
        <v>117</v>
      </c>
      <c r="H457">
        <v>351</v>
      </c>
      <c r="I457">
        <v>105.56100000000001</v>
      </c>
      <c r="J457">
        <v>360.56299999999999</v>
      </c>
      <c r="K457">
        <v>118.0878</v>
      </c>
      <c r="L457">
        <v>346.234119999999</v>
      </c>
      <c r="M457">
        <v>322.13763828690099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162.81800000000001</v>
      </c>
      <c r="V457">
        <v>-0.84899999999999998</v>
      </c>
      <c r="W457">
        <v>-0.13900000000000001</v>
      </c>
      <c r="X457">
        <v>0</v>
      </c>
      <c r="Y457" t="b">
        <v>0</v>
      </c>
      <c r="Z457" t="s">
        <v>52</v>
      </c>
      <c r="AA457">
        <f t="shared" si="94"/>
        <v>183.25192919217184</v>
      </c>
      <c r="AB457">
        <f t="shared" si="90"/>
        <v>0</v>
      </c>
      <c r="AC457">
        <f t="shared" si="89"/>
        <v>309.46519645548932</v>
      </c>
      <c r="AD457">
        <f t="shared" si="95"/>
        <v>0</v>
      </c>
      <c r="AE457">
        <f t="shared" ca="1" si="96"/>
        <v>0</v>
      </c>
    </row>
    <row r="458" spans="1:31" x14ac:dyDescent="0.3">
      <c r="A458">
        <f t="shared" si="91"/>
        <v>0</v>
      </c>
      <c r="B458" s="2">
        <f t="shared" si="92"/>
        <v>31.041100000038568</v>
      </c>
      <c r="C458" s="2">
        <f t="shared" si="97"/>
        <v>0</v>
      </c>
      <c r="D458" s="2">
        <f t="shared" si="93"/>
        <v>10.926145600000382</v>
      </c>
      <c r="E458" s="2"/>
      <c r="F458">
        <v>3232.6014432000002</v>
      </c>
      <c r="G458">
        <v>117</v>
      </c>
      <c r="H458">
        <v>351</v>
      </c>
      <c r="I458">
        <v>105.56100000000001</v>
      </c>
      <c r="J458">
        <v>360.56299999999999</v>
      </c>
      <c r="K458">
        <v>118.0878</v>
      </c>
      <c r="L458">
        <v>346.234119999999</v>
      </c>
      <c r="M458">
        <v>322.13763828690099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162.81800000000001</v>
      </c>
      <c r="V458">
        <v>-1.351</v>
      </c>
      <c r="W458">
        <v>-0.13900000000000001</v>
      </c>
      <c r="X458">
        <v>0</v>
      </c>
      <c r="Y458" t="b">
        <v>0</v>
      </c>
      <c r="Z458" t="s">
        <v>52</v>
      </c>
      <c r="AA458">
        <f t="shared" si="94"/>
        <v>183.25192919217184</v>
      </c>
      <c r="AB458">
        <f t="shared" si="90"/>
        <v>0</v>
      </c>
      <c r="AC458">
        <f t="shared" si="89"/>
        <v>309.46519645548932</v>
      </c>
      <c r="AD458">
        <f t="shared" si="95"/>
        <v>0</v>
      </c>
      <c r="AE458">
        <f t="shared" ca="1" si="96"/>
        <v>0</v>
      </c>
    </row>
    <row r="459" spans="1:31" x14ac:dyDescent="0.3">
      <c r="A459">
        <f t="shared" si="91"/>
        <v>0</v>
      </c>
      <c r="B459" s="2">
        <f t="shared" si="92"/>
        <v>15.997399999832851</v>
      </c>
      <c r="C459" s="2">
        <f t="shared" si="97"/>
        <v>0</v>
      </c>
      <c r="D459" s="2">
        <f t="shared" si="93"/>
        <v>10.942143000000215</v>
      </c>
      <c r="E459" s="2"/>
      <c r="F459">
        <v>3232.6174406</v>
      </c>
      <c r="G459">
        <v>117</v>
      </c>
      <c r="H459">
        <v>351</v>
      </c>
      <c r="I459">
        <v>105.56100000000001</v>
      </c>
      <c r="J459">
        <v>360.56299999999999</v>
      </c>
      <c r="K459">
        <v>118.0878</v>
      </c>
      <c r="L459">
        <v>346.234119999999</v>
      </c>
      <c r="M459">
        <v>322.13763828690099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162.82400000000001</v>
      </c>
      <c r="V459">
        <v>-1.794</v>
      </c>
      <c r="W459">
        <v>-0.27400000000000002</v>
      </c>
      <c r="X459">
        <v>0</v>
      </c>
      <c r="Y459" t="b">
        <v>0</v>
      </c>
      <c r="Z459" t="s">
        <v>52</v>
      </c>
      <c r="AA459">
        <f t="shared" si="94"/>
        <v>183.25192919217184</v>
      </c>
      <c r="AB459">
        <f t="shared" si="90"/>
        <v>0</v>
      </c>
      <c r="AC459">
        <f t="shared" si="89"/>
        <v>309.46519645548932</v>
      </c>
      <c r="AD459">
        <f t="shared" si="95"/>
        <v>0</v>
      </c>
      <c r="AE459">
        <f t="shared" ca="1" si="96"/>
        <v>0</v>
      </c>
    </row>
    <row r="460" spans="1:31" x14ac:dyDescent="0.3">
      <c r="A460">
        <f t="shared" si="91"/>
        <v>0</v>
      </c>
      <c r="B460" s="2">
        <f t="shared" si="92"/>
        <v>31.357700000171462</v>
      </c>
      <c r="C460" s="2">
        <f t="shared" si="97"/>
        <v>0</v>
      </c>
      <c r="D460" s="2">
        <f t="shared" si="93"/>
        <v>10.973500700000386</v>
      </c>
      <c r="E460" s="2"/>
      <c r="F460">
        <v>3232.6487983000002</v>
      </c>
      <c r="G460">
        <v>117</v>
      </c>
      <c r="H460">
        <v>351</v>
      </c>
      <c r="I460">
        <v>105.56100000000001</v>
      </c>
      <c r="J460">
        <v>360.56299999999999</v>
      </c>
      <c r="K460">
        <v>118.0878</v>
      </c>
      <c r="L460">
        <v>346.234119999999</v>
      </c>
      <c r="M460">
        <v>322.13763828690099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162.82400000000001</v>
      </c>
      <c r="V460">
        <v>-1.61</v>
      </c>
      <c r="W460">
        <v>-0.27400000000000002</v>
      </c>
      <c r="X460">
        <v>0</v>
      </c>
      <c r="Y460" t="b">
        <v>0</v>
      </c>
      <c r="Z460" t="s">
        <v>52</v>
      </c>
      <c r="AA460">
        <f t="shared" si="94"/>
        <v>183.25192919217184</v>
      </c>
      <c r="AB460">
        <f t="shared" si="90"/>
        <v>0</v>
      </c>
      <c r="AC460">
        <f t="shared" si="89"/>
        <v>309.46519645548932</v>
      </c>
      <c r="AD460">
        <f t="shared" si="95"/>
        <v>0</v>
      </c>
      <c r="AE460">
        <f t="shared" ca="1" si="96"/>
        <v>0</v>
      </c>
    </row>
    <row r="461" spans="1:31" x14ac:dyDescent="0.3">
      <c r="A461">
        <f t="shared" si="91"/>
        <v>0</v>
      </c>
      <c r="B461" s="2">
        <f t="shared" si="92"/>
        <v>45.684799999889947</v>
      </c>
      <c r="C461" s="2">
        <f t="shared" si="97"/>
        <v>0</v>
      </c>
      <c r="D461" s="2">
        <f t="shared" si="93"/>
        <v>11.019185500000276</v>
      </c>
      <c r="E461" s="2"/>
      <c r="F461">
        <v>3232.6944831000001</v>
      </c>
      <c r="G461">
        <v>117</v>
      </c>
      <c r="H461">
        <v>351</v>
      </c>
      <c r="I461">
        <v>105.56100000000001</v>
      </c>
      <c r="J461">
        <v>360.56299999999999</v>
      </c>
      <c r="K461">
        <v>118.0878</v>
      </c>
      <c r="L461">
        <v>346.234119999999</v>
      </c>
      <c r="M461">
        <v>322.13763828690099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162.82499999999999</v>
      </c>
      <c r="V461">
        <v>-1.61</v>
      </c>
      <c r="W461">
        <v>-0.32800000000000001</v>
      </c>
      <c r="X461">
        <v>0</v>
      </c>
      <c r="Y461" t="b">
        <v>0</v>
      </c>
      <c r="Z461" t="s">
        <v>52</v>
      </c>
      <c r="AA461">
        <f t="shared" si="94"/>
        <v>183.25192919217184</v>
      </c>
      <c r="AB461">
        <f t="shared" si="90"/>
        <v>0</v>
      </c>
      <c r="AC461">
        <f t="shared" si="89"/>
        <v>309.46519645548932</v>
      </c>
      <c r="AD461">
        <f t="shared" si="95"/>
        <v>0</v>
      </c>
      <c r="AE461">
        <f t="shared" ca="1" si="96"/>
        <v>0</v>
      </c>
    </row>
    <row r="462" spans="1:31" x14ac:dyDescent="0.3">
      <c r="A462">
        <f t="shared" si="91"/>
        <v>0</v>
      </c>
      <c r="B462" s="2">
        <f t="shared" si="92"/>
        <v>15.804099999968457</v>
      </c>
      <c r="C462" s="2">
        <f t="shared" si="97"/>
        <v>0</v>
      </c>
      <c r="D462" s="2">
        <f t="shared" si="93"/>
        <v>11.034989600000245</v>
      </c>
      <c r="E462" s="2"/>
      <c r="F462">
        <v>3232.7102872</v>
      </c>
      <c r="G462">
        <v>117</v>
      </c>
      <c r="H462">
        <v>351</v>
      </c>
      <c r="I462">
        <v>105.56100000000001</v>
      </c>
      <c r="J462">
        <v>360.56299999999999</v>
      </c>
      <c r="K462">
        <v>118.0878</v>
      </c>
      <c r="L462">
        <v>346.234119999999</v>
      </c>
      <c r="M462">
        <v>322.13763828690099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162.82499999999999</v>
      </c>
      <c r="V462">
        <v>-1.61</v>
      </c>
      <c r="W462">
        <v>-0.32800000000000001</v>
      </c>
      <c r="X462">
        <v>0</v>
      </c>
      <c r="Y462" t="b">
        <v>0</v>
      </c>
      <c r="Z462" t="s">
        <v>52</v>
      </c>
      <c r="AA462">
        <f t="shared" si="94"/>
        <v>183.25192919217184</v>
      </c>
      <c r="AB462">
        <f t="shared" si="90"/>
        <v>0</v>
      </c>
      <c r="AC462">
        <f t="shared" si="89"/>
        <v>309.46519645548932</v>
      </c>
      <c r="AD462">
        <f t="shared" si="95"/>
        <v>0</v>
      </c>
      <c r="AE462">
        <f t="shared" ca="1" si="96"/>
        <v>0</v>
      </c>
    </row>
    <row r="463" spans="1:31" x14ac:dyDescent="0.3">
      <c r="A463">
        <f t="shared" si="91"/>
        <v>0</v>
      </c>
      <c r="B463" s="2">
        <f t="shared" si="92"/>
        <v>47.056399999746645</v>
      </c>
      <c r="C463" s="2">
        <f t="shared" si="97"/>
        <v>0</v>
      </c>
      <c r="D463" s="2">
        <f t="shared" si="93"/>
        <v>11.082045999999991</v>
      </c>
      <c r="E463" s="2"/>
      <c r="F463">
        <v>3232.7573435999998</v>
      </c>
      <c r="G463">
        <v>117</v>
      </c>
      <c r="H463">
        <v>351</v>
      </c>
      <c r="I463">
        <v>105.56100000000001</v>
      </c>
      <c r="J463">
        <v>360.56299999999999</v>
      </c>
      <c r="K463">
        <v>118.0878</v>
      </c>
      <c r="L463">
        <v>346.234119999999</v>
      </c>
      <c r="M463">
        <v>322.13763828690099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162.82499999999999</v>
      </c>
      <c r="V463">
        <v>-1.61</v>
      </c>
      <c r="W463">
        <v>-0.32100000000000001</v>
      </c>
      <c r="X463">
        <v>0</v>
      </c>
      <c r="Y463" t="b">
        <v>0</v>
      </c>
      <c r="Z463" t="s">
        <v>52</v>
      </c>
      <c r="AA463">
        <f t="shared" si="94"/>
        <v>183.25192919217184</v>
      </c>
      <c r="AB463">
        <f t="shared" si="90"/>
        <v>0</v>
      </c>
      <c r="AC463">
        <f t="shared" si="89"/>
        <v>309.46519645548932</v>
      </c>
      <c r="AD463">
        <f t="shared" si="95"/>
        <v>0</v>
      </c>
      <c r="AE463">
        <f t="shared" ca="1" si="96"/>
        <v>0</v>
      </c>
    </row>
    <row r="464" spans="1:31" x14ac:dyDescent="0.3">
      <c r="A464">
        <f t="shared" si="91"/>
        <v>0</v>
      </c>
      <c r="B464" s="2">
        <f t="shared" si="92"/>
        <v>30.780200000208424</v>
      </c>
      <c r="C464" s="2">
        <f t="shared" si="97"/>
        <v>0</v>
      </c>
      <c r="D464" s="2">
        <f t="shared" si="93"/>
        <v>11.1128262000002</v>
      </c>
      <c r="E464" s="2"/>
      <c r="F464">
        <v>3232.7881238</v>
      </c>
      <c r="G464">
        <v>117</v>
      </c>
      <c r="H464">
        <v>351</v>
      </c>
      <c r="I464">
        <v>105.56100000000001</v>
      </c>
      <c r="J464">
        <v>360.56299999999999</v>
      </c>
      <c r="K464">
        <v>118.0878</v>
      </c>
      <c r="L464">
        <v>346.234119999999</v>
      </c>
      <c r="M464">
        <v>322.13763828690099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162.82499999999999</v>
      </c>
      <c r="V464">
        <v>-1.61</v>
      </c>
      <c r="W464">
        <v>-0.32100000000000001</v>
      </c>
      <c r="X464">
        <v>0</v>
      </c>
      <c r="Y464" t="b">
        <v>0</v>
      </c>
      <c r="Z464" t="s">
        <v>52</v>
      </c>
      <c r="AA464">
        <f t="shared" si="94"/>
        <v>183.25192919217184</v>
      </c>
      <c r="AB464">
        <f t="shared" si="90"/>
        <v>0</v>
      </c>
      <c r="AC464">
        <f t="shared" si="89"/>
        <v>309.46519645548932</v>
      </c>
      <c r="AD464">
        <f t="shared" si="95"/>
        <v>0</v>
      </c>
      <c r="AE464">
        <f t="shared" ca="1" si="96"/>
        <v>0</v>
      </c>
    </row>
    <row r="465" spans="1:31" x14ac:dyDescent="0.3">
      <c r="A465">
        <f t="shared" si="91"/>
        <v>0</v>
      </c>
      <c r="B465" s="2">
        <f t="shared" si="92"/>
        <v>31.028599999899598</v>
      </c>
      <c r="C465" s="2">
        <f t="shared" si="97"/>
        <v>0</v>
      </c>
      <c r="D465" s="2">
        <f t="shared" si="93"/>
        <v>11.143854800000099</v>
      </c>
      <c r="E465" s="2"/>
      <c r="F465">
        <v>3232.8191523999999</v>
      </c>
      <c r="G465">
        <v>117</v>
      </c>
      <c r="H465">
        <v>351</v>
      </c>
      <c r="I465">
        <v>105.56100000000001</v>
      </c>
      <c r="J465">
        <v>360.56299999999999</v>
      </c>
      <c r="K465">
        <v>118.0878</v>
      </c>
      <c r="L465">
        <v>346.234119999999</v>
      </c>
      <c r="M465">
        <v>322.13763828690099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162.82300000000001</v>
      </c>
      <c r="V465">
        <v>-1.1950000000000001</v>
      </c>
      <c r="W465">
        <v>-0.29899999999999999</v>
      </c>
      <c r="X465">
        <v>0</v>
      </c>
      <c r="Y465" t="b">
        <v>0</v>
      </c>
      <c r="Z465" t="s">
        <v>52</v>
      </c>
      <c r="AA465">
        <f t="shared" si="94"/>
        <v>183.25192919217184</v>
      </c>
      <c r="AB465">
        <f t="shared" si="90"/>
        <v>0</v>
      </c>
      <c r="AC465">
        <f t="shared" si="89"/>
        <v>309.46519645548932</v>
      </c>
      <c r="AD465">
        <f t="shared" si="95"/>
        <v>0</v>
      </c>
      <c r="AE465">
        <f t="shared" ca="1" si="96"/>
        <v>0</v>
      </c>
    </row>
    <row r="466" spans="1:31" x14ac:dyDescent="0.3">
      <c r="A466">
        <f t="shared" si="91"/>
        <v>0</v>
      </c>
      <c r="B466" s="2">
        <f t="shared" si="92"/>
        <v>31.495900000209076</v>
      </c>
      <c r="C466" s="2">
        <f t="shared" si="97"/>
        <v>0</v>
      </c>
      <c r="D466" s="2">
        <f t="shared" si="93"/>
        <v>11.175350700000308</v>
      </c>
      <c r="E466" s="2"/>
      <c r="F466">
        <v>3232.8506483000001</v>
      </c>
      <c r="G466">
        <v>117</v>
      </c>
      <c r="H466">
        <v>351</v>
      </c>
      <c r="I466">
        <v>105.56100000000001</v>
      </c>
      <c r="J466">
        <v>360.56299999999999</v>
      </c>
      <c r="K466">
        <v>118.0878</v>
      </c>
      <c r="L466">
        <v>346.234119999999</v>
      </c>
      <c r="M466">
        <v>322.13763828690099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162.82300000000001</v>
      </c>
      <c r="V466">
        <v>-1.1950000000000001</v>
      </c>
      <c r="W466">
        <v>-0.29899999999999999</v>
      </c>
      <c r="X466">
        <v>0</v>
      </c>
      <c r="Y466" t="b">
        <v>0</v>
      </c>
      <c r="Z466" t="s">
        <v>52</v>
      </c>
      <c r="AA466">
        <f t="shared" si="94"/>
        <v>183.25192919217184</v>
      </c>
      <c r="AB466">
        <f t="shared" si="90"/>
        <v>0</v>
      </c>
      <c r="AC466">
        <f t="shared" si="89"/>
        <v>309.46519645548932</v>
      </c>
      <c r="AD466">
        <f t="shared" si="95"/>
        <v>0</v>
      </c>
      <c r="AE466">
        <f t="shared" ca="1" si="96"/>
        <v>0</v>
      </c>
    </row>
    <row r="467" spans="1:31" x14ac:dyDescent="0.3">
      <c r="A467">
        <f t="shared" si="91"/>
        <v>0</v>
      </c>
      <c r="B467" s="2">
        <f t="shared" si="92"/>
        <v>31.342700000095647</v>
      </c>
      <c r="C467" s="2">
        <f t="shared" si="97"/>
        <v>0</v>
      </c>
      <c r="D467" s="2">
        <f t="shared" si="93"/>
        <v>11.206693400000404</v>
      </c>
      <c r="E467" s="2"/>
      <c r="F467">
        <v>3232.8819910000002</v>
      </c>
      <c r="G467">
        <v>117</v>
      </c>
      <c r="H467">
        <v>351</v>
      </c>
      <c r="I467">
        <v>105.56100000000001</v>
      </c>
      <c r="J467">
        <v>360.56299999999999</v>
      </c>
      <c r="K467">
        <v>118.0878</v>
      </c>
      <c r="L467">
        <v>346.234119999999</v>
      </c>
      <c r="M467">
        <v>322.13763828690099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162.828</v>
      </c>
      <c r="V467">
        <v>-1.776</v>
      </c>
      <c r="W467">
        <v>-0.29399999999999998</v>
      </c>
      <c r="X467">
        <v>0</v>
      </c>
      <c r="Y467" t="b">
        <v>0</v>
      </c>
      <c r="Z467" t="s">
        <v>52</v>
      </c>
      <c r="AA467">
        <f t="shared" si="94"/>
        <v>183.25192919217184</v>
      </c>
      <c r="AB467">
        <f t="shared" si="90"/>
        <v>0</v>
      </c>
      <c r="AC467">
        <f t="shared" si="89"/>
        <v>309.46519645548932</v>
      </c>
      <c r="AD467">
        <f t="shared" si="95"/>
        <v>0</v>
      </c>
      <c r="AE467">
        <f t="shared" ca="1" si="96"/>
        <v>0</v>
      </c>
    </row>
    <row r="468" spans="1:31" x14ac:dyDescent="0.3">
      <c r="A468">
        <f t="shared" si="91"/>
        <v>0</v>
      </c>
      <c r="B468" s="2">
        <f t="shared" si="92"/>
        <v>30.642399999578629</v>
      </c>
      <c r="C468" s="2">
        <f t="shared" si="97"/>
        <v>0</v>
      </c>
      <c r="D468" s="2">
        <f t="shared" si="93"/>
        <v>11.237335799999983</v>
      </c>
      <c r="E468" s="2"/>
      <c r="F468">
        <v>3232.9126333999998</v>
      </c>
      <c r="G468">
        <v>117</v>
      </c>
      <c r="H468">
        <v>351</v>
      </c>
      <c r="I468">
        <v>105.56100000000001</v>
      </c>
      <c r="J468">
        <v>360.56299999999999</v>
      </c>
      <c r="K468">
        <v>118.0878</v>
      </c>
      <c r="L468">
        <v>346.234119999999</v>
      </c>
      <c r="M468">
        <v>322.13763828690099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162.828</v>
      </c>
      <c r="V468">
        <v>-1.776</v>
      </c>
      <c r="W468">
        <v>-0.29399999999999998</v>
      </c>
      <c r="X468">
        <v>0</v>
      </c>
      <c r="Y468" t="b">
        <v>0</v>
      </c>
      <c r="Z468" t="s">
        <v>52</v>
      </c>
      <c r="AA468">
        <f t="shared" si="94"/>
        <v>183.25192919217184</v>
      </c>
      <c r="AB468">
        <f t="shared" si="90"/>
        <v>0</v>
      </c>
      <c r="AC468">
        <f t="shared" si="89"/>
        <v>309.46519645548932</v>
      </c>
      <c r="AD468">
        <f t="shared" si="95"/>
        <v>0</v>
      </c>
      <c r="AE468">
        <f t="shared" ca="1" si="96"/>
        <v>0</v>
      </c>
    </row>
    <row r="469" spans="1:31" x14ac:dyDescent="0.3">
      <c r="A469">
        <f t="shared" si="91"/>
        <v>0</v>
      </c>
      <c r="B469" s="2">
        <f t="shared" si="92"/>
        <v>46.68980000042211</v>
      </c>
      <c r="C469" s="2">
        <f t="shared" si="97"/>
        <v>0</v>
      </c>
      <c r="D469" s="2">
        <f t="shared" si="93"/>
        <v>11.284025600000405</v>
      </c>
      <c r="E469" s="2"/>
      <c r="F469">
        <v>3232.9593232000002</v>
      </c>
      <c r="G469">
        <v>117</v>
      </c>
      <c r="H469">
        <v>351</v>
      </c>
      <c r="I469">
        <v>105.56100000000001</v>
      </c>
      <c r="J469">
        <v>360.56299999999999</v>
      </c>
      <c r="K469">
        <v>118.0878</v>
      </c>
      <c r="L469">
        <v>346.234119999999</v>
      </c>
      <c r="M469">
        <v>322.13763828690099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162.83699999999999</v>
      </c>
      <c r="V469">
        <v>-1.776</v>
      </c>
      <c r="W469">
        <v>-0.309</v>
      </c>
      <c r="X469">
        <v>0</v>
      </c>
      <c r="Y469" t="b">
        <v>0</v>
      </c>
      <c r="Z469" t="s">
        <v>52</v>
      </c>
      <c r="AA469">
        <f t="shared" si="94"/>
        <v>183.25192919217184</v>
      </c>
      <c r="AB469">
        <f t="shared" si="90"/>
        <v>0</v>
      </c>
      <c r="AC469">
        <f t="shared" si="89"/>
        <v>309.46519645548932</v>
      </c>
      <c r="AD469">
        <f t="shared" si="95"/>
        <v>0</v>
      </c>
      <c r="AE469">
        <f t="shared" ca="1" si="96"/>
        <v>0</v>
      </c>
    </row>
    <row r="470" spans="1:31" x14ac:dyDescent="0.3">
      <c r="A470">
        <f t="shared" si="91"/>
        <v>0</v>
      </c>
      <c r="B470" s="2">
        <f t="shared" si="92"/>
        <v>30.823099999906844</v>
      </c>
      <c r="C470" s="2">
        <f t="shared" si="97"/>
        <v>0</v>
      </c>
      <c r="D470" s="2">
        <f t="shared" si="93"/>
        <v>11.314848700000312</v>
      </c>
      <c r="E470" s="2"/>
      <c r="F470">
        <v>3232.9901463000001</v>
      </c>
      <c r="G470">
        <v>117</v>
      </c>
      <c r="H470">
        <v>351</v>
      </c>
      <c r="I470">
        <v>105.56100000000001</v>
      </c>
      <c r="J470">
        <v>360.56299999999999</v>
      </c>
      <c r="K470">
        <v>118.0878</v>
      </c>
      <c r="L470">
        <v>346.234119999999</v>
      </c>
      <c r="M470">
        <v>322.13763828690099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162.83699999999999</v>
      </c>
      <c r="V470">
        <v>-0.99399999999999999</v>
      </c>
      <c r="W470">
        <v>-0.309</v>
      </c>
      <c r="X470">
        <v>0</v>
      </c>
      <c r="Y470" t="b">
        <v>0</v>
      </c>
      <c r="Z470" t="s">
        <v>52</v>
      </c>
      <c r="AA470">
        <f t="shared" si="94"/>
        <v>183.25192919217184</v>
      </c>
      <c r="AB470">
        <f t="shared" si="90"/>
        <v>0</v>
      </c>
      <c r="AC470">
        <f t="shared" si="89"/>
        <v>309.46519645548932</v>
      </c>
      <c r="AD470">
        <f t="shared" si="95"/>
        <v>0</v>
      </c>
      <c r="AE470">
        <f t="shared" ca="1" si="96"/>
        <v>0</v>
      </c>
    </row>
    <row r="471" spans="1:31" x14ac:dyDescent="0.3">
      <c r="A471">
        <f t="shared" si="91"/>
        <v>0</v>
      </c>
      <c r="B471" s="2">
        <f t="shared" si="92"/>
        <v>31.045899999753601</v>
      </c>
      <c r="C471" s="2">
        <f t="shared" si="97"/>
        <v>0</v>
      </c>
      <c r="D471" s="2">
        <f t="shared" si="93"/>
        <v>11.345894600000065</v>
      </c>
      <c r="E471" s="2"/>
      <c r="F471">
        <v>3233.0211921999999</v>
      </c>
      <c r="G471">
        <v>117</v>
      </c>
      <c r="H471">
        <v>351</v>
      </c>
      <c r="I471">
        <v>105.56100000000001</v>
      </c>
      <c r="J471">
        <v>360.56299999999999</v>
      </c>
      <c r="K471">
        <v>118.0878</v>
      </c>
      <c r="L471">
        <v>346.234119999999</v>
      </c>
      <c r="M471">
        <v>322.13763828690099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162.84399999999999</v>
      </c>
      <c r="V471">
        <v>-0.81799999999999995</v>
      </c>
      <c r="W471">
        <v>-0.33300000000000002</v>
      </c>
      <c r="X471">
        <v>0</v>
      </c>
      <c r="Y471" t="b">
        <v>0</v>
      </c>
      <c r="Z471" t="s">
        <v>52</v>
      </c>
      <c r="AA471">
        <f t="shared" si="94"/>
        <v>183.25192919217184</v>
      </c>
      <c r="AB471">
        <f t="shared" si="90"/>
        <v>0</v>
      </c>
      <c r="AC471">
        <f t="shared" si="89"/>
        <v>309.46519645548932</v>
      </c>
      <c r="AD471">
        <f t="shared" si="95"/>
        <v>0</v>
      </c>
      <c r="AE471">
        <f t="shared" ca="1" si="96"/>
        <v>0</v>
      </c>
    </row>
    <row r="472" spans="1:31" x14ac:dyDescent="0.3">
      <c r="A472">
        <f t="shared" si="91"/>
        <v>0</v>
      </c>
      <c r="B472" s="2">
        <f t="shared" si="92"/>
        <v>31.688300000041636</v>
      </c>
      <c r="C472" s="2">
        <f t="shared" si="97"/>
        <v>0</v>
      </c>
      <c r="D472" s="2">
        <f t="shared" si="93"/>
        <v>11.377582900000107</v>
      </c>
      <c r="E472" s="2"/>
      <c r="F472">
        <v>3233.0528804999999</v>
      </c>
      <c r="G472">
        <v>117</v>
      </c>
      <c r="H472">
        <v>351</v>
      </c>
      <c r="I472">
        <v>105.56100000000001</v>
      </c>
      <c r="J472">
        <v>360.56299999999999</v>
      </c>
      <c r="K472">
        <v>118.0878</v>
      </c>
      <c r="L472">
        <v>346.234119999999</v>
      </c>
      <c r="M472">
        <v>322.13763828690099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162.84399999999999</v>
      </c>
      <c r="V472">
        <v>-0.81799999999999995</v>
      </c>
      <c r="W472">
        <v>-0.33300000000000002</v>
      </c>
      <c r="X472">
        <v>0</v>
      </c>
      <c r="Y472" t="b">
        <v>0</v>
      </c>
      <c r="Z472" t="s">
        <v>52</v>
      </c>
      <c r="AA472">
        <f t="shared" si="94"/>
        <v>183.25192919217184</v>
      </c>
      <c r="AB472">
        <f t="shared" si="90"/>
        <v>0</v>
      </c>
      <c r="AC472">
        <f t="shared" si="89"/>
        <v>309.46519645548932</v>
      </c>
      <c r="AD472">
        <f t="shared" si="95"/>
        <v>0</v>
      </c>
      <c r="AE472">
        <f t="shared" ca="1" si="96"/>
        <v>0</v>
      </c>
    </row>
    <row r="473" spans="1:31" x14ac:dyDescent="0.3">
      <c r="A473">
        <f t="shared" si="91"/>
        <v>0</v>
      </c>
      <c r="B473" s="2">
        <f t="shared" si="92"/>
        <v>31.129599999985658</v>
      </c>
      <c r="C473" s="2">
        <f t="shared" si="97"/>
        <v>0</v>
      </c>
      <c r="D473" s="2">
        <f t="shared" si="93"/>
        <v>11.408712500000092</v>
      </c>
      <c r="E473" s="2"/>
      <c r="F473">
        <v>3233.0840100999999</v>
      </c>
      <c r="G473">
        <v>117</v>
      </c>
      <c r="H473">
        <v>351</v>
      </c>
      <c r="I473">
        <v>105.56100000000001</v>
      </c>
      <c r="J473">
        <v>360.56299999999999</v>
      </c>
      <c r="K473">
        <v>118.0878</v>
      </c>
      <c r="L473">
        <v>346.234119999999</v>
      </c>
      <c r="M473">
        <v>322.13763828690099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162.84100000000001</v>
      </c>
      <c r="V473">
        <v>-0.81799999999999995</v>
      </c>
      <c r="W473">
        <v>-0.35299999999999998</v>
      </c>
      <c r="X473">
        <v>0</v>
      </c>
      <c r="Y473" t="b">
        <v>0</v>
      </c>
      <c r="Z473" t="s">
        <v>52</v>
      </c>
      <c r="AA473">
        <f t="shared" si="94"/>
        <v>183.25192919217184</v>
      </c>
      <c r="AB473">
        <f t="shared" si="90"/>
        <v>0</v>
      </c>
      <c r="AC473">
        <f t="shared" si="89"/>
        <v>309.46519645548932</v>
      </c>
      <c r="AD473">
        <f t="shared" si="95"/>
        <v>0</v>
      </c>
      <c r="AE473">
        <f t="shared" ca="1" si="96"/>
        <v>0</v>
      </c>
    </row>
    <row r="474" spans="1:31" x14ac:dyDescent="0.3">
      <c r="A474">
        <f t="shared" si="91"/>
        <v>0</v>
      </c>
      <c r="B474" s="2">
        <f t="shared" si="92"/>
        <v>16.025299999910203</v>
      </c>
      <c r="C474" s="2">
        <f t="shared" si="97"/>
        <v>0</v>
      </c>
      <c r="D474" s="2">
        <f t="shared" si="93"/>
        <v>11.424737800000003</v>
      </c>
      <c r="E474" s="2"/>
      <c r="F474">
        <v>3233.1000353999998</v>
      </c>
      <c r="G474">
        <v>117</v>
      </c>
      <c r="H474">
        <v>351</v>
      </c>
      <c r="I474">
        <v>105.56100000000001</v>
      </c>
      <c r="J474">
        <v>360.56299999999999</v>
      </c>
      <c r="K474">
        <v>118.0878</v>
      </c>
      <c r="L474">
        <v>346.234119999999</v>
      </c>
      <c r="M474">
        <v>322.13763828690099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162.84100000000001</v>
      </c>
      <c r="V474">
        <v>-0.64300000000000002</v>
      </c>
      <c r="W474">
        <v>-0.35299999999999998</v>
      </c>
      <c r="X474">
        <v>0</v>
      </c>
      <c r="Y474" t="b">
        <v>0</v>
      </c>
      <c r="Z474" t="s">
        <v>52</v>
      </c>
      <c r="AA474">
        <f t="shared" si="94"/>
        <v>183.25192919217184</v>
      </c>
      <c r="AB474">
        <f t="shared" si="90"/>
        <v>0</v>
      </c>
      <c r="AC474">
        <f t="shared" si="89"/>
        <v>309.46519645548932</v>
      </c>
      <c r="AD474">
        <f t="shared" si="95"/>
        <v>0</v>
      </c>
      <c r="AE474">
        <f t="shared" ca="1" si="96"/>
        <v>0</v>
      </c>
    </row>
    <row r="475" spans="1:31" x14ac:dyDescent="0.3">
      <c r="A475">
        <f t="shared" si="91"/>
        <v>0</v>
      </c>
      <c r="B475" s="2">
        <f t="shared" si="92"/>
        <v>46.82710000042789</v>
      </c>
      <c r="C475" s="2">
        <f t="shared" si="97"/>
        <v>0</v>
      </c>
      <c r="D475" s="2">
        <f t="shared" si="93"/>
        <v>11.47156490000043</v>
      </c>
      <c r="E475" s="2"/>
      <c r="F475">
        <v>3233.1468625000002</v>
      </c>
      <c r="G475">
        <v>117</v>
      </c>
      <c r="H475">
        <v>351</v>
      </c>
      <c r="I475">
        <v>105.56100000000001</v>
      </c>
      <c r="J475">
        <v>360.56299999999999</v>
      </c>
      <c r="K475">
        <v>118.0878</v>
      </c>
      <c r="L475">
        <v>346.234119999999</v>
      </c>
      <c r="M475">
        <v>322.13763828690099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162.845</v>
      </c>
      <c r="V475">
        <v>-0.64300000000000002</v>
      </c>
      <c r="W475">
        <v>-0.35699999999999998</v>
      </c>
      <c r="X475">
        <v>0</v>
      </c>
      <c r="Y475" t="b">
        <v>0</v>
      </c>
      <c r="Z475" t="s">
        <v>52</v>
      </c>
      <c r="AA475">
        <f t="shared" si="94"/>
        <v>183.25192919217184</v>
      </c>
      <c r="AB475">
        <f t="shared" si="90"/>
        <v>0</v>
      </c>
      <c r="AC475">
        <f t="shared" si="89"/>
        <v>309.46519645548932</v>
      </c>
      <c r="AD475">
        <f t="shared" si="95"/>
        <v>0</v>
      </c>
      <c r="AE475">
        <f t="shared" ca="1" si="96"/>
        <v>0</v>
      </c>
    </row>
    <row r="476" spans="1:31" x14ac:dyDescent="0.3">
      <c r="A476">
        <f t="shared" si="91"/>
        <v>0</v>
      </c>
      <c r="B476" s="2">
        <f t="shared" si="92"/>
        <v>30.970699999670614</v>
      </c>
      <c r="C476" s="2">
        <f t="shared" si="97"/>
        <v>0</v>
      </c>
      <c r="D476" s="2">
        <f t="shared" si="93"/>
        <v>11.502535600000101</v>
      </c>
      <c r="E476" s="2"/>
      <c r="F476">
        <v>3233.1778331999999</v>
      </c>
      <c r="G476">
        <v>117</v>
      </c>
      <c r="H476">
        <v>351</v>
      </c>
      <c r="I476">
        <v>105.56100000000001</v>
      </c>
      <c r="J476">
        <v>360.56299999999999</v>
      </c>
      <c r="K476">
        <v>118.0878</v>
      </c>
      <c r="L476">
        <v>346.234119999999</v>
      </c>
      <c r="M476">
        <v>322.13763828690099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162.845</v>
      </c>
      <c r="V476">
        <v>-0.59</v>
      </c>
      <c r="W476">
        <v>-0.35699999999999998</v>
      </c>
      <c r="X476">
        <v>0</v>
      </c>
      <c r="Y476" t="b">
        <v>0</v>
      </c>
      <c r="Z476" t="s">
        <v>52</v>
      </c>
      <c r="AA476">
        <f t="shared" si="94"/>
        <v>183.25192919217184</v>
      </c>
      <c r="AB476">
        <f t="shared" si="90"/>
        <v>0</v>
      </c>
      <c r="AC476">
        <f t="shared" si="89"/>
        <v>309.46519645548932</v>
      </c>
      <c r="AD476">
        <f t="shared" si="95"/>
        <v>0</v>
      </c>
      <c r="AE476">
        <f t="shared" ca="1" si="96"/>
        <v>0</v>
      </c>
    </row>
    <row r="477" spans="1:31" x14ac:dyDescent="0.3">
      <c r="A477">
        <f t="shared" si="91"/>
        <v>0</v>
      </c>
      <c r="B477" s="2">
        <f t="shared" si="92"/>
        <v>32.388900000114518</v>
      </c>
      <c r="C477" s="2">
        <f t="shared" si="97"/>
        <v>0</v>
      </c>
      <c r="D477" s="2">
        <f t="shared" si="93"/>
        <v>11.534924500000216</v>
      </c>
      <c r="E477" s="2"/>
      <c r="F477">
        <v>3233.2102221</v>
      </c>
      <c r="G477">
        <v>117</v>
      </c>
      <c r="H477">
        <v>351</v>
      </c>
      <c r="I477">
        <v>105.56100000000001</v>
      </c>
      <c r="J477">
        <v>360.56299999999999</v>
      </c>
      <c r="K477">
        <v>118.0878</v>
      </c>
      <c r="L477">
        <v>346.234119999999</v>
      </c>
      <c r="M477">
        <v>322.13763828690099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162.851</v>
      </c>
      <c r="V477">
        <v>-0.59</v>
      </c>
      <c r="W477">
        <v>-0.35699999999999998</v>
      </c>
      <c r="X477">
        <v>0</v>
      </c>
      <c r="Y477" t="b">
        <v>0</v>
      </c>
      <c r="Z477" t="s">
        <v>52</v>
      </c>
      <c r="AA477">
        <f t="shared" si="94"/>
        <v>183.25192919217184</v>
      </c>
      <c r="AB477">
        <f t="shared" si="90"/>
        <v>0</v>
      </c>
      <c r="AC477">
        <f t="shared" si="89"/>
        <v>309.46519645548932</v>
      </c>
      <c r="AD477">
        <f t="shared" si="95"/>
        <v>0</v>
      </c>
      <c r="AE477">
        <f t="shared" ca="1" si="96"/>
        <v>0</v>
      </c>
    </row>
    <row r="478" spans="1:31" x14ac:dyDescent="0.3">
      <c r="A478">
        <f t="shared" si="91"/>
        <v>0</v>
      </c>
      <c r="B478" s="2">
        <f t="shared" si="92"/>
        <v>31.033799999931944</v>
      </c>
      <c r="C478" s="2">
        <f t="shared" si="97"/>
        <v>0</v>
      </c>
      <c r="D478" s="2">
        <f t="shared" si="93"/>
        <v>11.565958300000148</v>
      </c>
      <c r="E478" s="2"/>
      <c r="F478">
        <v>3233.2412558999999</v>
      </c>
      <c r="G478">
        <v>117</v>
      </c>
      <c r="H478">
        <v>351</v>
      </c>
      <c r="I478">
        <v>105.56100000000001</v>
      </c>
      <c r="J478">
        <v>360.56299999999999</v>
      </c>
      <c r="K478">
        <v>118.0878</v>
      </c>
      <c r="L478">
        <v>346.234119999999</v>
      </c>
      <c r="M478">
        <v>322.13763828690099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162.851</v>
      </c>
      <c r="V478">
        <v>-0.57999999999999996</v>
      </c>
      <c r="W478">
        <v>-0.35699999999999998</v>
      </c>
      <c r="X478">
        <v>0</v>
      </c>
      <c r="Y478" t="b">
        <v>0</v>
      </c>
      <c r="Z478" t="s">
        <v>52</v>
      </c>
      <c r="AA478">
        <f t="shared" si="94"/>
        <v>183.25192919217184</v>
      </c>
      <c r="AB478">
        <f t="shared" si="90"/>
        <v>0</v>
      </c>
      <c r="AC478">
        <f t="shared" si="89"/>
        <v>309.46519645548932</v>
      </c>
      <c r="AD478">
        <f t="shared" si="95"/>
        <v>0</v>
      </c>
      <c r="AE478">
        <f t="shared" ca="1" si="96"/>
        <v>0</v>
      </c>
    </row>
    <row r="479" spans="1:31" x14ac:dyDescent="0.3">
      <c r="A479">
        <f t="shared" si="91"/>
        <v>0</v>
      </c>
      <c r="B479" s="2">
        <f t="shared" si="92"/>
        <v>31.880900000032852</v>
      </c>
      <c r="C479" s="2">
        <f t="shared" si="97"/>
        <v>0</v>
      </c>
      <c r="D479" s="2">
        <f t="shared" si="93"/>
        <v>11.59783920000018</v>
      </c>
      <c r="E479" s="2"/>
      <c r="F479">
        <v>3233.2731368</v>
      </c>
      <c r="G479">
        <v>117</v>
      </c>
      <c r="H479">
        <v>351</v>
      </c>
      <c r="I479">
        <v>105.56100000000001</v>
      </c>
      <c r="J479">
        <v>360.56299999999999</v>
      </c>
      <c r="K479">
        <v>118.0878</v>
      </c>
      <c r="L479">
        <v>346.234119999999</v>
      </c>
      <c r="M479">
        <v>322.13763828690099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162.85300000000001</v>
      </c>
      <c r="V479">
        <v>-0.57999999999999996</v>
      </c>
      <c r="W479">
        <v>-0.36199999999999999</v>
      </c>
      <c r="X479">
        <v>0</v>
      </c>
      <c r="Y479" t="b">
        <v>0</v>
      </c>
      <c r="Z479" t="s">
        <v>52</v>
      </c>
      <c r="AA479">
        <f t="shared" si="94"/>
        <v>183.25192919217184</v>
      </c>
      <c r="AB479">
        <f t="shared" si="90"/>
        <v>0</v>
      </c>
      <c r="AC479">
        <f t="shared" si="89"/>
        <v>309.46519645548932</v>
      </c>
      <c r="AD479">
        <f t="shared" si="95"/>
        <v>0</v>
      </c>
      <c r="AE479">
        <f t="shared" ca="1" si="96"/>
        <v>0</v>
      </c>
    </row>
    <row r="480" spans="1:31" x14ac:dyDescent="0.3">
      <c r="A480">
        <f t="shared" si="91"/>
        <v>0</v>
      </c>
      <c r="B480" s="2">
        <f t="shared" si="92"/>
        <v>46.865400000115187</v>
      </c>
      <c r="C480" s="2">
        <f t="shared" si="97"/>
        <v>0</v>
      </c>
      <c r="D480" s="2">
        <f t="shared" si="93"/>
        <v>11.644704600000296</v>
      </c>
      <c r="E480" s="2"/>
      <c r="F480">
        <v>3233.3200022000001</v>
      </c>
      <c r="G480">
        <v>117</v>
      </c>
      <c r="H480">
        <v>351</v>
      </c>
      <c r="I480">
        <v>105.56100000000001</v>
      </c>
      <c r="J480">
        <v>360.56299999999999</v>
      </c>
      <c r="K480">
        <v>118.0878</v>
      </c>
      <c r="L480">
        <v>346.234119999999</v>
      </c>
      <c r="M480">
        <v>322.13763828690099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162.85300000000001</v>
      </c>
      <c r="V480">
        <v>-0.55100000000000005</v>
      </c>
      <c r="W480">
        <v>-0.36199999999999999</v>
      </c>
      <c r="X480">
        <v>0</v>
      </c>
      <c r="Y480" t="b">
        <v>0</v>
      </c>
      <c r="Z480" t="s">
        <v>52</v>
      </c>
      <c r="AA480">
        <f t="shared" si="94"/>
        <v>183.25192919217184</v>
      </c>
      <c r="AB480">
        <f t="shared" si="90"/>
        <v>0</v>
      </c>
      <c r="AC480">
        <f t="shared" si="89"/>
        <v>309.46519645548932</v>
      </c>
      <c r="AD480">
        <f t="shared" si="95"/>
        <v>0</v>
      </c>
      <c r="AE480">
        <f t="shared" ca="1" si="96"/>
        <v>0</v>
      </c>
    </row>
    <row r="481" spans="1:31" x14ac:dyDescent="0.3">
      <c r="A481">
        <f t="shared" si="91"/>
        <v>0</v>
      </c>
      <c r="B481" s="2">
        <f t="shared" si="92"/>
        <v>31.121299999995244</v>
      </c>
      <c r="C481" s="2">
        <f t="shared" si="97"/>
        <v>0</v>
      </c>
      <c r="D481" s="2">
        <f t="shared" si="93"/>
        <v>11.675825900000291</v>
      </c>
      <c r="E481" s="2"/>
      <c r="F481">
        <v>3233.3511235000001</v>
      </c>
      <c r="G481">
        <v>117</v>
      </c>
      <c r="H481">
        <v>351</v>
      </c>
      <c r="I481">
        <v>105.56100000000001</v>
      </c>
      <c r="J481">
        <v>360.56299999999999</v>
      </c>
      <c r="K481">
        <v>118.0878</v>
      </c>
      <c r="L481">
        <v>346.234119999999</v>
      </c>
      <c r="M481">
        <v>322.13763828690099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162.85599999999999</v>
      </c>
      <c r="V481">
        <v>-0.55100000000000005</v>
      </c>
      <c r="W481">
        <v>-0.36699999999999999</v>
      </c>
      <c r="X481">
        <v>0</v>
      </c>
      <c r="Y481" t="b">
        <v>0</v>
      </c>
      <c r="Z481" t="s">
        <v>52</v>
      </c>
      <c r="AA481">
        <f t="shared" si="94"/>
        <v>183.25192919217184</v>
      </c>
      <c r="AB481">
        <f t="shared" si="90"/>
        <v>0</v>
      </c>
      <c r="AC481">
        <f t="shared" si="89"/>
        <v>309.46519645548932</v>
      </c>
      <c r="AD481">
        <f t="shared" si="95"/>
        <v>0</v>
      </c>
      <c r="AE481">
        <f t="shared" ca="1" si="96"/>
        <v>0</v>
      </c>
    </row>
    <row r="482" spans="1:31" x14ac:dyDescent="0.3">
      <c r="A482">
        <f t="shared" si="91"/>
        <v>0</v>
      </c>
      <c r="B482" s="2">
        <f t="shared" si="92"/>
        <v>30.649700000140001</v>
      </c>
      <c r="C482" s="2">
        <f t="shared" si="97"/>
        <v>0</v>
      </c>
      <c r="D482" s="2">
        <f t="shared" si="93"/>
        <v>11.706475600000431</v>
      </c>
      <c r="E482" s="2"/>
      <c r="F482">
        <v>3233.3817732000002</v>
      </c>
      <c r="G482">
        <v>117</v>
      </c>
      <c r="H482">
        <v>351</v>
      </c>
      <c r="I482">
        <v>105.56100000000001</v>
      </c>
      <c r="J482">
        <v>360.56299999999999</v>
      </c>
      <c r="K482">
        <v>118.0878</v>
      </c>
      <c r="L482">
        <v>346.234119999999</v>
      </c>
      <c r="M482">
        <v>322.13763828690099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162.85599999999999</v>
      </c>
      <c r="V482">
        <v>-0.51800000000000002</v>
      </c>
      <c r="W482">
        <v>-0.36699999999999999</v>
      </c>
      <c r="X482">
        <v>0</v>
      </c>
      <c r="Y482" t="b">
        <v>0</v>
      </c>
      <c r="Z482" t="s">
        <v>52</v>
      </c>
      <c r="AA482">
        <f t="shared" si="94"/>
        <v>183.25192919217184</v>
      </c>
      <c r="AB482">
        <f t="shared" ref="AB482:AB513" si="98">R482*100</f>
        <v>0</v>
      </c>
      <c r="AC482">
        <f t="shared" si="89"/>
        <v>309.46519645548932</v>
      </c>
      <c r="AD482">
        <f t="shared" si="95"/>
        <v>0</v>
      </c>
      <c r="AE482">
        <f t="shared" ca="1" si="96"/>
        <v>0</v>
      </c>
    </row>
    <row r="483" spans="1:31" x14ac:dyDescent="0.3">
      <c r="A483">
        <f t="shared" si="91"/>
        <v>0</v>
      </c>
      <c r="B483" s="2">
        <f t="shared" si="92"/>
        <v>31.273399999918183</v>
      </c>
      <c r="C483" s="2">
        <f t="shared" si="97"/>
        <v>0</v>
      </c>
      <c r="D483" s="2">
        <f t="shared" si="93"/>
        <v>11.737749000000349</v>
      </c>
      <c r="E483" s="2"/>
      <c r="F483">
        <v>3233.4130466000001</v>
      </c>
      <c r="G483">
        <v>117</v>
      </c>
      <c r="H483">
        <v>351</v>
      </c>
      <c r="I483">
        <v>105.56100000000001</v>
      </c>
      <c r="J483">
        <v>360.56299999999999</v>
      </c>
      <c r="K483">
        <v>118.0878</v>
      </c>
      <c r="L483">
        <v>346.234119999999</v>
      </c>
      <c r="M483">
        <v>322.13763828690099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162.857</v>
      </c>
      <c r="V483">
        <v>-0.51800000000000002</v>
      </c>
      <c r="W483">
        <v>-0.374</v>
      </c>
      <c r="X483">
        <v>0</v>
      </c>
      <c r="Y483" t="b">
        <v>0</v>
      </c>
      <c r="Z483" t="s">
        <v>52</v>
      </c>
      <c r="AA483">
        <f t="shared" si="94"/>
        <v>183.25192919217184</v>
      </c>
      <c r="AB483">
        <f t="shared" si="98"/>
        <v>0</v>
      </c>
      <c r="AC483">
        <f t="shared" si="89"/>
        <v>309.46519645548932</v>
      </c>
      <c r="AD483">
        <f t="shared" si="95"/>
        <v>0</v>
      </c>
      <c r="AE483">
        <f t="shared" ca="1" si="96"/>
        <v>0</v>
      </c>
    </row>
    <row r="484" spans="1:31" x14ac:dyDescent="0.3">
      <c r="A484">
        <f t="shared" si="91"/>
        <v>0</v>
      </c>
      <c r="B484" s="2">
        <f t="shared" si="92"/>
        <v>31.462599999940721</v>
      </c>
      <c r="C484" s="2">
        <f t="shared" si="97"/>
        <v>0</v>
      </c>
      <c r="D484" s="2">
        <f t="shared" si="93"/>
        <v>11.76921160000029</v>
      </c>
      <c r="E484" s="2"/>
      <c r="F484">
        <v>3233.4445092000001</v>
      </c>
      <c r="G484">
        <v>117</v>
      </c>
      <c r="H484">
        <v>351</v>
      </c>
      <c r="I484">
        <v>105.56100000000001</v>
      </c>
      <c r="J484">
        <v>360.56299999999999</v>
      </c>
      <c r="K484">
        <v>118.0878</v>
      </c>
      <c r="L484">
        <v>346.234119999999</v>
      </c>
      <c r="M484">
        <v>322.13763828690099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162.857</v>
      </c>
      <c r="V484">
        <v>-0.49399999999999999</v>
      </c>
      <c r="W484">
        <v>-0.374</v>
      </c>
      <c r="X484">
        <v>0</v>
      </c>
      <c r="Y484" t="b">
        <v>0</v>
      </c>
      <c r="Z484" t="s">
        <v>52</v>
      </c>
      <c r="AA484">
        <f t="shared" si="94"/>
        <v>183.25192919217184</v>
      </c>
      <c r="AB484">
        <f t="shared" si="98"/>
        <v>0</v>
      </c>
      <c r="AC484">
        <f t="shared" si="89"/>
        <v>309.46519645548932</v>
      </c>
      <c r="AD484">
        <f t="shared" si="95"/>
        <v>0</v>
      </c>
      <c r="AE484">
        <f t="shared" ca="1" si="96"/>
        <v>0</v>
      </c>
    </row>
    <row r="485" spans="1:31" x14ac:dyDescent="0.3">
      <c r="A485">
        <f t="shared" si="91"/>
        <v>0</v>
      </c>
      <c r="B485" s="2">
        <f t="shared" si="92"/>
        <v>31.646999999793479</v>
      </c>
      <c r="C485" s="2">
        <f t="shared" si="97"/>
        <v>0</v>
      </c>
      <c r="D485" s="2">
        <f t="shared" si="93"/>
        <v>11.800858600000083</v>
      </c>
      <c r="E485" s="2"/>
      <c r="F485">
        <v>3233.4761561999999</v>
      </c>
      <c r="G485">
        <v>117</v>
      </c>
      <c r="H485">
        <v>351</v>
      </c>
      <c r="I485">
        <v>105.56100000000001</v>
      </c>
      <c r="J485">
        <v>360.56299999999999</v>
      </c>
      <c r="K485">
        <v>118.0878</v>
      </c>
      <c r="L485">
        <v>346.234119999999</v>
      </c>
      <c r="M485">
        <v>322.13763828690099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162.86000000000001</v>
      </c>
      <c r="V485">
        <v>-0.49399999999999999</v>
      </c>
      <c r="W485">
        <v>-0.38400000000000001</v>
      </c>
      <c r="X485">
        <v>0</v>
      </c>
      <c r="Y485" t="b">
        <v>0</v>
      </c>
      <c r="Z485" t="s">
        <v>52</v>
      </c>
      <c r="AA485">
        <f t="shared" si="94"/>
        <v>183.25192919217184</v>
      </c>
      <c r="AB485">
        <f t="shared" si="98"/>
        <v>0</v>
      </c>
      <c r="AC485">
        <f t="shared" si="89"/>
        <v>309.46519645548932</v>
      </c>
      <c r="AD485">
        <f t="shared" si="95"/>
        <v>0</v>
      </c>
      <c r="AE485">
        <f t="shared" ca="1" si="96"/>
        <v>0</v>
      </c>
    </row>
    <row r="486" spans="1:31" x14ac:dyDescent="0.3">
      <c r="A486">
        <f t="shared" si="91"/>
        <v>0</v>
      </c>
      <c r="B486" s="2">
        <f t="shared" si="92"/>
        <v>31.251700000211713</v>
      </c>
      <c r="C486" s="2">
        <f t="shared" si="97"/>
        <v>0</v>
      </c>
      <c r="D486" s="2">
        <f t="shared" si="93"/>
        <v>11.832110300000295</v>
      </c>
      <c r="E486" s="2"/>
      <c r="F486">
        <v>3233.5074079000001</v>
      </c>
      <c r="G486">
        <v>117</v>
      </c>
      <c r="H486">
        <v>351</v>
      </c>
      <c r="I486">
        <v>105.56100000000001</v>
      </c>
      <c r="J486">
        <v>360.56299999999999</v>
      </c>
      <c r="K486">
        <v>118.0878</v>
      </c>
      <c r="L486">
        <v>346.234119999999</v>
      </c>
      <c r="M486">
        <v>322.13763828690099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162.86000000000001</v>
      </c>
      <c r="V486">
        <v>-0.47699999999999998</v>
      </c>
      <c r="W486">
        <v>-0.38400000000000001</v>
      </c>
      <c r="X486">
        <v>0</v>
      </c>
      <c r="Y486" t="b">
        <v>0</v>
      </c>
      <c r="Z486" t="s">
        <v>52</v>
      </c>
      <c r="AA486">
        <f t="shared" si="94"/>
        <v>183.25192919217184</v>
      </c>
      <c r="AB486">
        <f t="shared" si="98"/>
        <v>0</v>
      </c>
      <c r="AC486">
        <f t="shared" si="89"/>
        <v>309.46519645548932</v>
      </c>
      <c r="AD486">
        <f t="shared" si="95"/>
        <v>0</v>
      </c>
      <c r="AE486">
        <f t="shared" ca="1" si="96"/>
        <v>0</v>
      </c>
    </row>
    <row r="487" spans="1:31" x14ac:dyDescent="0.3">
      <c r="A487">
        <f t="shared" si="91"/>
        <v>0</v>
      </c>
      <c r="B487" s="2">
        <f t="shared" si="92"/>
        <v>15.29660000005606</v>
      </c>
      <c r="C487" s="2">
        <f t="shared" si="97"/>
        <v>0</v>
      </c>
      <c r="D487" s="2">
        <f t="shared" si="93"/>
        <v>11.847406900000351</v>
      </c>
      <c r="E487" s="2"/>
      <c r="F487">
        <v>3233.5227045000001</v>
      </c>
      <c r="G487">
        <v>117</v>
      </c>
      <c r="H487">
        <v>351</v>
      </c>
      <c r="I487">
        <v>105.56100000000001</v>
      </c>
      <c r="J487">
        <v>360.56299999999999</v>
      </c>
      <c r="K487">
        <v>118.0878</v>
      </c>
      <c r="L487">
        <v>346.234119999999</v>
      </c>
      <c r="M487">
        <v>322.13763828690099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162.863</v>
      </c>
      <c r="V487">
        <v>-0.47699999999999998</v>
      </c>
      <c r="W487">
        <v>-0.39200000000000002</v>
      </c>
      <c r="X487">
        <v>0</v>
      </c>
      <c r="Y487" t="b">
        <v>0</v>
      </c>
      <c r="Z487" t="s">
        <v>52</v>
      </c>
      <c r="AA487">
        <f t="shared" si="94"/>
        <v>183.25192919217184</v>
      </c>
      <c r="AB487">
        <f t="shared" si="98"/>
        <v>0</v>
      </c>
      <c r="AC487">
        <f t="shared" si="89"/>
        <v>309.46519645548932</v>
      </c>
      <c r="AD487">
        <f t="shared" si="95"/>
        <v>0</v>
      </c>
      <c r="AE487">
        <f t="shared" ca="1" si="96"/>
        <v>0</v>
      </c>
    </row>
    <row r="488" spans="1:31" x14ac:dyDescent="0.3">
      <c r="A488">
        <f t="shared" si="91"/>
        <v>0</v>
      </c>
      <c r="B488" s="2">
        <f t="shared" si="92"/>
        <v>46.821999999792752</v>
      </c>
      <c r="C488" s="2">
        <f t="shared" si="97"/>
        <v>0</v>
      </c>
      <c r="D488" s="2">
        <f t="shared" si="93"/>
        <v>11.894228900000144</v>
      </c>
      <c r="E488" s="2"/>
      <c r="F488">
        <v>3233.5695264999999</v>
      </c>
      <c r="G488">
        <v>117</v>
      </c>
      <c r="H488">
        <v>351</v>
      </c>
      <c r="I488">
        <v>105.56100000000001</v>
      </c>
      <c r="J488">
        <v>360.56299999999999</v>
      </c>
      <c r="K488">
        <v>118.0878</v>
      </c>
      <c r="L488">
        <v>346.234119999999</v>
      </c>
      <c r="M488">
        <v>322.13763828690099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162.863</v>
      </c>
      <c r="V488">
        <v>-0.45300000000000001</v>
      </c>
      <c r="W488">
        <v>-0.39200000000000002</v>
      </c>
      <c r="X488">
        <v>0</v>
      </c>
      <c r="Y488" t="b">
        <v>0</v>
      </c>
      <c r="Z488" t="s">
        <v>52</v>
      </c>
      <c r="AA488">
        <f t="shared" si="94"/>
        <v>183.25192919217184</v>
      </c>
      <c r="AB488">
        <f t="shared" si="98"/>
        <v>0</v>
      </c>
      <c r="AC488">
        <f t="shared" si="89"/>
        <v>309.46519645548932</v>
      </c>
      <c r="AD488">
        <f t="shared" si="95"/>
        <v>0</v>
      </c>
      <c r="AE488">
        <f t="shared" ca="1" si="96"/>
        <v>0</v>
      </c>
    </row>
    <row r="489" spans="1:31" x14ac:dyDescent="0.3">
      <c r="A489">
        <f t="shared" si="91"/>
        <v>0</v>
      </c>
      <c r="B489" s="2">
        <f t="shared" si="92"/>
        <v>30.692199999975855</v>
      </c>
      <c r="C489" s="2">
        <f t="shared" si="97"/>
        <v>0</v>
      </c>
      <c r="D489" s="2">
        <f t="shared" si="93"/>
        <v>11.92492110000012</v>
      </c>
      <c r="E489" s="2"/>
      <c r="F489">
        <v>3233.6002186999999</v>
      </c>
      <c r="G489">
        <v>117</v>
      </c>
      <c r="H489">
        <v>351</v>
      </c>
      <c r="I489">
        <v>105.56100000000001</v>
      </c>
      <c r="J489">
        <v>360.56299999999999</v>
      </c>
      <c r="K489">
        <v>118.0878</v>
      </c>
      <c r="L489">
        <v>346.234119999999</v>
      </c>
      <c r="M489">
        <v>322.13763828690099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162.86500000000001</v>
      </c>
      <c r="V489">
        <v>-0.45300000000000001</v>
      </c>
      <c r="W489">
        <v>-0.39100000000000001</v>
      </c>
      <c r="X489">
        <v>0</v>
      </c>
      <c r="Y489" t="b">
        <v>0</v>
      </c>
      <c r="Z489" t="s">
        <v>52</v>
      </c>
      <c r="AA489">
        <f t="shared" si="94"/>
        <v>183.25192919217184</v>
      </c>
      <c r="AB489">
        <f t="shared" si="98"/>
        <v>0</v>
      </c>
      <c r="AC489">
        <f t="shared" si="89"/>
        <v>309.46519645548932</v>
      </c>
      <c r="AD489">
        <f t="shared" si="95"/>
        <v>0</v>
      </c>
      <c r="AE489">
        <f t="shared" ca="1" si="96"/>
        <v>0</v>
      </c>
    </row>
    <row r="490" spans="1:31" x14ac:dyDescent="0.3">
      <c r="A490">
        <f t="shared" si="91"/>
        <v>0</v>
      </c>
      <c r="B490" s="2">
        <f t="shared" si="92"/>
        <v>30.221700000311102</v>
      </c>
      <c r="C490" s="2">
        <f t="shared" si="97"/>
        <v>0</v>
      </c>
      <c r="D490" s="2">
        <f t="shared" si="93"/>
        <v>11.955142800000431</v>
      </c>
      <c r="E490" s="2"/>
      <c r="F490">
        <v>3233.6304404000002</v>
      </c>
      <c r="G490">
        <v>117</v>
      </c>
      <c r="H490">
        <v>351</v>
      </c>
      <c r="I490">
        <v>105.56100000000001</v>
      </c>
      <c r="J490">
        <v>360.56299999999999</v>
      </c>
      <c r="K490">
        <v>118.0878</v>
      </c>
      <c r="L490">
        <v>346.234119999999</v>
      </c>
      <c r="M490">
        <v>322.13763828690099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162.86500000000001</v>
      </c>
      <c r="V490">
        <v>-0.42</v>
      </c>
      <c r="W490">
        <v>-0.39100000000000001</v>
      </c>
      <c r="X490">
        <v>0</v>
      </c>
      <c r="Y490" t="b">
        <v>0</v>
      </c>
      <c r="Z490" t="s">
        <v>52</v>
      </c>
      <c r="AA490">
        <f t="shared" si="94"/>
        <v>183.25192919217184</v>
      </c>
      <c r="AB490">
        <f t="shared" si="98"/>
        <v>0</v>
      </c>
      <c r="AC490">
        <f t="shared" si="89"/>
        <v>309.46519645548932</v>
      </c>
      <c r="AD490">
        <f t="shared" si="95"/>
        <v>0</v>
      </c>
      <c r="AE490">
        <f t="shared" ca="1" si="96"/>
        <v>0</v>
      </c>
    </row>
    <row r="491" spans="1:31" x14ac:dyDescent="0.3">
      <c r="A491">
        <f t="shared" si="91"/>
        <v>0</v>
      </c>
      <c r="B491" s="2">
        <f t="shared" si="92"/>
        <v>45.690399999784859</v>
      </c>
      <c r="C491" s="2">
        <f t="shared" si="97"/>
        <v>0</v>
      </c>
      <c r="D491" s="2">
        <f t="shared" si="93"/>
        <v>12.000833200000216</v>
      </c>
      <c r="E491" s="2"/>
      <c r="F491">
        <v>3233.6761308</v>
      </c>
      <c r="G491">
        <v>117</v>
      </c>
      <c r="H491">
        <v>351</v>
      </c>
      <c r="I491">
        <v>105.56100000000001</v>
      </c>
      <c r="J491">
        <v>360.56299999999999</v>
      </c>
      <c r="K491">
        <v>118.0878</v>
      </c>
      <c r="L491">
        <v>346.234119999999</v>
      </c>
      <c r="M491">
        <v>322.13763828690099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162.86799999999999</v>
      </c>
      <c r="V491">
        <v>-0.42</v>
      </c>
      <c r="W491">
        <v>-0.39700000000000002</v>
      </c>
      <c r="X491">
        <v>0</v>
      </c>
      <c r="Y491" t="b">
        <v>0</v>
      </c>
      <c r="Z491" t="s">
        <v>52</v>
      </c>
      <c r="AA491">
        <f t="shared" si="94"/>
        <v>183.25192919217184</v>
      </c>
      <c r="AB491">
        <f t="shared" si="98"/>
        <v>0</v>
      </c>
      <c r="AC491">
        <f t="shared" si="89"/>
        <v>309.46519645548932</v>
      </c>
      <c r="AD491">
        <f t="shared" si="95"/>
        <v>0</v>
      </c>
      <c r="AE491">
        <f t="shared" ca="1" si="96"/>
        <v>0</v>
      </c>
    </row>
    <row r="492" spans="1:31" x14ac:dyDescent="0.3">
      <c r="A492">
        <f t="shared" si="91"/>
        <v>0</v>
      </c>
      <c r="B492" s="2">
        <f t="shared" si="92"/>
        <v>16.082699999969918</v>
      </c>
      <c r="C492" s="2">
        <f t="shared" si="97"/>
        <v>0</v>
      </c>
      <c r="D492" s="2">
        <f t="shared" si="93"/>
        <v>12.016915900000186</v>
      </c>
      <c r="E492" s="2"/>
      <c r="F492">
        <v>3233.6922135</v>
      </c>
      <c r="G492">
        <v>117</v>
      </c>
      <c r="H492">
        <v>351</v>
      </c>
      <c r="I492">
        <v>105.56100000000001</v>
      </c>
      <c r="J492">
        <v>360.56299999999999</v>
      </c>
      <c r="K492">
        <v>118.0878</v>
      </c>
      <c r="L492">
        <v>346.234119999999</v>
      </c>
      <c r="M492">
        <v>322.13763828690099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162.86799999999999</v>
      </c>
      <c r="V492">
        <v>-0.39500000000000002</v>
      </c>
      <c r="W492">
        <v>-0.39700000000000002</v>
      </c>
      <c r="X492">
        <v>0</v>
      </c>
      <c r="Y492" t="b">
        <v>0</v>
      </c>
      <c r="Z492" t="s">
        <v>52</v>
      </c>
      <c r="AA492">
        <f t="shared" si="94"/>
        <v>183.25192919217184</v>
      </c>
      <c r="AB492">
        <f t="shared" si="98"/>
        <v>0</v>
      </c>
      <c r="AC492">
        <f t="shared" si="89"/>
        <v>309.46519645548932</v>
      </c>
      <c r="AD492">
        <f t="shared" si="95"/>
        <v>0</v>
      </c>
      <c r="AE492">
        <f t="shared" ca="1" si="96"/>
        <v>0</v>
      </c>
    </row>
    <row r="493" spans="1:31" x14ac:dyDescent="0.3">
      <c r="A493">
        <f t="shared" si="91"/>
        <v>0</v>
      </c>
      <c r="B493" s="2">
        <f t="shared" si="92"/>
        <v>46.907999999802996</v>
      </c>
      <c r="C493" s="2">
        <f t="shared" si="97"/>
        <v>0</v>
      </c>
      <c r="D493" s="2">
        <f t="shared" si="93"/>
        <v>12.063823899999988</v>
      </c>
      <c r="E493" s="2"/>
      <c r="F493">
        <v>3233.7391214999998</v>
      </c>
      <c r="G493">
        <v>117</v>
      </c>
      <c r="H493">
        <v>351</v>
      </c>
      <c r="I493">
        <v>105.56100000000001</v>
      </c>
      <c r="J493">
        <v>360.56299999999999</v>
      </c>
      <c r="K493">
        <v>118.0878</v>
      </c>
      <c r="L493">
        <v>346.234119999999</v>
      </c>
      <c r="M493">
        <v>322.13763828690099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162.87100000000001</v>
      </c>
      <c r="V493">
        <v>-0.39500000000000002</v>
      </c>
      <c r="W493">
        <v>-0.40600000000000003</v>
      </c>
      <c r="X493">
        <v>0</v>
      </c>
      <c r="Y493" t="b">
        <v>0</v>
      </c>
      <c r="Z493" t="s">
        <v>52</v>
      </c>
      <c r="AA493">
        <f t="shared" si="94"/>
        <v>183.25192919217184</v>
      </c>
      <c r="AB493">
        <f t="shared" si="98"/>
        <v>0</v>
      </c>
      <c r="AC493">
        <f t="shared" si="89"/>
        <v>309.46519645548932</v>
      </c>
      <c r="AD493">
        <f t="shared" si="95"/>
        <v>0</v>
      </c>
      <c r="AE493">
        <f t="shared" ca="1" si="96"/>
        <v>0</v>
      </c>
    </row>
    <row r="494" spans="1:31" x14ac:dyDescent="0.3">
      <c r="A494">
        <f t="shared" si="91"/>
        <v>0</v>
      </c>
      <c r="B494" s="2">
        <f t="shared" si="92"/>
        <v>30.990200000360346</v>
      </c>
      <c r="C494" s="2">
        <f t="shared" si="97"/>
        <v>0</v>
      </c>
      <c r="D494" s="2">
        <f t="shared" si="93"/>
        <v>12.094814100000349</v>
      </c>
      <c r="E494" s="2"/>
      <c r="F494">
        <v>3233.7701117000001</v>
      </c>
      <c r="G494">
        <v>117</v>
      </c>
      <c r="H494">
        <v>351</v>
      </c>
      <c r="I494">
        <v>105.56100000000001</v>
      </c>
      <c r="J494">
        <v>360.56299999999999</v>
      </c>
      <c r="K494">
        <v>118.0878</v>
      </c>
      <c r="L494">
        <v>346.234119999999</v>
      </c>
      <c r="M494">
        <v>322.13763828690099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162.87100000000001</v>
      </c>
      <c r="V494">
        <v>-0.36699999999999999</v>
      </c>
      <c r="W494">
        <v>-0.40600000000000003</v>
      </c>
      <c r="X494">
        <v>0</v>
      </c>
      <c r="Y494" t="b">
        <v>0</v>
      </c>
      <c r="Z494" t="s">
        <v>52</v>
      </c>
      <c r="AA494">
        <f t="shared" si="94"/>
        <v>183.25192919217184</v>
      </c>
      <c r="AB494">
        <f t="shared" si="98"/>
        <v>0</v>
      </c>
      <c r="AC494">
        <f t="shared" si="89"/>
        <v>309.46519645548932</v>
      </c>
      <c r="AD494">
        <f t="shared" si="95"/>
        <v>0</v>
      </c>
      <c r="AE494">
        <f t="shared" ca="1" si="96"/>
        <v>0</v>
      </c>
    </row>
    <row r="495" spans="1:31" x14ac:dyDescent="0.3">
      <c r="A495">
        <f t="shared" si="91"/>
        <v>0</v>
      </c>
      <c r="B495" s="2">
        <f t="shared" si="92"/>
        <v>30.300500000066677</v>
      </c>
      <c r="C495" s="2">
        <f t="shared" si="97"/>
        <v>0</v>
      </c>
      <c r="D495" s="2">
        <f t="shared" si="93"/>
        <v>12.125114600000416</v>
      </c>
      <c r="E495" s="2"/>
      <c r="F495">
        <v>3233.8004122000002</v>
      </c>
      <c r="G495">
        <v>117</v>
      </c>
      <c r="H495">
        <v>351</v>
      </c>
      <c r="I495">
        <v>105.56100000000001</v>
      </c>
      <c r="J495">
        <v>360.56299999999999</v>
      </c>
      <c r="K495">
        <v>118.0878</v>
      </c>
      <c r="L495">
        <v>346.234119999999</v>
      </c>
      <c r="M495">
        <v>322.13763828690099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162.875</v>
      </c>
      <c r="V495">
        <v>-0.36699999999999999</v>
      </c>
      <c r="W495">
        <v>-0.40899999999999997</v>
      </c>
      <c r="X495">
        <v>0</v>
      </c>
      <c r="Y495" t="b">
        <v>0</v>
      </c>
      <c r="Z495" t="s">
        <v>52</v>
      </c>
      <c r="AA495">
        <f t="shared" si="94"/>
        <v>183.25192919217184</v>
      </c>
      <c r="AB495">
        <f t="shared" si="98"/>
        <v>0</v>
      </c>
      <c r="AC495">
        <f t="shared" si="89"/>
        <v>309.46519645548932</v>
      </c>
      <c r="AD495">
        <f t="shared" si="95"/>
        <v>0</v>
      </c>
      <c r="AE495">
        <f t="shared" ca="1" si="96"/>
        <v>0</v>
      </c>
    </row>
    <row r="496" spans="1:31" x14ac:dyDescent="0.3">
      <c r="A496">
        <f t="shared" si="91"/>
        <v>0</v>
      </c>
      <c r="B496" s="2">
        <f t="shared" si="92"/>
        <v>30.573300000014569</v>
      </c>
      <c r="C496" s="2">
        <f t="shared" si="97"/>
        <v>0</v>
      </c>
      <c r="D496" s="2">
        <f t="shared" si="93"/>
        <v>12.15568790000043</v>
      </c>
      <c r="E496" s="2"/>
      <c r="F496">
        <v>3233.8309855000002</v>
      </c>
      <c r="G496">
        <v>117</v>
      </c>
      <c r="H496">
        <v>351</v>
      </c>
      <c r="I496">
        <v>105.56100000000001</v>
      </c>
      <c r="J496">
        <v>360.56299999999999</v>
      </c>
      <c r="K496">
        <v>118.0878</v>
      </c>
      <c r="L496">
        <v>346.234119999999</v>
      </c>
      <c r="M496">
        <v>322.13763828690099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162.875</v>
      </c>
      <c r="V496">
        <v>-0.33400000000000002</v>
      </c>
      <c r="W496">
        <v>-0.40899999999999997</v>
      </c>
      <c r="X496">
        <v>0</v>
      </c>
      <c r="Y496" t="b">
        <v>0</v>
      </c>
      <c r="Z496" t="s">
        <v>52</v>
      </c>
      <c r="AA496">
        <f t="shared" si="94"/>
        <v>183.25192919217184</v>
      </c>
      <c r="AB496">
        <f t="shared" si="98"/>
        <v>0</v>
      </c>
      <c r="AC496">
        <f t="shared" si="89"/>
        <v>309.46519645548932</v>
      </c>
      <c r="AD496">
        <f t="shared" si="95"/>
        <v>0</v>
      </c>
      <c r="AE496">
        <f t="shared" ca="1" si="96"/>
        <v>0</v>
      </c>
    </row>
    <row r="497" spans="1:31" x14ac:dyDescent="0.3">
      <c r="A497">
        <f t="shared" si="91"/>
        <v>0</v>
      </c>
      <c r="B497" s="2">
        <f t="shared" si="92"/>
        <v>30.93849999959275</v>
      </c>
      <c r="C497" s="2">
        <f t="shared" si="97"/>
        <v>0</v>
      </c>
      <c r="D497" s="2">
        <f t="shared" si="93"/>
        <v>12.186626400000023</v>
      </c>
      <c r="E497" s="2"/>
      <c r="F497">
        <v>3233.8619239999998</v>
      </c>
      <c r="G497">
        <v>117</v>
      </c>
      <c r="H497">
        <v>351</v>
      </c>
      <c r="I497">
        <v>105.56100000000001</v>
      </c>
      <c r="J497">
        <v>360.56299999999999</v>
      </c>
      <c r="K497">
        <v>118.0878</v>
      </c>
      <c r="L497">
        <v>346.234119999999</v>
      </c>
      <c r="M497">
        <v>322.13763828690099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162.87799999999999</v>
      </c>
      <c r="V497">
        <v>-0.33400000000000002</v>
      </c>
      <c r="W497">
        <v>-0.40899999999999997</v>
      </c>
      <c r="X497">
        <v>0</v>
      </c>
      <c r="Y497" t="b">
        <v>0</v>
      </c>
      <c r="Z497" t="s">
        <v>52</v>
      </c>
      <c r="AA497">
        <f t="shared" si="94"/>
        <v>183.25192919217184</v>
      </c>
      <c r="AB497">
        <f t="shared" si="98"/>
        <v>0</v>
      </c>
      <c r="AC497">
        <f t="shared" si="89"/>
        <v>309.46519645548932</v>
      </c>
      <c r="AD497">
        <f t="shared" si="95"/>
        <v>0</v>
      </c>
      <c r="AE497">
        <f t="shared" ca="1" si="96"/>
        <v>0</v>
      </c>
    </row>
    <row r="498" spans="1:31" x14ac:dyDescent="0.3">
      <c r="A498">
        <f t="shared" si="91"/>
        <v>0</v>
      </c>
      <c r="B498" s="2">
        <f t="shared" si="92"/>
        <v>31.679600000188657</v>
      </c>
      <c r="C498" s="2">
        <f t="shared" si="97"/>
        <v>0</v>
      </c>
      <c r="D498" s="2">
        <f t="shared" si="93"/>
        <v>12.218306000000211</v>
      </c>
      <c r="E498" s="2"/>
      <c r="F498">
        <v>3233.8936036</v>
      </c>
      <c r="G498">
        <v>117</v>
      </c>
      <c r="H498">
        <v>351</v>
      </c>
      <c r="I498">
        <v>105.56100000000001</v>
      </c>
      <c r="J498">
        <v>360.56299999999999</v>
      </c>
      <c r="K498">
        <v>118.0878</v>
      </c>
      <c r="L498">
        <v>346.234119999999</v>
      </c>
      <c r="M498">
        <v>322.13763828690099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162.87799999999999</v>
      </c>
      <c r="V498">
        <v>-0.30399999999999999</v>
      </c>
      <c r="W498">
        <v>-0.40899999999999997</v>
      </c>
      <c r="X498">
        <v>0</v>
      </c>
      <c r="Y498" t="b">
        <v>0</v>
      </c>
      <c r="Z498" t="s">
        <v>52</v>
      </c>
      <c r="AA498">
        <f t="shared" si="94"/>
        <v>183.25192919217184</v>
      </c>
      <c r="AB498">
        <f t="shared" si="98"/>
        <v>0</v>
      </c>
      <c r="AC498">
        <f t="shared" si="89"/>
        <v>309.46519645548932</v>
      </c>
      <c r="AD498">
        <f t="shared" si="95"/>
        <v>0</v>
      </c>
      <c r="AE498">
        <f t="shared" ca="1" si="96"/>
        <v>0</v>
      </c>
    </row>
    <row r="499" spans="1:31" x14ac:dyDescent="0.3">
      <c r="A499">
        <f t="shared" si="91"/>
        <v>0</v>
      </c>
      <c r="B499" s="2">
        <f t="shared" si="92"/>
        <v>30.953599999975268</v>
      </c>
      <c r="C499" s="2">
        <f t="shared" si="97"/>
        <v>0</v>
      </c>
      <c r="D499" s="2">
        <f t="shared" si="93"/>
        <v>12.249259600000187</v>
      </c>
      <c r="E499" s="2"/>
      <c r="F499">
        <v>3233.9245572</v>
      </c>
      <c r="G499">
        <v>117</v>
      </c>
      <c r="H499">
        <v>351</v>
      </c>
      <c r="I499">
        <v>105.56100000000001</v>
      </c>
      <c r="J499">
        <v>360.56299999999999</v>
      </c>
      <c r="K499">
        <v>118.0878</v>
      </c>
      <c r="L499">
        <v>346.234119999999</v>
      </c>
      <c r="M499">
        <v>322.13763828690099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162.88</v>
      </c>
      <c r="V499">
        <v>-0.30399999999999999</v>
      </c>
      <c r="W499">
        <v>-0.41</v>
      </c>
      <c r="X499">
        <v>0</v>
      </c>
      <c r="Y499" t="b">
        <v>0</v>
      </c>
      <c r="Z499" t="s">
        <v>52</v>
      </c>
      <c r="AA499">
        <f t="shared" si="94"/>
        <v>183.25192919217184</v>
      </c>
      <c r="AB499">
        <f t="shared" si="98"/>
        <v>0</v>
      </c>
      <c r="AC499">
        <f t="shared" ref="AC499:AC562" si="99">AC498+(AB498*(D499-D498))</f>
        <v>309.46519645548932</v>
      </c>
      <c r="AD499">
        <f t="shared" si="95"/>
        <v>0</v>
      </c>
      <c r="AE499">
        <f t="shared" ca="1" si="96"/>
        <v>0</v>
      </c>
    </row>
    <row r="500" spans="1:31" x14ac:dyDescent="0.3">
      <c r="A500">
        <f t="shared" si="91"/>
        <v>0</v>
      </c>
      <c r="B500" s="2">
        <f t="shared" si="92"/>
        <v>46.825800000078743</v>
      </c>
      <c r="C500" s="2">
        <f t="shared" si="97"/>
        <v>0</v>
      </c>
      <c r="D500" s="2">
        <f t="shared" si="93"/>
        <v>12.296085400000266</v>
      </c>
      <c r="E500" s="2"/>
      <c r="F500">
        <v>3233.9713830000001</v>
      </c>
      <c r="G500">
        <v>117</v>
      </c>
      <c r="H500">
        <v>351</v>
      </c>
      <c r="I500">
        <v>105.56100000000001</v>
      </c>
      <c r="J500">
        <v>360.56299999999999</v>
      </c>
      <c r="K500">
        <v>118.0878</v>
      </c>
      <c r="L500">
        <v>346.234119999999</v>
      </c>
      <c r="M500">
        <v>322.13763828690099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162.88</v>
      </c>
      <c r="V500">
        <v>-0.26400000000000001</v>
      </c>
      <c r="W500">
        <v>-0.41</v>
      </c>
      <c r="X500">
        <v>0</v>
      </c>
      <c r="Y500" t="b">
        <v>0</v>
      </c>
      <c r="Z500" t="s">
        <v>52</v>
      </c>
      <c r="AA500">
        <f t="shared" si="94"/>
        <v>183.25192919217184</v>
      </c>
      <c r="AB500">
        <f t="shared" si="98"/>
        <v>0</v>
      </c>
      <c r="AC500">
        <f t="shared" si="99"/>
        <v>309.46519645548932</v>
      </c>
      <c r="AD500">
        <f t="shared" si="95"/>
        <v>0</v>
      </c>
      <c r="AE500">
        <f t="shared" ca="1" si="96"/>
        <v>0</v>
      </c>
    </row>
    <row r="501" spans="1:31" x14ac:dyDescent="0.3">
      <c r="A501">
        <f t="shared" si="91"/>
        <v>0</v>
      </c>
      <c r="B501" s="2">
        <f t="shared" si="92"/>
        <v>30.189900000095804</v>
      </c>
      <c r="C501" s="2">
        <f t="shared" si="97"/>
        <v>0</v>
      </c>
      <c r="D501" s="2">
        <f t="shared" si="93"/>
        <v>12.326275300000361</v>
      </c>
      <c r="E501" s="2"/>
      <c r="F501">
        <v>3234.0015729000002</v>
      </c>
      <c r="G501">
        <v>117</v>
      </c>
      <c r="H501">
        <v>351</v>
      </c>
      <c r="I501">
        <v>105.56100000000001</v>
      </c>
      <c r="J501">
        <v>360.56299999999999</v>
      </c>
      <c r="K501">
        <v>118.0878</v>
      </c>
      <c r="L501">
        <v>346.234119999999</v>
      </c>
      <c r="M501">
        <v>322.13763828690099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162.88</v>
      </c>
      <c r="V501">
        <v>-0.26400000000000001</v>
      </c>
      <c r="W501">
        <v>-0.42</v>
      </c>
      <c r="X501">
        <v>0</v>
      </c>
      <c r="Y501" t="b">
        <v>0</v>
      </c>
      <c r="Z501" t="s">
        <v>52</v>
      </c>
      <c r="AA501">
        <f t="shared" si="94"/>
        <v>183.25192919217184</v>
      </c>
      <c r="AB501">
        <f t="shared" si="98"/>
        <v>0</v>
      </c>
      <c r="AC501">
        <f t="shared" si="99"/>
        <v>309.46519645548932</v>
      </c>
      <c r="AD501">
        <f t="shared" si="95"/>
        <v>0</v>
      </c>
      <c r="AE501">
        <f t="shared" ca="1" si="96"/>
        <v>0</v>
      </c>
    </row>
    <row r="502" spans="1:31" x14ac:dyDescent="0.3">
      <c r="A502">
        <f t="shared" si="91"/>
        <v>0</v>
      </c>
      <c r="B502" s="2">
        <f t="shared" si="92"/>
        <v>30.739299999822833</v>
      </c>
      <c r="C502" s="2">
        <f t="shared" si="97"/>
        <v>0</v>
      </c>
      <c r="D502" s="2">
        <f t="shared" si="93"/>
        <v>12.357014600000184</v>
      </c>
      <c r="E502" s="2"/>
      <c r="F502">
        <v>3234.0323122</v>
      </c>
      <c r="G502">
        <v>117</v>
      </c>
      <c r="H502">
        <v>351</v>
      </c>
      <c r="I502">
        <v>105.56100000000001</v>
      </c>
      <c r="J502">
        <v>360.56299999999999</v>
      </c>
      <c r="K502">
        <v>118.0878</v>
      </c>
      <c r="L502">
        <v>346.234119999999</v>
      </c>
      <c r="M502">
        <v>322.13763828690099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162.88</v>
      </c>
      <c r="V502">
        <v>-0.22600000000000001</v>
      </c>
      <c r="W502">
        <v>-0.42</v>
      </c>
      <c r="X502">
        <v>0</v>
      </c>
      <c r="Y502" t="b">
        <v>0</v>
      </c>
      <c r="Z502" t="s">
        <v>52</v>
      </c>
      <c r="AA502">
        <f t="shared" si="94"/>
        <v>183.25192919217184</v>
      </c>
      <c r="AB502">
        <f t="shared" si="98"/>
        <v>0</v>
      </c>
      <c r="AC502">
        <f t="shared" si="99"/>
        <v>309.46519645548932</v>
      </c>
      <c r="AD502">
        <f t="shared" si="95"/>
        <v>0</v>
      </c>
      <c r="AE502">
        <f t="shared" ca="1" si="96"/>
        <v>0</v>
      </c>
    </row>
    <row r="503" spans="1:31" x14ac:dyDescent="0.3">
      <c r="A503">
        <f t="shared" si="91"/>
        <v>0</v>
      </c>
      <c r="B503" s="2">
        <f t="shared" si="92"/>
        <v>31.138899999859859</v>
      </c>
      <c r="C503" s="2">
        <f t="shared" si="97"/>
        <v>0</v>
      </c>
      <c r="D503" s="2">
        <f t="shared" si="93"/>
        <v>12.388153500000044</v>
      </c>
      <c r="E503" s="2"/>
      <c r="F503">
        <v>3234.0634510999998</v>
      </c>
      <c r="G503">
        <v>117</v>
      </c>
      <c r="H503">
        <v>351</v>
      </c>
      <c r="I503">
        <v>105.56100000000001</v>
      </c>
      <c r="J503">
        <v>360.56299999999999</v>
      </c>
      <c r="K503">
        <v>118.0878</v>
      </c>
      <c r="L503">
        <v>346.234119999999</v>
      </c>
      <c r="M503">
        <v>322.13763828690099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162.88200000000001</v>
      </c>
      <c r="V503">
        <v>-0.22600000000000001</v>
      </c>
      <c r="W503">
        <v>-0.42699999999999999</v>
      </c>
      <c r="X503">
        <v>0</v>
      </c>
      <c r="Y503" t="b">
        <v>0</v>
      </c>
      <c r="Z503" t="s">
        <v>52</v>
      </c>
      <c r="AA503">
        <f t="shared" si="94"/>
        <v>183.25192919217184</v>
      </c>
      <c r="AB503">
        <f t="shared" si="98"/>
        <v>0</v>
      </c>
      <c r="AC503">
        <f t="shared" si="99"/>
        <v>309.46519645548932</v>
      </c>
      <c r="AD503">
        <f t="shared" si="95"/>
        <v>0</v>
      </c>
      <c r="AE503">
        <f t="shared" ca="1" si="96"/>
        <v>0</v>
      </c>
    </row>
    <row r="504" spans="1:31" x14ac:dyDescent="0.3">
      <c r="A504">
        <f t="shared" si="91"/>
        <v>0</v>
      </c>
      <c r="B504" s="2">
        <f t="shared" si="92"/>
        <v>31.621500000255764</v>
      </c>
      <c r="C504" s="2">
        <f t="shared" si="97"/>
        <v>0</v>
      </c>
      <c r="D504" s="2">
        <f t="shared" si="93"/>
        <v>12.4197750000003</v>
      </c>
      <c r="E504" s="2"/>
      <c r="F504">
        <v>3234.0950726000001</v>
      </c>
      <c r="G504">
        <v>117</v>
      </c>
      <c r="H504">
        <v>351</v>
      </c>
      <c r="I504">
        <v>105.56100000000001</v>
      </c>
      <c r="J504">
        <v>360.56299999999999</v>
      </c>
      <c r="K504">
        <v>118.0878</v>
      </c>
      <c r="L504">
        <v>346.234119999999</v>
      </c>
      <c r="M504">
        <v>322.13763828690099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162.88200000000001</v>
      </c>
      <c r="V504">
        <v>-0.19600000000000001</v>
      </c>
      <c r="W504">
        <v>-0.42699999999999999</v>
      </c>
      <c r="X504">
        <v>0</v>
      </c>
      <c r="Y504" t="b">
        <v>0</v>
      </c>
      <c r="Z504" t="s">
        <v>52</v>
      </c>
      <c r="AA504">
        <f t="shared" si="94"/>
        <v>183.25192919217184</v>
      </c>
      <c r="AB504">
        <f t="shared" si="98"/>
        <v>0</v>
      </c>
      <c r="AC504">
        <f t="shared" si="99"/>
        <v>309.46519645548932</v>
      </c>
      <c r="AD504">
        <f t="shared" si="95"/>
        <v>0</v>
      </c>
      <c r="AE504">
        <f t="shared" ca="1" si="96"/>
        <v>0</v>
      </c>
    </row>
    <row r="505" spans="1:31" x14ac:dyDescent="0.3">
      <c r="A505">
        <f t="shared" si="91"/>
        <v>0</v>
      </c>
      <c r="B505" s="2">
        <f t="shared" si="92"/>
        <v>31.320399999913207</v>
      </c>
      <c r="C505" s="2">
        <f t="shared" si="97"/>
        <v>0</v>
      </c>
      <c r="D505" s="2">
        <f t="shared" si="93"/>
        <v>12.451095400000213</v>
      </c>
      <c r="E505" s="2"/>
      <c r="F505">
        <v>3234.126393</v>
      </c>
      <c r="G505">
        <v>117</v>
      </c>
      <c r="H505">
        <v>351</v>
      </c>
      <c r="I505">
        <v>105.56100000000001</v>
      </c>
      <c r="J505">
        <v>360.56299999999999</v>
      </c>
      <c r="K505">
        <v>118.0878</v>
      </c>
      <c r="L505">
        <v>346.234119999999</v>
      </c>
      <c r="M505">
        <v>322.13763828690099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162.886</v>
      </c>
      <c r="V505">
        <v>-0.19600000000000001</v>
      </c>
      <c r="W505">
        <v>-0.43099999999999999</v>
      </c>
      <c r="X505">
        <v>0</v>
      </c>
      <c r="Y505" t="b">
        <v>0</v>
      </c>
      <c r="Z505" t="s">
        <v>52</v>
      </c>
      <c r="AA505">
        <f t="shared" si="94"/>
        <v>183.25192919217184</v>
      </c>
      <c r="AB505">
        <f t="shared" si="98"/>
        <v>0</v>
      </c>
      <c r="AC505">
        <f t="shared" si="99"/>
        <v>309.46519645548932</v>
      </c>
      <c r="AD505">
        <f t="shared" si="95"/>
        <v>0</v>
      </c>
      <c r="AE505">
        <f t="shared" ca="1" si="96"/>
        <v>0</v>
      </c>
    </row>
    <row r="506" spans="1:31" x14ac:dyDescent="0.3">
      <c r="A506">
        <f t="shared" si="91"/>
        <v>0</v>
      </c>
      <c r="B506" s="2">
        <f t="shared" si="92"/>
        <v>31.200100000205566</v>
      </c>
      <c r="C506" s="2">
        <f t="shared" si="97"/>
        <v>0</v>
      </c>
      <c r="D506" s="2">
        <f t="shared" si="93"/>
        <v>12.482295500000419</v>
      </c>
      <c r="E506" s="2"/>
      <c r="F506">
        <v>3234.1575931000002</v>
      </c>
      <c r="G506">
        <v>117</v>
      </c>
      <c r="H506">
        <v>351</v>
      </c>
      <c r="I506">
        <v>105.56100000000001</v>
      </c>
      <c r="J506">
        <v>360.56299999999999</v>
      </c>
      <c r="K506">
        <v>118.0878</v>
      </c>
      <c r="L506">
        <v>346.234119999999</v>
      </c>
      <c r="M506">
        <v>322.13763828690099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162.886</v>
      </c>
      <c r="V506">
        <v>-0.17100000000000001</v>
      </c>
      <c r="W506">
        <v>-0.43099999999999999</v>
      </c>
      <c r="X506">
        <v>0</v>
      </c>
      <c r="Y506" t="b">
        <v>0</v>
      </c>
      <c r="Z506" t="s">
        <v>52</v>
      </c>
      <c r="AA506">
        <f t="shared" si="94"/>
        <v>183.25192919217184</v>
      </c>
      <c r="AB506">
        <f t="shared" si="98"/>
        <v>0</v>
      </c>
      <c r="AC506">
        <f t="shared" si="99"/>
        <v>309.46519645548932</v>
      </c>
      <c r="AD506">
        <f t="shared" si="95"/>
        <v>0</v>
      </c>
      <c r="AE506">
        <f t="shared" ca="1" si="96"/>
        <v>0</v>
      </c>
    </row>
    <row r="507" spans="1:31" x14ac:dyDescent="0.3">
      <c r="A507">
        <f t="shared" si="91"/>
        <v>0</v>
      </c>
      <c r="B507" s="2">
        <f t="shared" si="92"/>
        <v>31.110499999613239</v>
      </c>
      <c r="C507" s="2">
        <f t="shared" si="97"/>
        <v>0</v>
      </c>
      <c r="D507" s="2">
        <f t="shared" si="93"/>
        <v>12.513406000000032</v>
      </c>
      <c r="E507" s="2"/>
      <c r="F507">
        <v>3234.1887035999998</v>
      </c>
      <c r="G507">
        <v>117</v>
      </c>
      <c r="H507">
        <v>351</v>
      </c>
      <c r="I507">
        <v>105.56100000000001</v>
      </c>
      <c r="J507">
        <v>360.56299999999999</v>
      </c>
      <c r="K507">
        <v>118.0878</v>
      </c>
      <c r="L507">
        <v>346.234119999999</v>
      </c>
      <c r="M507">
        <v>322.13763828690099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162.88900000000001</v>
      </c>
      <c r="V507">
        <v>-0.17100000000000001</v>
      </c>
      <c r="W507">
        <v>-0.433</v>
      </c>
      <c r="X507">
        <v>0</v>
      </c>
      <c r="Y507" t="b">
        <v>0</v>
      </c>
      <c r="Z507" t="s">
        <v>52</v>
      </c>
      <c r="AA507">
        <f t="shared" si="94"/>
        <v>183.25192919217184</v>
      </c>
      <c r="AB507">
        <f t="shared" si="98"/>
        <v>0</v>
      </c>
      <c r="AC507">
        <f t="shared" si="99"/>
        <v>309.46519645548932</v>
      </c>
      <c r="AD507">
        <f t="shared" si="95"/>
        <v>0</v>
      </c>
      <c r="AE507">
        <f t="shared" ca="1" si="96"/>
        <v>0</v>
      </c>
    </row>
    <row r="508" spans="1:31" x14ac:dyDescent="0.3">
      <c r="A508">
        <f t="shared" si="91"/>
        <v>0</v>
      </c>
      <c r="B508" s="2">
        <f t="shared" si="92"/>
        <v>32.104300000355579</v>
      </c>
      <c r="C508" s="2">
        <f t="shared" si="97"/>
        <v>0</v>
      </c>
      <c r="D508" s="2">
        <f t="shared" si="93"/>
        <v>12.545510300000387</v>
      </c>
      <c r="E508" s="2"/>
      <c r="F508">
        <v>3234.2208079000002</v>
      </c>
      <c r="G508">
        <v>117</v>
      </c>
      <c r="H508">
        <v>351</v>
      </c>
      <c r="I508">
        <v>105.56100000000001</v>
      </c>
      <c r="J508">
        <v>360.56299999999999</v>
      </c>
      <c r="K508">
        <v>118.0878</v>
      </c>
      <c r="L508">
        <v>346.234119999999</v>
      </c>
      <c r="M508">
        <v>322.13763828690099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162.88900000000001</v>
      </c>
      <c r="V508">
        <v>-0.13500000000000001</v>
      </c>
      <c r="W508">
        <v>-0.433</v>
      </c>
      <c r="X508">
        <v>0</v>
      </c>
      <c r="Y508" t="b">
        <v>0</v>
      </c>
      <c r="Z508" t="s">
        <v>52</v>
      </c>
      <c r="AA508">
        <f t="shared" si="94"/>
        <v>183.25192919217184</v>
      </c>
      <c r="AB508">
        <f t="shared" si="98"/>
        <v>0</v>
      </c>
      <c r="AC508">
        <f t="shared" si="99"/>
        <v>309.46519645548932</v>
      </c>
      <c r="AD508">
        <f t="shared" si="95"/>
        <v>0</v>
      </c>
      <c r="AE508">
        <f t="shared" ca="1" si="96"/>
        <v>0</v>
      </c>
    </row>
    <row r="509" spans="1:31" x14ac:dyDescent="0.3">
      <c r="A509">
        <f t="shared" si="91"/>
        <v>0</v>
      </c>
      <c r="B509" s="2">
        <f t="shared" si="92"/>
        <v>30.791399999998248</v>
      </c>
      <c r="C509" s="2">
        <f t="shared" si="97"/>
        <v>0</v>
      </c>
      <c r="D509" s="2">
        <f t="shared" si="93"/>
        <v>12.576301700000386</v>
      </c>
      <c r="E509" s="2"/>
      <c r="F509">
        <v>3234.2515993000002</v>
      </c>
      <c r="G509">
        <v>117</v>
      </c>
      <c r="H509">
        <v>351</v>
      </c>
      <c r="I509">
        <v>105.56100000000001</v>
      </c>
      <c r="J509">
        <v>360.56299999999999</v>
      </c>
      <c r="K509">
        <v>118.0878</v>
      </c>
      <c r="L509">
        <v>346.234119999999</v>
      </c>
      <c r="M509">
        <v>322.13763828690099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162.892</v>
      </c>
      <c r="V509">
        <v>-0.13500000000000001</v>
      </c>
      <c r="W509">
        <v>-0.42699999999999999</v>
      </c>
      <c r="X509">
        <v>0</v>
      </c>
      <c r="Y509" t="b">
        <v>0</v>
      </c>
      <c r="Z509" t="s">
        <v>52</v>
      </c>
      <c r="AA509">
        <f t="shared" si="94"/>
        <v>183.25192919217184</v>
      </c>
      <c r="AB509">
        <f t="shared" si="98"/>
        <v>0</v>
      </c>
      <c r="AC509">
        <f t="shared" si="99"/>
        <v>309.46519645548932</v>
      </c>
      <c r="AD509">
        <f t="shared" si="95"/>
        <v>0</v>
      </c>
      <c r="AE509">
        <f t="shared" ca="1" si="96"/>
        <v>0</v>
      </c>
    </row>
    <row r="510" spans="1:31" x14ac:dyDescent="0.3">
      <c r="A510">
        <f t="shared" si="91"/>
        <v>0</v>
      </c>
      <c r="B510" s="2">
        <f t="shared" si="92"/>
        <v>31.587199999648874</v>
      </c>
      <c r="C510" s="2">
        <f t="shared" si="97"/>
        <v>0</v>
      </c>
      <c r="D510" s="2">
        <f t="shared" si="93"/>
        <v>12.607888900000034</v>
      </c>
      <c r="E510" s="2"/>
      <c r="F510">
        <v>3234.2831864999998</v>
      </c>
      <c r="G510">
        <v>117</v>
      </c>
      <c r="H510">
        <v>351</v>
      </c>
      <c r="I510">
        <v>105.56100000000001</v>
      </c>
      <c r="J510">
        <v>360.56299999999999</v>
      </c>
      <c r="K510">
        <v>118.0878</v>
      </c>
      <c r="L510">
        <v>346.234119999999</v>
      </c>
      <c r="M510">
        <v>322.13763828690099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162.892</v>
      </c>
      <c r="V510">
        <v>-0.10199999999999999</v>
      </c>
      <c r="W510">
        <v>-0.42699999999999999</v>
      </c>
      <c r="X510">
        <v>0</v>
      </c>
      <c r="Y510" t="b">
        <v>0</v>
      </c>
      <c r="Z510" t="s">
        <v>52</v>
      </c>
      <c r="AA510">
        <f t="shared" si="94"/>
        <v>183.25192919217184</v>
      </c>
      <c r="AB510">
        <f t="shared" si="98"/>
        <v>0</v>
      </c>
      <c r="AC510">
        <f t="shared" si="99"/>
        <v>309.46519645548932</v>
      </c>
      <c r="AD510">
        <f t="shared" si="95"/>
        <v>0</v>
      </c>
      <c r="AE510">
        <f t="shared" ca="1" si="96"/>
        <v>0</v>
      </c>
    </row>
    <row r="511" spans="1:31" x14ac:dyDescent="0.3">
      <c r="A511">
        <f t="shared" si="91"/>
        <v>0</v>
      </c>
      <c r="B511" s="2">
        <f t="shared" si="92"/>
        <v>30.908300000191957</v>
      </c>
      <c r="C511" s="2">
        <f t="shared" si="97"/>
        <v>0</v>
      </c>
      <c r="D511" s="2">
        <f t="shared" si="93"/>
        <v>12.638797200000226</v>
      </c>
      <c r="E511" s="2"/>
      <c r="F511">
        <v>3234.3140948</v>
      </c>
      <c r="G511">
        <v>117</v>
      </c>
      <c r="H511">
        <v>351</v>
      </c>
      <c r="I511">
        <v>105.56100000000001</v>
      </c>
      <c r="J511">
        <v>360.56299999999999</v>
      </c>
      <c r="K511">
        <v>118.0878</v>
      </c>
      <c r="L511">
        <v>346.234119999999</v>
      </c>
      <c r="M511">
        <v>322.13763828690099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162.89599999999999</v>
      </c>
      <c r="V511">
        <v>-0.10199999999999999</v>
      </c>
      <c r="W511">
        <v>-0.42199999999999999</v>
      </c>
      <c r="X511">
        <v>0</v>
      </c>
      <c r="Y511" t="b">
        <v>0</v>
      </c>
      <c r="Z511" t="s">
        <v>52</v>
      </c>
      <c r="AA511">
        <f t="shared" si="94"/>
        <v>183.25192919217184</v>
      </c>
      <c r="AB511">
        <f t="shared" si="98"/>
        <v>0</v>
      </c>
      <c r="AC511">
        <f t="shared" si="99"/>
        <v>309.46519645548932</v>
      </c>
      <c r="AD511">
        <f t="shared" si="95"/>
        <v>0</v>
      </c>
      <c r="AE511">
        <f t="shared" ca="1" si="96"/>
        <v>0</v>
      </c>
    </row>
    <row r="512" spans="1:31" x14ac:dyDescent="0.3">
      <c r="A512">
        <f t="shared" si="91"/>
        <v>0</v>
      </c>
      <c r="B512" s="2">
        <f t="shared" si="92"/>
        <v>32.067099999949278</v>
      </c>
      <c r="C512" s="2">
        <f t="shared" si="97"/>
        <v>0</v>
      </c>
      <c r="D512" s="2">
        <f t="shared" si="93"/>
        <v>12.670864300000176</v>
      </c>
      <c r="E512" s="2"/>
      <c r="F512">
        <v>3234.3461619</v>
      </c>
      <c r="G512">
        <v>117</v>
      </c>
      <c r="H512">
        <v>351</v>
      </c>
      <c r="I512">
        <v>105.56100000000001</v>
      </c>
      <c r="J512">
        <v>360.56299999999999</v>
      </c>
      <c r="K512">
        <v>118.0878</v>
      </c>
      <c r="L512">
        <v>346.234119999999</v>
      </c>
      <c r="M512">
        <v>322.13763828690099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162.89599999999999</v>
      </c>
      <c r="V512">
        <v>-7.0000000000000007E-2</v>
      </c>
      <c r="W512">
        <v>-0.42199999999999999</v>
      </c>
      <c r="X512">
        <v>0</v>
      </c>
      <c r="Y512" t="b">
        <v>0</v>
      </c>
      <c r="Z512" t="s">
        <v>52</v>
      </c>
      <c r="AA512">
        <f t="shared" si="94"/>
        <v>183.25192919217184</v>
      </c>
      <c r="AB512">
        <f t="shared" si="98"/>
        <v>0</v>
      </c>
      <c r="AC512">
        <f t="shared" si="99"/>
        <v>309.46519645548932</v>
      </c>
      <c r="AD512">
        <f t="shared" si="95"/>
        <v>0</v>
      </c>
      <c r="AE512">
        <f t="shared" ca="1" si="96"/>
        <v>0</v>
      </c>
    </row>
    <row r="513" spans="1:31" x14ac:dyDescent="0.3">
      <c r="A513">
        <f t="shared" si="91"/>
        <v>0</v>
      </c>
      <c r="B513" s="2">
        <f t="shared" si="92"/>
        <v>31.542000000172266</v>
      </c>
      <c r="C513" s="2">
        <f t="shared" si="97"/>
        <v>0</v>
      </c>
      <c r="D513" s="2">
        <f t="shared" si="93"/>
        <v>12.702406300000348</v>
      </c>
      <c r="E513" s="2"/>
      <c r="F513">
        <v>3234.3777039000001</v>
      </c>
      <c r="G513">
        <v>117</v>
      </c>
      <c r="H513">
        <v>351</v>
      </c>
      <c r="I513">
        <v>105.56100000000001</v>
      </c>
      <c r="J513">
        <v>360.56299999999999</v>
      </c>
      <c r="K513">
        <v>118.0878</v>
      </c>
      <c r="L513">
        <v>346.234119999999</v>
      </c>
      <c r="M513">
        <v>322.13763828690099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162.898</v>
      </c>
      <c r="V513">
        <v>-7.0000000000000007E-2</v>
      </c>
      <c r="W513">
        <v>-0.42499999999999999</v>
      </c>
      <c r="X513">
        <v>0</v>
      </c>
      <c r="Y513" t="b">
        <v>0</v>
      </c>
      <c r="Z513" t="s">
        <v>52</v>
      </c>
      <c r="AA513">
        <f t="shared" si="94"/>
        <v>183.25192919217184</v>
      </c>
      <c r="AB513">
        <f t="shared" si="98"/>
        <v>0</v>
      </c>
      <c r="AC513">
        <f t="shared" si="99"/>
        <v>309.46519645548932</v>
      </c>
      <c r="AD513">
        <f t="shared" si="95"/>
        <v>0</v>
      </c>
      <c r="AE513">
        <f t="shared" ca="1" si="96"/>
        <v>0</v>
      </c>
    </row>
    <row r="514" spans="1:31" x14ac:dyDescent="0.3">
      <c r="A514">
        <f t="shared" si="91"/>
        <v>0</v>
      </c>
      <c r="B514" s="2">
        <f t="shared" si="92"/>
        <v>46.500499999638123</v>
      </c>
      <c r="C514" s="2">
        <f t="shared" si="97"/>
        <v>0</v>
      </c>
      <c r="D514" s="2">
        <f t="shared" si="93"/>
        <v>12.748906799999986</v>
      </c>
      <c r="E514" s="2"/>
      <c r="F514">
        <v>3234.4242043999998</v>
      </c>
      <c r="G514">
        <v>117</v>
      </c>
      <c r="H514">
        <v>351</v>
      </c>
      <c r="I514">
        <v>105.56100000000001</v>
      </c>
      <c r="J514">
        <v>360.56299999999999</v>
      </c>
      <c r="K514">
        <v>118.0878</v>
      </c>
      <c r="L514">
        <v>346.234119999999</v>
      </c>
      <c r="M514">
        <v>322.13763828690099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162.898</v>
      </c>
      <c r="V514">
        <v>-4.5999999999999999E-2</v>
      </c>
      <c r="W514">
        <v>-0.42499999999999999</v>
      </c>
      <c r="X514">
        <v>0</v>
      </c>
      <c r="Y514" t="b">
        <v>0</v>
      </c>
      <c r="Z514" t="s">
        <v>52</v>
      </c>
      <c r="AA514">
        <f t="shared" si="94"/>
        <v>183.25192919217184</v>
      </c>
      <c r="AB514">
        <f t="shared" ref="AB514:AB545" si="100">R514*100</f>
        <v>0</v>
      </c>
      <c r="AC514">
        <f t="shared" si="99"/>
        <v>309.46519645548932</v>
      </c>
      <c r="AD514">
        <f t="shared" si="95"/>
        <v>0</v>
      </c>
      <c r="AE514">
        <f t="shared" ca="1" si="96"/>
        <v>0</v>
      </c>
    </row>
    <row r="515" spans="1:31" x14ac:dyDescent="0.3">
      <c r="A515">
        <f t="shared" si="91"/>
        <v>0</v>
      </c>
      <c r="B515" s="2">
        <f t="shared" si="92"/>
        <v>31.148500000199419</v>
      </c>
      <c r="C515" s="2">
        <f t="shared" si="97"/>
        <v>0</v>
      </c>
      <c r="D515" s="2">
        <f t="shared" si="93"/>
        <v>12.780055300000186</v>
      </c>
      <c r="E515" s="2"/>
      <c r="F515">
        <v>3234.4553529</v>
      </c>
      <c r="G515">
        <v>117</v>
      </c>
      <c r="H515">
        <v>351</v>
      </c>
      <c r="I515">
        <v>105.56100000000001</v>
      </c>
      <c r="J515">
        <v>360.56299999999999</v>
      </c>
      <c r="K515">
        <v>118.0878</v>
      </c>
      <c r="L515">
        <v>346.234119999999</v>
      </c>
      <c r="M515">
        <v>322.13763828690099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162.9</v>
      </c>
      <c r="V515">
        <v>-4.5999999999999999E-2</v>
      </c>
      <c r="W515">
        <v>-0.43099999999999999</v>
      </c>
      <c r="X515">
        <v>0</v>
      </c>
      <c r="Y515" t="b">
        <v>0</v>
      </c>
      <c r="Z515" t="s">
        <v>52</v>
      </c>
      <c r="AA515">
        <f t="shared" si="94"/>
        <v>183.25192919217184</v>
      </c>
      <c r="AB515">
        <f t="shared" si="100"/>
        <v>0</v>
      </c>
      <c r="AC515">
        <f t="shared" si="99"/>
        <v>309.46519645548932</v>
      </c>
      <c r="AD515">
        <f t="shared" si="95"/>
        <v>0</v>
      </c>
      <c r="AE515">
        <f t="shared" ca="1" si="96"/>
        <v>0</v>
      </c>
    </row>
    <row r="516" spans="1:31" x14ac:dyDescent="0.3">
      <c r="A516">
        <f t="shared" si="91"/>
        <v>0</v>
      </c>
      <c r="B516" s="2">
        <f t="shared" si="92"/>
        <v>30.531400000199937</v>
      </c>
      <c r="C516" s="2">
        <f t="shared" si="97"/>
        <v>0</v>
      </c>
      <c r="D516" s="2">
        <f t="shared" si="93"/>
        <v>12.810586700000385</v>
      </c>
      <c r="E516" s="2"/>
      <c r="F516">
        <v>3234.4858843000002</v>
      </c>
      <c r="G516">
        <v>117</v>
      </c>
      <c r="H516">
        <v>351</v>
      </c>
      <c r="I516">
        <v>105.56100000000001</v>
      </c>
      <c r="J516">
        <v>360.56299999999999</v>
      </c>
      <c r="K516">
        <v>118.0878</v>
      </c>
      <c r="L516">
        <v>346.234119999999</v>
      </c>
      <c r="M516">
        <v>322.13763828690099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162.9</v>
      </c>
      <c r="V516">
        <v>-2.4E-2</v>
      </c>
      <c r="W516">
        <v>-0.43099999999999999</v>
      </c>
      <c r="X516">
        <v>0</v>
      </c>
      <c r="Y516" t="b">
        <v>0</v>
      </c>
      <c r="Z516" t="s">
        <v>52</v>
      </c>
      <c r="AA516">
        <f t="shared" si="94"/>
        <v>183.25192919217184</v>
      </c>
      <c r="AB516">
        <f t="shared" si="100"/>
        <v>0</v>
      </c>
      <c r="AC516">
        <f t="shared" si="99"/>
        <v>309.46519645548932</v>
      </c>
      <c r="AD516">
        <f t="shared" si="95"/>
        <v>0</v>
      </c>
      <c r="AE516">
        <f t="shared" ca="1" si="96"/>
        <v>0</v>
      </c>
    </row>
    <row r="517" spans="1:31" x14ac:dyDescent="0.3">
      <c r="A517">
        <f t="shared" si="91"/>
        <v>0</v>
      </c>
      <c r="B517" s="2">
        <f t="shared" si="92"/>
        <v>30.080699999871285</v>
      </c>
      <c r="C517" s="2">
        <f t="shared" si="97"/>
        <v>0</v>
      </c>
      <c r="D517" s="2">
        <f t="shared" si="93"/>
        <v>12.840667400000257</v>
      </c>
      <c r="E517" s="2"/>
      <c r="F517">
        <v>3234.5159650000001</v>
      </c>
      <c r="G517">
        <v>117</v>
      </c>
      <c r="H517">
        <v>351</v>
      </c>
      <c r="I517">
        <v>105.56100000000001</v>
      </c>
      <c r="J517">
        <v>360.56299999999999</v>
      </c>
      <c r="K517">
        <v>118.0878</v>
      </c>
      <c r="L517">
        <v>346.234119999999</v>
      </c>
      <c r="M517">
        <v>322.13763828690099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162.905</v>
      </c>
      <c r="V517">
        <v>-2.4E-2</v>
      </c>
      <c r="W517">
        <v>-0.434</v>
      </c>
      <c r="X517">
        <v>0</v>
      </c>
      <c r="Y517" t="b">
        <v>0</v>
      </c>
      <c r="Z517" t="s">
        <v>52</v>
      </c>
      <c r="AA517">
        <f t="shared" si="94"/>
        <v>183.25192919217184</v>
      </c>
      <c r="AB517">
        <f t="shared" si="100"/>
        <v>0</v>
      </c>
      <c r="AC517">
        <f t="shared" si="99"/>
        <v>309.46519645548932</v>
      </c>
      <c r="AD517">
        <f t="shared" si="95"/>
        <v>0</v>
      </c>
      <c r="AE517">
        <f t="shared" ca="1" si="96"/>
        <v>0</v>
      </c>
    </row>
    <row r="518" spans="1:31" x14ac:dyDescent="0.3">
      <c r="A518">
        <f t="shared" si="91"/>
        <v>0</v>
      </c>
      <c r="B518" s="2">
        <f t="shared" si="92"/>
        <v>32.069200000023557</v>
      </c>
      <c r="C518" s="2">
        <f t="shared" si="97"/>
        <v>0</v>
      </c>
      <c r="D518" s="2">
        <f t="shared" si="93"/>
        <v>12.87273660000028</v>
      </c>
      <c r="E518" s="2"/>
      <c r="F518">
        <v>3234.5480342000001</v>
      </c>
      <c r="G518">
        <v>117</v>
      </c>
      <c r="H518">
        <v>351</v>
      </c>
      <c r="I518">
        <v>105.56100000000001</v>
      </c>
      <c r="J518">
        <v>360.56299999999999</v>
      </c>
      <c r="K518">
        <v>118.0878</v>
      </c>
      <c r="L518">
        <v>346.234119999999</v>
      </c>
      <c r="M518">
        <v>322.13763828690099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162.905</v>
      </c>
      <c r="V518">
        <v>6.0000000000000001E-3</v>
      </c>
      <c r="W518">
        <v>-0.434</v>
      </c>
      <c r="X518">
        <v>0</v>
      </c>
      <c r="Y518" t="b">
        <v>0</v>
      </c>
      <c r="Z518" t="s">
        <v>52</v>
      </c>
      <c r="AA518">
        <f t="shared" si="94"/>
        <v>183.25192919217184</v>
      </c>
      <c r="AB518">
        <f t="shared" si="100"/>
        <v>0</v>
      </c>
      <c r="AC518">
        <f t="shared" si="99"/>
        <v>309.46519645548932</v>
      </c>
      <c r="AD518">
        <f t="shared" si="95"/>
        <v>0</v>
      </c>
      <c r="AE518">
        <f t="shared" ca="1" si="96"/>
        <v>0</v>
      </c>
    </row>
    <row r="519" spans="1:31" x14ac:dyDescent="0.3">
      <c r="A519">
        <f t="shared" si="91"/>
        <v>0</v>
      </c>
      <c r="B519" s="2">
        <f t="shared" si="92"/>
        <v>46.323099999881379</v>
      </c>
      <c r="C519" s="2">
        <f t="shared" si="97"/>
        <v>0</v>
      </c>
      <c r="D519" s="2">
        <f t="shared" si="93"/>
        <v>12.919059700000162</v>
      </c>
      <c r="E519" s="2"/>
      <c r="F519">
        <v>3234.5943573</v>
      </c>
      <c r="G519">
        <v>117</v>
      </c>
      <c r="H519">
        <v>351</v>
      </c>
      <c r="I519">
        <v>105.56100000000001</v>
      </c>
      <c r="J519">
        <v>360.56299999999999</v>
      </c>
      <c r="K519">
        <v>118.0878</v>
      </c>
      <c r="L519">
        <v>346.234119999999</v>
      </c>
      <c r="M519">
        <v>322.13763828690099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162.90700000000001</v>
      </c>
      <c r="V519">
        <v>6.0000000000000001E-3</v>
      </c>
      <c r="W519">
        <v>-0.42899999999999999</v>
      </c>
      <c r="X519">
        <v>0</v>
      </c>
      <c r="Y519" t="b">
        <v>0</v>
      </c>
      <c r="Z519" t="s">
        <v>52</v>
      </c>
      <c r="AA519">
        <f t="shared" si="94"/>
        <v>183.25192919217184</v>
      </c>
      <c r="AB519">
        <f t="shared" si="100"/>
        <v>0</v>
      </c>
      <c r="AC519">
        <f t="shared" si="99"/>
        <v>309.46519645548932</v>
      </c>
      <c r="AD519">
        <f t="shared" si="95"/>
        <v>0</v>
      </c>
      <c r="AE519">
        <f t="shared" ca="1" si="96"/>
        <v>0</v>
      </c>
    </row>
    <row r="520" spans="1:31" x14ac:dyDescent="0.3">
      <c r="A520">
        <f t="shared" ref="A520:A583" si="101">N520*100</f>
        <v>0</v>
      </c>
      <c r="B520" s="2">
        <f t="shared" ref="B520:B583" si="102">(F520-F519)*1000</f>
        <v>31.106299999919429</v>
      </c>
      <c r="C520" s="2">
        <f t="shared" si="97"/>
        <v>0</v>
      </c>
      <c r="D520" s="2">
        <f t="shared" ref="D520:D583" si="103">F520-$F$7</f>
        <v>12.950166000000081</v>
      </c>
      <c r="E520" s="2"/>
      <c r="F520">
        <v>3234.6254635999999</v>
      </c>
      <c r="G520">
        <v>117</v>
      </c>
      <c r="H520">
        <v>351</v>
      </c>
      <c r="I520">
        <v>105.56100000000001</v>
      </c>
      <c r="J520">
        <v>360.56299999999999</v>
      </c>
      <c r="K520">
        <v>118.0878</v>
      </c>
      <c r="L520">
        <v>346.234119999999</v>
      </c>
      <c r="M520">
        <v>322.13763828690099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162.90700000000001</v>
      </c>
      <c r="V520">
        <v>2.5000000000000001E-2</v>
      </c>
      <c r="W520">
        <v>-0.42899999999999999</v>
      </c>
      <c r="X520">
        <v>0</v>
      </c>
      <c r="Y520" t="b">
        <v>0</v>
      </c>
      <c r="Z520" t="s">
        <v>52</v>
      </c>
      <c r="AA520">
        <f t="shared" ref="AA520:AA583" si="104">$K$4+($AA$4/$K$3*(K520-$K$4))</f>
        <v>183.25192919217184</v>
      </c>
      <c r="AB520">
        <f t="shared" si="100"/>
        <v>0</v>
      </c>
      <c r="AC520">
        <f t="shared" si="99"/>
        <v>309.46519645548932</v>
      </c>
      <c r="AD520">
        <f t="shared" ref="AD520:AD583" si="105">IF((L520-L519)/(D520-D519)&lt;100,IF((L520-L519)/(D520-D519)&gt;(-1*20),(L520-L519)/(D520-D519),AD519))</f>
        <v>0</v>
      </c>
      <c r="AE520">
        <f t="shared" ref="AE520:AE583" ca="1" si="106">IF(ROW(AD520)-ROW($AD$7)+1&gt;=$AE$6, AVERAGE(OFFSET(AD520, 0, 0, $AE$6, 1)), NA())</f>
        <v>0</v>
      </c>
    </row>
    <row r="521" spans="1:31" x14ac:dyDescent="0.3">
      <c r="A521">
        <f t="shared" si="101"/>
        <v>0</v>
      </c>
      <c r="B521" s="2">
        <f t="shared" si="102"/>
        <v>15.409600000111823</v>
      </c>
      <c r="C521" s="2">
        <f t="shared" ref="C521:C584" si="107">L521-L520</f>
        <v>0</v>
      </c>
      <c r="D521" s="2">
        <f t="shared" si="103"/>
        <v>12.965575600000193</v>
      </c>
      <c r="E521" s="2"/>
      <c r="F521">
        <v>3234.6408732</v>
      </c>
      <c r="G521">
        <v>117</v>
      </c>
      <c r="H521">
        <v>351</v>
      </c>
      <c r="I521">
        <v>105.56100000000001</v>
      </c>
      <c r="J521">
        <v>360.56299999999999</v>
      </c>
      <c r="K521">
        <v>118.0878</v>
      </c>
      <c r="L521">
        <v>346.234119999999</v>
      </c>
      <c r="M521">
        <v>322.13763828690099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162.90899999999999</v>
      </c>
      <c r="V521">
        <v>2.5000000000000001E-2</v>
      </c>
      <c r="W521">
        <v>-0.42299999999999999</v>
      </c>
      <c r="X521">
        <v>0</v>
      </c>
      <c r="Y521" t="b">
        <v>0</v>
      </c>
      <c r="Z521" t="s">
        <v>52</v>
      </c>
      <c r="AA521">
        <f t="shared" si="104"/>
        <v>183.25192919217184</v>
      </c>
      <c r="AB521">
        <f t="shared" si="100"/>
        <v>0</v>
      </c>
      <c r="AC521">
        <f t="shared" si="99"/>
        <v>309.46519645548932</v>
      </c>
      <c r="AD521">
        <f t="shared" si="105"/>
        <v>0</v>
      </c>
      <c r="AE521">
        <f t="shared" ca="1" si="106"/>
        <v>0</v>
      </c>
    </row>
    <row r="522" spans="1:31" x14ac:dyDescent="0.3">
      <c r="A522">
        <f t="shared" si="101"/>
        <v>0</v>
      </c>
      <c r="B522" s="2">
        <f t="shared" si="102"/>
        <v>31.341100000190636</v>
      </c>
      <c r="C522" s="2">
        <f t="shared" si="107"/>
        <v>0</v>
      </c>
      <c r="D522" s="2">
        <f t="shared" si="103"/>
        <v>12.996916700000384</v>
      </c>
      <c r="E522" s="2"/>
      <c r="F522">
        <v>3234.6722143000002</v>
      </c>
      <c r="G522">
        <v>117</v>
      </c>
      <c r="H522">
        <v>351</v>
      </c>
      <c r="I522">
        <v>105.56100000000001</v>
      </c>
      <c r="J522">
        <v>360.56299999999999</v>
      </c>
      <c r="K522">
        <v>118.0878</v>
      </c>
      <c r="L522">
        <v>346.234119999999</v>
      </c>
      <c r="M522">
        <v>322.13763828690099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162.90899999999999</v>
      </c>
      <c r="V522">
        <v>4.1000000000000002E-2</v>
      </c>
      <c r="W522">
        <v>-0.42299999999999999</v>
      </c>
      <c r="X522">
        <v>0</v>
      </c>
      <c r="Y522" t="b">
        <v>0</v>
      </c>
      <c r="Z522" t="s">
        <v>52</v>
      </c>
      <c r="AA522">
        <f t="shared" si="104"/>
        <v>183.25192919217184</v>
      </c>
      <c r="AB522">
        <f t="shared" si="100"/>
        <v>0</v>
      </c>
      <c r="AC522">
        <f t="shared" si="99"/>
        <v>309.46519645548932</v>
      </c>
      <c r="AD522">
        <f t="shared" si="105"/>
        <v>0</v>
      </c>
      <c r="AE522">
        <f t="shared" ca="1" si="106"/>
        <v>0</v>
      </c>
    </row>
    <row r="523" spans="1:31" x14ac:dyDescent="0.3">
      <c r="A523">
        <f t="shared" si="101"/>
        <v>0</v>
      </c>
      <c r="B523" s="2">
        <f t="shared" si="102"/>
        <v>30.669799999941461</v>
      </c>
      <c r="C523" s="2">
        <f t="shared" si="107"/>
        <v>0</v>
      </c>
      <c r="D523" s="2">
        <f t="shared" si="103"/>
        <v>13.027586500000325</v>
      </c>
      <c r="E523" s="2"/>
      <c r="F523">
        <v>3234.7028841000001</v>
      </c>
      <c r="G523">
        <v>117</v>
      </c>
      <c r="H523">
        <v>351</v>
      </c>
      <c r="I523">
        <v>105.56100000000001</v>
      </c>
      <c r="J523">
        <v>360.56299999999999</v>
      </c>
      <c r="K523">
        <v>118.0878</v>
      </c>
      <c r="L523">
        <v>346.234119999999</v>
      </c>
      <c r="M523">
        <v>322.13763828690099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162.91300000000001</v>
      </c>
      <c r="V523">
        <v>4.1000000000000002E-2</v>
      </c>
      <c r="W523">
        <v>-0.42899999999999999</v>
      </c>
      <c r="X523">
        <v>0</v>
      </c>
      <c r="Y523" t="b">
        <v>0</v>
      </c>
      <c r="Z523" t="s">
        <v>52</v>
      </c>
      <c r="AA523">
        <f t="shared" si="104"/>
        <v>183.25192919217184</v>
      </c>
      <c r="AB523">
        <f t="shared" si="100"/>
        <v>0</v>
      </c>
      <c r="AC523">
        <f t="shared" si="99"/>
        <v>309.46519645548932</v>
      </c>
      <c r="AD523">
        <f t="shared" si="105"/>
        <v>0</v>
      </c>
      <c r="AE523">
        <f t="shared" ca="1" si="106"/>
        <v>0</v>
      </c>
    </row>
    <row r="524" spans="1:31" x14ac:dyDescent="0.3">
      <c r="A524">
        <f t="shared" si="101"/>
        <v>0</v>
      </c>
      <c r="B524" s="2">
        <f t="shared" si="102"/>
        <v>31.357999999727326</v>
      </c>
      <c r="C524" s="2">
        <f t="shared" si="107"/>
        <v>0</v>
      </c>
      <c r="D524" s="2">
        <f t="shared" si="103"/>
        <v>13.058944500000052</v>
      </c>
      <c r="E524" s="2"/>
      <c r="F524">
        <v>3234.7342420999998</v>
      </c>
      <c r="G524">
        <v>117</v>
      </c>
      <c r="H524">
        <v>351</v>
      </c>
      <c r="I524">
        <v>105.56100000000001</v>
      </c>
      <c r="J524">
        <v>360.56299999999999</v>
      </c>
      <c r="K524">
        <v>118.0878</v>
      </c>
      <c r="L524">
        <v>346.234119999999</v>
      </c>
      <c r="M524">
        <v>322.13763828690099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162.91300000000001</v>
      </c>
      <c r="V524">
        <v>6.6000000000000003E-2</v>
      </c>
      <c r="W524">
        <v>-0.42899999999999999</v>
      </c>
      <c r="X524">
        <v>0</v>
      </c>
      <c r="Y524" t="b">
        <v>0</v>
      </c>
      <c r="Z524" t="s">
        <v>52</v>
      </c>
      <c r="AA524">
        <f t="shared" si="104"/>
        <v>183.25192919217184</v>
      </c>
      <c r="AB524">
        <f t="shared" si="100"/>
        <v>0</v>
      </c>
      <c r="AC524">
        <f t="shared" si="99"/>
        <v>309.46519645548932</v>
      </c>
      <c r="AD524">
        <f t="shared" si="105"/>
        <v>0</v>
      </c>
      <c r="AE524">
        <f t="shared" ca="1" si="106"/>
        <v>0</v>
      </c>
    </row>
    <row r="525" spans="1:31" x14ac:dyDescent="0.3">
      <c r="A525">
        <f t="shared" si="101"/>
        <v>0</v>
      </c>
      <c r="B525" s="2">
        <f t="shared" si="102"/>
        <v>30.655000000024302</v>
      </c>
      <c r="C525" s="2">
        <f t="shared" si="107"/>
        <v>0</v>
      </c>
      <c r="D525" s="2">
        <f t="shared" si="103"/>
        <v>13.089599500000077</v>
      </c>
      <c r="E525" s="2"/>
      <c r="F525">
        <v>3234.7648970999999</v>
      </c>
      <c r="G525">
        <v>117</v>
      </c>
      <c r="H525">
        <v>351</v>
      </c>
      <c r="I525">
        <v>105.56100000000001</v>
      </c>
      <c r="J525">
        <v>360.56299999999999</v>
      </c>
      <c r="K525">
        <v>118.0878</v>
      </c>
      <c r="L525">
        <v>346.234119999999</v>
      </c>
      <c r="M525">
        <v>322.13763828690099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162.917</v>
      </c>
      <c r="V525">
        <v>6.6000000000000003E-2</v>
      </c>
      <c r="W525">
        <v>-0.435</v>
      </c>
      <c r="X525">
        <v>0</v>
      </c>
      <c r="Y525" t="b">
        <v>0</v>
      </c>
      <c r="Z525" t="s">
        <v>52</v>
      </c>
      <c r="AA525">
        <f t="shared" si="104"/>
        <v>183.25192919217184</v>
      </c>
      <c r="AB525">
        <f t="shared" si="100"/>
        <v>0</v>
      </c>
      <c r="AC525">
        <f t="shared" si="99"/>
        <v>309.46519645548932</v>
      </c>
      <c r="AD525">
        <f t="shared" si="105"/>
        <v>0</v>
      </c>
      <c r="AE525">
        <f t="shared" ca="1" si="106"/>
        <v>0</v>
      </c>
    </row>
    <row r="526" spans="1:31" x14ac:dyDescent="0.3">
      <c r="A526">
        <f t="shared" si="101"/>
        <v>0</v>
      </c>
      <c r="B526" s="2">
        <f t="shared" si="102"/>
        <v>47.357100000226637</v>
      </c>
      <c r="C526" s="2">
        <f t="shared" si="107"/>
        <v>0</v>
      </c>
      <c r="D526" s="2">
        <f t="shared" si="103"/>
        <v>13.136956600000303</v>
      </c>
      <c r="E526" s="2"/>
      <c r="F526">
        <v>3234.8122542000001</v>
      </c>
      <c r="G526">
        <v>117</v>
      </c>
      <c r="H526">
        <v>351</v>
      </c>
      <c r="I526">
        <v>105.56100000000001</v>
      </c>
      <c r="J526">
        <v>360.56299999999999</v>
      </c>
      <c r="K526">
        <v>118.0878</v>
      </c>
      <c r="L526">
        <v>346.234119999999</v>
      </c>
      <c r="M526">
        <v>322.13763828690099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162.917</v>
      </c>
      <c r="V526">
        <v>8.4000000000000005E-2</v>
      </c>
      <c r="W526">
        <v>-0.435</v>
      </c>
      <c r="X526">
        <v>0</v>
      </c>
      <c r="Y526" t="b">
        <v>0</v>
      </c>
      <c r="Z526" t="s">
        <v>52</v>
      </c>
      <c r="AA526">
        <f t="shared" si="104"/>
        <v>183.25192919217184</v>
      </c>
      <c r="AB526">
        <f t="shared" si="100"/>
        <v>0</v>
      </c>
      <c r="AC526">
        <f t="shared" si="99"/>
        <v>309.46519645548932</v>
      </c>
      <c r="AD526">
        <f t="shared" si="105"/>
        <v>0</v>
      </c>
      <c r="AE526">
        <f t="shared" ca="1" si="106"/>
        <v>0</v>
      </c>
    </row>
    <row r="527" spans="1:31" x14ac:dyDescent="0.3">
      <c r="A527">
        <f t="shared" si="101"/>
        <v>0</v>
      </c>
      <c r="B527" s="2">
        <f t="shared" si="102"/>
        <v>30.191199999990204</v>
      </c>
      <c r="C527" s="2">
        <f t="shared" si="107"/>
        <v>0</v>
      </c>
      <c r="D527" s="2">
        <f t="shared" si="103"/>
        <v>13.167147800000294</v>
      </c>
      <c r="E527" s="2"/>
      <c r="F527">
        <v>3234.8424454000001</v>
      </c>
      <c r="G527">
        <v>117</v>
      </c>
      <c r="H527">
        <v>351</v>
      </c>
      <c r="I527">
        <v>105.56100000000001</v>
      </c>
      <c r="J527">
        <v>360.56299999999999</v>
      </c>
      <c r="K527">
        <v>118.0878</v>
      </c>
      <c r="L527">
        <v>346.234119999999</v>
      </c>
      <c r="M527">
        <v>322.13763828690099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162.91900000000001</v>
      </c>
      <c r="V527">
        <v>8.4000000000000005E-2</v>
      </c>
      <c r="W527">
        <v>-0.44</v>
      </c>
      <c r="X527">
        <v>0</v>
      </c>
      <c r="Y527" t="b">
        <v>0</v>
      </c>
      <c r="Z527" t="s">
        <v>52</v>
      </c>
      <c r="AA527">
        <f t="shared" si="104"/>
        <v>183.25192919217184</v>
      </c>
      <c r="AB527">
        <f t="shared" si="100"/>
        <v>0</v>
      </c>
      <c r="AC527">
        <f t="shared" si="99"/>
        <v>309.46519645548932</v>
      </c>
      <c r="AD527">
        <f t="shared" si="105"/>
        <v>0</v>
      </c>
      <c r="AE527">
        <f t="shared" ca="1" si="106"/>
        <v>0</v>
      </c>
    </row>
    <row r="528" spans="1:31" x14ac:dyDescent="0.3">
      <c r="A528">
        <f t="shared" si="101"/>
        <v>0</v>
      </c>
      <c r="B528" s="2">
        <f t="shared" si="102"/>
        <v>30.640399999811052</v>
      </c>
      <c r="C528" s="2">
        <f t="shared" si="107"/>
        <v>0</v>
      </c>
      <c r="D528" s="2">
        <f t="shared" si="103"/>
        <v>13.197788200000105</v>
      </c>
      <c r="E528" s="2"/>
      <c r="F528">
        <v>3234.8730857999999</v>
      </c>
      <c r="G528">
        <v>117</v>
      </c>
      <c r="H528">
        <v>351</v>
      </c>
      <c r="I528">
        <v>105.56100000000001</v>
      </c>
      <c r="J528">
        <v>360.56299999999999</v>
      </c>
      <c r="K528">
        <v>118.0878</v>
      </c>
      <c r="L528">
        <v>346.234119999999</v>
      </c>
      <c r="M528">
        <v>322.13763828690099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162.91900000000001</v>
      </c>
      <c r="V528">
        <v>9.8000000000000004E-2</v>
      </c>
      <c r="W528">
        <v>-0.44</v>
      </c>
      <c r="X528">
        <v>0</v>
      </c>
      <c r="Y528" t="b">
        <v>0</v>
      </c>
      <c r="Z528" t="s">
        <v>52</v>
      </c>
      <c r="AA528">
        <f t="shared" si="104"/>
        <v>183.25192919217184</v>
      </c>
      <c r="AB528">
        <f t="shared" si="100"/>
        <v>0</v>
      </c>
      <c r="AC528">
        <f t="shared" si="99"/>
        <v>309.46519645548932</v>
      </c>
      <c r="AD528">
        <f t="shared" si="105"/>
        <v>0</v>
      </c>
      <c r="AE528">
        <f t="shared" ca="1" si="106"/>
        <v>0</v>
      </c>
    </row>
    <row r="529" spans="1:31" x14ac:dyDescent="0.3">
      <c r="A529">
        <f t="shared" si="101"/>
        <v>0</v>
      </c>
      <c r="B529" s="2">
        <f t="shared" si="102"/>
        <v>45.918799999981275</v>
      </c>
      <c r="C529" s="2">
        <f t="shared" si="107"/>
        <v>0</v>
      </c>
      <c r="D529" s="2">
        <f t="shared" si="103"/>
        <v>13.243707000000086</v>
      </c>
      <c r="E529" s="2"/>
      <c r="F529">
        <v>3234.9190045999999</v>
      </c>
      <c r="G529">
        <v>117</v>
      </c>
      <c r="H529">
        <v>351</v>
      </c>
      <c r="I529">
        <v>105.56100000000001</v>
      </c>
      <c r="J529">
        <v>360.56299999999999</v>
      </c>
      <c r="K529">
        <v>118.0878</v>
      </c>
      <c r="L529">
        <v>346.234119999999</v>
      </c>
      <c r="M529">
        <v>322.13763828690099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162.922</v>
      </c>
      <c r="V529">
        <v>9.8000000000000004E-2</v>
      </c>
      <c r="W529">
        <v>-0.43</v>
      </c>
      <c r="X529">
        <v>0</v>
      </c>
      <c r="Y529" t="b">
        <v>0</v>
      </c>
      <c r="Z529" t="s">
        <v>52</v>
      </c>
      <c r="AA529">
        <f t="shared" si="104"/>
        <v>183.25192919217184</v>
      </c>
      <c r="AB529">
        <f t="shared" si="100"/>
        <v>0</v>
      </c>
      <c r="AC529">
        <f t="shared" si="99"/>
        <v>309.46519645548932</v>
      </c>
      <c r="AD529">
        <f t="shared" si="105"/>
        <v>0</v>
      </c>
      <c r="AE529">
        <f t="shared" ca="1" si="106"/>
        <v>0</v>
      </c>
    </row>
    <row r="530" spans="1:31" x14ac:dyDescent="0.3">
      <c r="A530">
        <f t="shared" si="101"/>
        <v>0</v>
      </c>
      <c r="B530" s="2">
        <f t="shared" si="102"/>
        <v>61.920999999983906</v>
      </c>
      <c r="C530" s="2">
        <f t="shared" si="107"/>
        <v>0</v>
      </c>
      <c r="D530" s="2">
        <f t="shared" si="103"/>
        <v>13.30562800000007</v>
      </c>
      <c r="E530" s="2"/>
      <c r="F530">
        <v>3234.9809255999999</v>
      </c>
      <c r="G530">
        <v>117</v>
      </c>
      <c r="H530">
        <v>351</v>
      </c>
      <c r="I530">
        <v>105.56100000000001</v>
      </c>
      <c r="J530">
        <v>360.56299999999999</v>
      </c>
      <c r="K530">
        <v>118.0878</v>
      </c>
      <c r="L530">
        <v>346.234119999999</v>
      </c>
      <c r="M530">
        <v>322.13763828690099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162.922</v>
      </c>
      <c r="V530">
        <v>0.111</v>
      </c>
      <c r="W530">
        <v>-0.43</v>
      </c>
      <c r="X530">
        <v>0</v>
      </c>
      <c r="Y530" t="b">
        <v>0</v>
      </c>
      <c r="Z530" t="s">
        <v>52</v>
      </c>
      <c r="AA530">
        <f t="shared" si="104"/>
        <v>183.25192919217184</v>
      </c>
      <c r="AB530">
        <f t="shared" si="100"/>
        <v>0</v>
      </c>
      <c r="AC530">
        <f t="shared" si="99"/>
        <v>309.46519645548932</v>
      </c>
      <c r="AD530">
        <f t="shared" si="105"/>
        <v>0</v>
      </c>
      <c r="AE530">
        <f t="shared" ca="1" si="106"/>
        <v>0</v>
      </c>
    </row>
    <row r="531" spans="1:31" x14ac:dyDescent="0.3">
      <c r="A531">
        <f t="shared" si="101"/>
        <v>0</v>
      </c>
      <c r="B531" s="2">
        <f t="shared" si="102"/>
        <v>15.224300000227231</v>
      </c>
      <c r="C531" s="2">
        <f t="shared" si="107"/>
        <v>0</v>
      </c>
      <c r="D531" s="2">
        <f t="shared" si="103"/>
        <v>13.320852300000297</v>
      </c>
      <c r="E531" s="2"/>
      <c r="F531">
        <v>3234.9961499000001</v>
      </c>
      <c r="G531">
        <v>117</v>
      </c>
      <c r="H531">
        <v>351</v>
      </c>
      <c r="I531">
        <v>105.56100000000001</v>
      </c>
      <c r="J531">
        <v>360.56299999999999</v>
      </c>
      <c r="K531">
        <v>118.0878</v>
      </c>
      <c r="L531">
        <v>346.234119999999</v>
      </c>
      <c r="M531">
        <v>322.13763828690099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162.92500000000001</v>
      </c>
      <c r="V531">
        <v>0.111</v>
      </c>
      <c r="W531">
        <v>-0.436</v>
      </c>
      <c r="X531">
        <v>0</v>
      </c>
      <c r="Y531" t="b">
        <v>0</v>
      </c>
      <c r="Z531" t="s">
        <v>52</v>
      </c>
      <c r="AA531">
        <f t="shared" si="104"/>
        <v>183.25192919217184</v>
      </c>
      <c r="AB531">
        <f t="shared" si="100"/>
        <v>0</v>
      </c>
      <c r="AC531">
        <f t="shared" si="99"/>
        <v>309.46519645548932</v>
      </c>
      <c r="AD531">
        <f t="shared" si="105"/>
        <v>0</v>
      </c>
      <c r="AE531">
        <f t="shared" ca="1" si="106"/>
        <v>0</v>
      </c>
    </row>
    <row r="532" spans="1:31" x14ac:dyDescent="0.3">
      <c r="A532">
        <f t="shared" si="101"/>
        <v>0</v>
      </c>
      <c r="B532" s="2">
        <f t="shared" si="102"/>
        <v>15.399099999740429</v>
      </c>
      <c r="C532" s="2">
        <f t="shared" si="107"/>
        <v>0</v>
      </c>
      <c r="D532" s="2">
        <f t="shared" si="103"/>
        <v>13.336251400000037</v>
      </c>
      <c r="E532" s="2"/>
      <c r="F532">
        <v>3235.0115489999998</v>
      </c>
      <c r="G532">
        <v>117</v>
      </c>
      <c r="H532">
        <v>351</v>
      </c>
      <c r="I532">
        <v>105.56100000000001</v>
      </c>
      <c r="J532">
        <v>360.56299999999999</v>
      </c>
      <c r="K532">
        <v>118.0878</v>
      </c>
      <c r="L532">
        <v>346.234119999999</v>
      </c>
      <c r="M532">
        <v>322.13763828690099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162.92500000000001</v>
      </c>
      <c r="V532">
        <v>0.123</v>
      </c>
      <c r="W532">
        <v>-0.436</v>
      </c>
      <c r="X532">
        <v>0</v>
      </c>
      <c r="Y532" t="b">
        <v>0</v>
      </c>
      <c r="Z532" t="s">
        <v>52</v>
      </c>
      <c r="AA532">
        <f t="shared" si="104"/>
        <v>183.25192919217184</v>
      </c>
      <c r="AB532">
        <f t="shared" si="100"/>
        <v>0</v>
      </c>
      <c r="AC532">
        <f t="shared" si="99"/>
        <v>309.46519645548932</v>
      </c>
      <c r="AD532">
        <f t="shared" si="105"/>
        <v>0</v>
      </c>
      <c r="AE532">
        <f t="shared" ca="1" si="106"/>
        <v>0</v>
      </c>
    </row>
    <row r="533" spans="1:31" x14ac:dyDescent="0.3">
      <c r="A533">
        <f t="shared" si="101"/>
        <v>0</v>
      </c>
      <c r="B533" s="2">
        <f t="shared" si="102"/>
        <v>31.043599999975413</v>
      </c>
      <c r="C533" s="2">
        <f t="shared" si="107"/>
        <v>0</v>
      </c>
      <c r="D533" s="2">
        <f t="shared" si="103"/>
        <v>13.367295000000013</v>
      </c>
      <c r="E533" s="2"/>
      <c r="F533">
        <v>3235.0425925999998</v>
      </c>
      <c r="G533">
        <v>117</v>
      </c>
      <c r="H533">
        <v>351</v>
      </c>
      <c r="I533">
        <v>105.56100000000001</v>
      </c>
      <c r="J533">
        <v>360.56299999999999</v>
      </c>
      <c r="K533">
        <v>118.0878</v>
      </c>
      <c r="L533">
        <v>346.234119999999</v>
      </c>
      <c r="M533">
        <v>322.13763828690099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162.928</v>
      </c>
      <c r="V533">
        <v>0.123</v>
      </c>
      <c r="W533">
        <v>-0.441</v>
      </c>
      <c r="X533">
        <v>0</v>
      </c>
      <c r="Y533" t="b">
        <v>0</v>
      </c>
      <c r="Z533" t="s">
        <v>52</v>
      </c>
      <c r="AA533">
        <f t="shared" si="104"/>
        <v>183.25192919217184</v>
      </c>
      <c r="AB533">
        <f t="shared" si="100"/>
        <v>0</v>
      </c>
      <c r="AC533">
        <f t="shared" si="99"/>
        <v>309.46519645548932</v>
      </c>
      <c r="AD533">
        <f t="shared" si="105"/>
        <v>0</v>
      </c>
      <c r="AE533">
        <f t="shared" ca="1" si="106"/>
        <v>0</v>
      </c>
    </row>
    <row r="534" spans="1:31" x14ac:dyDescent="0.3">
      <c r="A534">
        <f t="shared" si="101"/>
        <v>0</v>
      </c>
      <c r="B534" s="2">
        <f t="shared" si="102"/>
        <v>30.140500000015891</v>
      </c>
      <c r="C534" s="2">
        <f t="shared" si="107"/>
        <v>0</v>
      </c>
      <c r="D534" s="2">
        <f t="shared" si="103"/>
        <v>13.397435500000029</v>
      </c>
      <c r="E534" s="2"/>
      <c r="F534">
        <v>3235.0727330999998</v>
      </c>
      <c r="G534">
        <v>117</v>
      </c>
      <c r="H534">
        <v>351</v>
      </c>
      <c r="I534">
        <v>105.56100000000001</v>
      </c>
      <c r="J534">
        <v>360.56299999999999</v>
      </c>
      <c r="K534">
        <v>118.0878</v>
      </c>
      <c r="L534">
        <v>346.234119999999</v>
      </c>
      <c r="M534">
        <v>322.13763828690099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162.928</v>
      </c>
      <c r="V534">
        <v>0.14099999999999999</v>
      </c>
      <c r="W534">
        <v>-0.441</v>
      </c>
      <c r="X534">
        <v>0</v>
      </c>
      <c r="Y534" t="b">
        <v>0</v>
      </c>
      <c r="Z534" t="s">
        <v>52</v>
      </c>
      <c r="AA534">
        <f t="shared" si="104"/>
        <v>183.25192919217184</v>
      </c>
      <c r="AB534">
        <f t="shared" si="100"/>
        <v>0</v>
      </c>
      <c r="AC534">
        <f t="shared" si="99"/>
        <v>309.46519645548932</v>
      </c>
      <c r="AD534">
        <f t="shared" si="105"/>
        <v>0</v>
      </c>
      <c r="AE534">
        <f t="shared" ca="1" si="106"/>
        <v>0</v>
      </c>
    </row>
    <row r="535" spans="1:31" x14ac:dyDescent="0.3">
      <c r="A535">
        <f t="shared" si="101"/>
        <v>0</v>
      </c>
      <c r="B535" s="2">
        <f t="shared" si="102"/>
        <v>31.735400000343361</v>
      </c>
      <c r="C535" s="2">
        <f t="shared" si="107"/>
        <v>0</v>
      </c>
      <c r="D535" s="2">
        <f t="shared" si="103"/>
        <v>13.429170900000372</v>
      </c>
      <c r="E535" s="2"/>
      <c r="F535">
        <v>3235.1044685000002</v>
      </c>
      <c r="G535">
        <v>117</v>
      </c>
      <c r="H535">
        <v>351</v>
      </c>
      <c r="I535">
        <v>105.56100000000001</v>
      </c>
      <c r="J535">
        <v>360.56299999999999</v>
      </c>
      <c r="K535">
        <v>118.0878</v>
      </c>
      <c r="L535">
        <v>346.234119999999</v>
      </c>
      <c r="M535">
        <v>322.13763828690099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162.93100000000001</v>
      </c>
      <c r="V535">
        <v>0.14099999999999999</v>
      </c>
      <c r="W535">
        <v>-0.443</v>
      </c>
      <c r="X535">
        <v>0</v>
      </c>
      <c r="Y535" t="b">
        <v>0</v>
      </c>
      <c r="Z535" t="s">
        <v>52</v>
      </c>
      <c r="AA535">
        <f t="shared" si="104"/>
        <v>183.25192919217184</v>
      </c>
      <c r="AB535">
        <f t="shared" si="100"/>
        <v>0</v>
      </c>
      <c r="AC535">
        <f t="shared" si="99"/>
        <v>309.46519645548932</v>
      </c>
      <c r="AD535">
        <f t="shared" si="105"/>
        <v>0</v>
      </c>
      <c r="AE535">
        <f t="shared" ca="1" si="106"/>
        <v>0</v>
      </c>
    </row>
    <row r="536" spans="1:31" x14ac:dyDescent="0.3">
      <c r="A536">
        <f t="shared" si="101"/>
        <v>0</v>
      </c>
      <c r="B536" s="2">
        <f t="shared" si="102"/>
        <v>31.781799999862415</v>
      </c>
      <c r="C536" s="2">
        <f t="shared" si="107"/>
        <v>0</v>
      </c>
      <c r="D536" s="2">
        <f t="shared" si="103"/>
        <v>13.460952700000234</v>
      </c>
      <c r="E536" s="2"/>
      <c r="F536">
        <v>3235.1362503</v>
      </c>
      <c r="G536">
        <v>117</v>
      </c>
      <c r="H536">
        <v>351</v>
      </c>
      <c r="I536">
        <v>105.56100000000001</v>
      </c>
      <c r="J536">
        <v>360.56299999999999</v>
      </c>
      <c r="K536">
        <v>118.0878</v>
      </c>
      <c r="L536">
        <v>346.234119999999</v>
      </c>
      <c r="M536">
        <v>322.13763828690099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162.93100000000001</v>
      </c>
      <c r="V536">
        <v>0.161</v>
      </c>
      <c r="W536">
        <v>-0.443</v>
      </c>
      <c r="X536">
        <v>0</v>
      </c>
      <c r="Y536" t="b">
        <v>0</v>
      </c>
      <c r="Z536" t="s">
        <v>52</v>
      </c>
      <c r="AA536">
        <f t="shared" si="104"/>
        <v>183.25192919217184</v>
      </c>
      <c r="AB536">
        <f t="shared" si="100"/>
        <v>0</v>
      </c>
      <c r="AC536">
        <f t="shared" si="99"/>
        <v>309.46519645548932</v>
      </c>
      <c r="AD536">
        <f t="shared" si="105"/>
        <v>0</v>
      </c>
      <c r="AE536">
        <f t="shared" ca="1" si="106"/>
        <v>0</v>
      </c>
    </row>
    <row r="537" spans="1:31" x14ac:dyDescent="0.3">
      <c r="A537">
        <f t="shared" si="101"/>
        <v>0</v>
      </c>
      <c r="B537" s="2">
        <f t="shared" si="102"/>
        <v>31.428299999788578</v>
      </c>
      <c r="C537" s="2">
        <f t="shared" si="107"/>
        <v>0</v>
      </c>
      <c r="D537" s="2">
        <f t="shared" si="103"/>
        <v>13.492381000000023</v>
      </c>
      <c r="E537" s="2"/>
      <c r="F537">
        <v>3235.1676785999998</v>
      </c>
      <c r="G537">
        <v>117</v>
      </c>
      <c r="H537">
        <v>351</v>
      </c>
      <c r="I537">
        <v>105.56100000000001</v>
      </c>
      <c r="J537">
        <v>360.56299999999999</v>
      </c>
      <c r="K537">
        <v>118.0878</v>
      </c>
      <c r="L537">
        <v>346.234119999999</v>
      </c>
      <c r="M537">
        <v>322.13763828690099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162.934</v>
      </c>
      <c r="V537">
        <v>0.161</v>
      </c>
      <c r="W537">
        <v>-0.441</v>
      </c>
      <c r="X537">
        <v>0</v>
      </c>
      <c r="Y537" t="b">
        <v>0</v>
      </c>
      <c r="Z537" t="s">
        <v>52</v>
      </c>
      <c r="AA537">
        <f t="shared" si="104"/>
        <v>183.25192919217184</v>
      </c>
      <c r="AB537">
        <f t="shared" si="100"/>
        <v>0</v>
      </c>
      <c r="AC537">
        <f t="shared" si="99"/>
        <v>309.46519645548932</v>
      </c>
      <c r="AD537">
        <f t="shared" si="105"/>
        <v>0</v>
      </c>
      <c r="AE537">
        <f t="shared" ca="1" si="106"/>
        <v>0</v>
      </c>
    </row>
    <row r="538" spans="1:31" x14ac:dyDescent="0.3">
      <c r="A538">
        <f t="shared" si="101"/>
        <v>0</v>
      </c>
      <c r="B538" s="2">
        <f t="shared" si="102"/>
        <v>30.700499999966269</v>
      </c>
      <c r="C538" s="2">
        <f t="shared" si="107"/>
        <v>0</v>
      </c>
      <c r="D538" s="2">
        <f t="shared" si="103"/>
        <v>13.523081499999989</v>
      </c>
      <c r="E538" s="2"/>
      <c r="F538">
        <v>3235.1983790999998</v>
      </c>
      <c r="G538">
        <v>117</v>
      </c>
      <c r="H538">
        <v>351</v>
      </c>
      <c r="I538">
        <v>105.56100000000001</v>
      </c>
      <c r="J538">
        <v>360.56299999999999</v>
      </c>
      <c r="K538">
        <v>118.0878</v>
      </c>
      <c r="L538">
        <v>346.234119999999</v>
      </c>
      <c r="M538">
        <v>322.13763828690099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162.934</v>
      </c>
      <c r="V538">
        <v>0.16500000000000001</v>
      </c>
      <c r="W538">
        <v>-0.441</v>
      </c>
      <c r="X538">
        <v>0</v>
      </c>
      <c r="Y538" t="b">
        <v>0</v>
      </c>
      <c r="Z538" t="s">
        <v>52</v>
      </c>
      <c r="AA538">
        <f t="shared" si="104"/>
        <v>183.25192919217184</v>
      </c>
      <c r="AB538">
        <f t="shared" si="100"/>
        <v>0</v>
      </c>
      <c r="AC538">
        <f t="shared" si="99"/>
        <v>309.46519645548932</v>
      </c>
      <c r="AD538">
        <f t="shared" si="105"/>
        <v>0</v>
      </c>
      <c r="AE538">
        <f t="shared" ca="1" si="106"/>
        <v>0</v>
      </c>
    </row>
    <row r="539" spans="1:31" x14ac:dyDescent="0.3">
      <c r="A539">
        <f t="shared" si="101"/>
        <v>0</v>
      </c>
      <c r="B539" s="2">
        <f t="shared" si="102"/>
        <v>31.997200000205339</v>
      </c>
      <c r="C539" s="2">
        <f t="shared" si="107"/>
        <v>0</v>
      </c>
      <c r="D539" s="2">
        <f t="shared" si="103"/>
        <v>13.555078700000195</v>
      </c>
      <c r="E539" s="2"/>
      <c r="F539">
        <v>3235.2303763</v>
      </c>
      <c r="G539">
        <v>117</v>
      </c>
      <c r="H539">
        <v>351</v>
      </c>
      <c r="I539">
        <v>105.56100000000001</v>
      </c>
      <c r="J539">
        <v>360.56299999999999</v>
      </c>
      <c r="K539">
        <v>118.0878</v>
      </c>
      <c r="L539">
        <v>346.234119999999</v>
      </c>
      <c r="M539">
        <v>322.13763828690099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162.93799999999999</v>
      </c>
      <c r="V539">
        <v>0.16500000000000001</v>
      </c>
      <c r="W539">
        <v>-0.44900000000000001</v>
      </c>
      <c r="X539">
        <v>0</v>
      </c>
      <c r="Y539" t="b">
        <v>0</v>
      </c>
      <c r="Z539" t="s">
        <v>52</v>
      </c>
      <c r="AA539">
        <f t="shared" si="104"/>
        <v>183.25192919217184</v>
      </c>
      <c r="AB539">
        <f t="shared" si="100"/>
        <v>0</v>
      </c>
      <c r="AC539">
        <f t="shared" si="99"/>
        <v>309.46519645548932</v>
      </c>
      <c r="AD539">
        <f t="shared" si="105"/>
        <v>0</v>
      </c>
      <c r="AE539">
        <f t="shared" ca="1" si="106"/>
        <v>0</v>
      </c>
    </row>
    <row r="540" spans="1:31" x14ac:dyDescent="0.3">
      <c r="A540">
        <f t="shared" si="101"/>
        <v>0</v>
      </c>
      <c r="B540" s="2">
        <f t="shared" si="102"/>
        <v>31.927399999858608</v>
      </c>
      <c r="C540" s="2">
        <f t="shared" si="107"/>
        <v>0</v>
      </c>
      <c r="D540" s="2">
        <f t="shared" si="103"/>
        <v>13.587006100000053</v>
      </c>
      <c r="E540" s="2"/>
      <c r="F540">
        <v>3235.2623036999998</v>
      </c>
      <c r="G540">
        <v>117</v>
      </c>
      <c r="H540">
        <v>351</v>
      </c>
      <c r="I540">
        <v>105.56100000000001</v>
      </c>
      <c r="J540">
        <v>360.56299999999999</v>
      </c>
      <c r="K540">
        <v>118.0878</v>
      </c>
      <c r="L540">
        <v>346.234119999999</v>
      </c>
      <c r="M540">
        <v>322.13763828690099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162.93799999999999</v>
      </c>
      <c r="V540">
        <v>0.18</v>
      </c>
      <c r="W540">
        <v>-0.44900000000000001</v>
      </c>
      <c r="X540">
        <v>0</v>
      </c>
      <c r="Y540" t="b">
        <v>0</v>
      </c>
      <c r="Z540" t="s">
        <v>52</v>
      </c>
      <c r="AA540">
        <f t="shared" si="104"/>
        <v>183.25192919217184</v>
      </c>
      <c r="AB540">
        <f t="shared" si="100"/>
        <v>0</v>
      </c>
      <c r="AC540">
        <f t="shared" si="99"/>
        <v>309.46519645548932</v>
      </c>
      <c r="AD540">
        <f t="shared" si="105"/>
        <v>0</v>
      </c>
      <c r="AE540">
        <f t="shared" ca="1" si="106"/>
        <v>0</v>
      </c>
    </row>
    <row r="541" spans="1:31" x14ac:dyDescent="0.3">
      <c r="A541">
        <f t="shared" si="101"/>
        <v>0</v>
      </c>
      <c r="B541" s="2">
        <f t="shared" si="102"/>
        <v>32.066900000245369</v>
      </c>
      <c r="C541" s="2">
        <f t="shared" si="107"/>
        <v>0</v>
      </c>
      <c r="D541" s="2">
        <f t="shared" si="103"/>
        <v>13.619073000000299</v>
      </c>
      <c r="E541" s="2"/>
      <c r="F541">
        <v>3235.2943706000001</v>
      </c>
      <c r="G541">
        <v>117</v>
      </c>
      <c r="H541">
        <v>351</v>
      </c>
      <c r="I541">
        <v>105.56100000000001</v>
      </c>
      <c r="J541">
        <v>360.56299999999999</v>
      </c>
      <c r="K541">
        <v>118.0878</v>
      </c>
      <c r="L541">
        <v>346.234119999999</v>
      </c>
      <c r="M541">
        <v>322.13763828690099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162.941</v>
      </c>
      <c r="V541">
        <v>0.18</v>
      </c>
      <c r="W541">
        <v>-0.45400000000000001</v>
      </c>
      <c r="X541">
        <v>0</v>
      </c>
      <c r="Y541" t="b">
        <v>0</v>
      </c>
      <c r="Z541" t="s">
        <v>52</v>
      </c>
      <c r="AA541">
        <f t="shared" si="104"/>
        <v>183.25192919217184</v>
      </c>
      <c r="AB541">
        <f t="shared" si="100"/>
        <v>0</v>
      </c>
      <c r="AC541">
        <f t="shared" si="99"/>
        <v>309.46519645548932</v>
      </c>
      <c r="AD541">
        <f t="shared" si="105"/>
        <v>0</v>
      </c>
      <c r="AE541">
        <f t="shared" ca="1" si="106"/>
        <v>0</v>
      </c>
    </row>
    <row r="542" spans="1:31" x14ac:dyDescent="0.3">
      <c r="A542">
        <f t="shared" si="101"/>
        <v>0</v>
      </c>
      <c r="B542" s="2">
        <f t="shared" si="102"/>
        <v>31.13919999987047</v>
      </c>
      <c r="C542" s="2">
        <f t="shared" si="107"/>
        <v>0</v>
      </c>
      <c r="D542" s="2">
        <f t="shared" si="103"/>
        <v>13.650212200000169</v>
      </c>
      <c r="E542" s="2"/>
      <c r="F542">
        <v>3235.3255098</v>
      </c>
      <c r="G542">
        <v>117</v>
      </c>
      <c r="H542">
        <v>351</v>
      </c>
      <c r="I542">
        <v>105.56100000000001</v>
      </c>
      <c r="J542">
        <v>360.56299999999999</v>
      </c>
      <c r="K542">
        <v>118.0878</v>
      </c>
      <c r="L542">
        <v>346.234119999999</v>
      </c>
      <c r="M542">
        <v>322.13763828690099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162.941</v>
      </c>
      <c r="V542">
        <v>0.19800000000000001</v>
      </c>
      <c r="W542">
        <v>-0.45400000000000001</v>
      </c>
      <c r="X542">
        <v>0</v>
      </c>
      <c r="Y542" t="b">
        <v>0</v>
      </c>
      <c r="Z542" t="s">
        <v>52</v>
      </c>
      <c r="AA542">
        <f t="shared" si="104"/>
        <v>183.25192919217184</v>
      </c>
      <c r="AB542">
        <f t="shared" si="100"/>
        <v>0</v>
      </c>
      <c r="AC542">
        <f t="shared" si="99"/>
        <v>309.46519645548932</v>
      </c>
      <c r="AD542">
        <f t="shared" si="105"/>
        <v>0</v>
      </c>
      <c r="AE542">
        <f t="shared" ca="1" si="106"/>
        <v>0</v>
      </c>
    </row>
    <row r="543" spans="1:31" x14ac:dyDescent="0.3">
      <c r="A543">
        <f t="shared" si="101"/>
        <v>0</v>
      </c>
      <c r="B543" s="2">
        <f t="shared" si="102"/>
        <v>30.791099999987637</v>
      </c>
      <c r="C543" s="2">
        <f t="shared" si="107"/>
        <v>0</v>
      </c>
      <c r="D543" s="2">
        <f t="shared" si="103"/>
        <v>13.681003300000157</v>
      </c>
      <c r="E543" s="2"/>
      <c r="F543">
        <v>3235.3563009</v>
      </c>
      <c r="G543">
        <v>117</v>
      </c>
      <c r="H543">
        <v>351</v>
      </c>
      <c r="I543">
        <v>105.56100000000001</v>
      </c>
      <c r="J543">
        <v>360.56299999999999</v>
      </c>
      <c r="K543">
        <v>118.0878</v>
      </c>
      <c r="L543">
        <v>346.234119999999</v>
      </c>
      <c r="M543">
        <v>322.13763828690099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162.946</v>
      </c>
      <c r="V543">
        <v>0.19800000000000001</v>
      </c>
      <c r="W543">
        <v>-0.45800000000000002</v>
      </c>
      <c r="X543">
        <v>0</v>
      </c>
      <c r="Y543" t="b">
        <v>0</v>
      </c>
      <c r="Z543" t="s">
        <v>52</v>
      </c>
      <c r="AA543">
        <f t="shared" si="104"/>
        <v>183.25192919217184</v>
      </c>
      <c r="AB543">
        <f t="shared" si="100"/>
        <v>0</v>
      </c>
      <c r="AC543">
        <f t="shared" si="99"/>
        <v>309.46519645548932</v>
      </c>
      <c r="AD543">
        <f t="shared" si="105"/>
        <v>0</v>
      </c>
      <c r="AE543">
        <f t="shared" ca="1" si="106"/>
        <v>0</v>
      </c>
    </row>
    <row r="544" spans="1:31" x14ac:dyDescent="0.3">
      <c r="A544">
        <f t="shared" si="101"/>
        <v>0</v>
      </c>
      <c r="B544" s="2">
        <f t="shared" si="102"/>
        <v>31.302800000048592</v>
      </c>
      <c r="C544" s="2">
        <f t="shared" si="107"/>
        <v>0</v>
      </c>
      <c r="D544" s="2">
        <f t="shared" si="103"/>
        <v>13.712306100000205</v>
      </c>
      <c r="E544" s="2"/>
      <c r="F544">
        <v>3235.3876037</v>
      </c>
      <c r="G544">
        <v>117</v>
      </c>
      <c r="H544">
        <v>351</v>
      </c>
      <c r="I544">
        <v>105.56100000000001</v>
      </c>
      <c r="J544">
        <v>360.56299999999999</v>
      </c>
      <c r="K544">
        <v>118.0878</v>
      </c>
      <c r="L544">
        <v>346.234119999999</v>
      </c>
      <c r="M544">
        <v>322.13763828690099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162.946</v>
      </c>
      <c r="V544">
        <v>0.214</v>
      </c>
      <c r="W544">
        <v>-0.45800000000000002</v>
      </c>
      <c r="X544">
        <v>0</v>
      </c>
      <c r="Y544" t="b">
        <v>0</v>
      </c>
      <c r="Z544" t="s">
        <v>52</v>
      </c>
      <c r="AA544">
        <f t="shared" si="104"/>
        <v>183.25192919217184</v>
      </c>
      <c r="AB544">
        <f t="shared" si="100"/>
        <v>0</v>
      </c>
      <c r="AC544">
        <f t="shared" si="99"/>
        <v>309.46519645548932</v>
      </c>
      <c r="AD544">
        <f t="shared" si="105"/>
        <v>0</v>
      </c>
      <c r="AE544">
        <f t="shared" ca="1" si="106"/>
        <v>0</v>
      </c>
    </row>
    <row r="545" spans="1:31" x14ac:dyDescent="0.3">
      <c r="A545">
        <f t="shared" si="101"/>
        <v>0</v>
      </c>
      <c r="B545" s="2">
        <f t="shared" si="102"/>
        <v>46.655799999825831</v>
      </c>
      <c r="C545" s="2">
        <f t="shared" si="107"/>
        <v>0</v>
      </c>
      <c r="D545" s="2">
        <f t="shared" si="103"/>
        <v>13.758961900000031</v>
      </c>
      <c r="E545" s="2"/>
      <c r="F545">
        <v>3235.4342594999998</v>
      </c>
      <c r="G545">
        <v>117</v>
      </c>
      <c r="H545">
        <v>351</v>
      </c>
      <c r="I545">
        <v>105.56100000000001</v>
      </c>
      <c r="J545">
        <v>360.56299999999999</v>
      </c>
      <c r="K545">
        <v>118.0878</v>
      </c>
      <c r="L545">
        <v>346.234119999999</v>
      </c>
      <c r="M545">
        <v>322.13763828690099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162.94800000000001</v>
      </c>
      <c r="V545">
        <v>0.214</v>
      </c>
      <c r="W545">
        <v>-0.45300000000000001</v>
      </c>
      <c r="X545">
        <v>0</v>
      </c>
      <c r="Y545" t="b">
        <v>0</v>
      </c>
      <c r="Z545" t="s">
        <v>52</v>
      </c>
      <c r="AA545">
        <f t="shared" si="104"/>
        <v>183.25192919217184</v>
      </c>
      <c r="AB545">
        <f t="shared" si="100"/>
        <v>0</v>
      </c>
      <c r="AC545">
        <f t="shared" si="99"/>
        <v>309.46519645548932</v>
      </c>
      <c r="AD545">
        <f t="shared" si="105"/>
        <v>0</v>
      </c>
      <c r="AE545">
        <f t="shared" ca="1" si="106"/>
        <v>0</v>
      </c>
    </row>
    <row r="546" spans="1:31" x14ac:dyDescent="0.3">
      <c r="A546">
        <f t="shared" si="101"/>
        <v>0</v>
      </c>
      <c r="B546" s="2">
        <f t="shared" si="102"/>
        <v>30.510600000070554</v>
      </c>
      <c r="C546" s="2">
        <f t="shared" si="107"/>
        <v>0</v>
      </c>
      <c r="D546" s="2">
        <f t="shared" si="103"/>
        <v>13.789472500000102</v>
      </c>
      <c r="E546" s="2"/>
      <c r="F546">
        <v>3235.4647700999999</v>
      </c>
      <c r="G546">
        <v>117</v>
      </c>
      <c r="H546">
        <v>351</v>
      </c>
      <c r="I546">
        <v>105.56100000000001</v>
      </c>
      <c r="J546">
        <v>360.56299999999999</v>
      </c>
      <c r="K546">
        <v>118.0878</v>
      </c>
      <c r="L546">
        <v>346.234119999999</v>
      </c>
      <c r="M546">
        <v>322.13763828690099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162.94800000000001</v>
      </c>
      <c r="V546">
        <v>0.22600000000000001</v>
      </c>
      <c r="W546">
        <v>-0.45300000000000001</v>
      </c>
      <c r="X546">
        <v>0</v>
      </c>
      <c r="Y546" t="b">
        <v>0</v>
      </c>
      <c r="Z546" t="s">
        <v>52</v>
      </c>
      <c r="AA546">
        <f t="shared" si="104"/>
        <v>183.25192919217184</v>
      </c>
      <c r="AB546">
        <f t="shared" ref="AB546:AB577" si="108">R546*100</f>
        <v>0</v>
      </c>
      <c r="AC546">
        <f t="shared" si="99"/>
        <v>309.46519645548932</v>
      </c>
      <c r="AD546">
        <f t="shared" si="105"/>
        <v>0</v>
      </c>
      <c r="AE546">
        <f t="shared" ca="1" si="106"/>
        <v>0</v>
      </c>
    </row>
    <row r="547" spans="1:31" x14ac:dyDescent="0.3">
      <c r="A547">
        <f t="shared" si="101"/>
        <v>0</v>
      </c>
      <c r="B547" s="2">
        <f t="shared" si="102"/>
        <v>32.612200000130542</v>
      </c>
      <c r="C547" s="2">
        <f t="shared" si="107"/>
        <v>0</v>
      </c>
      <c r="D547" s="2">
        <f t="shared" si="103"/>
        <v>13.822084700000232</v>
      </c>
      <c r="E547" s="2"/>
      <c r="F547">
        <v>3235.4973823</v>
      </c>
      <c r="G547">
        <v>117</v>
      </c>
      <c r="H547">
        <v>351</v>
      </c>
      <c r="I547">
        <v>105.56100000000001</v>
      </c>
      <c r="J547">
        <v>360.56299999999999</v>
      </c>
      <c r="K547">
        <v>118.0878</v>
      </c>
      <c r="L547">
        <v>346.234119999999</v>
      </c>
      <c r="M547">
        <v>322.13763828690099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162.94999999999999</v>
      </c>
      <c r="V547">
        <v>0.22600000000000001</v>
      </c>
      <c r="W547">
        <v>-0.45900000000000002</v>
      </c>
      <c r="X547">
        <v>0</v>
      </c>
      <c r="Y547" t="b">
        <v>0</v>
      </c>
      <c r="Z547" t="s">
        <v>52</v>
      </c>
      <c r="AA547">
        <f t="shared" si="104"/>
        <v>183.25192919217184</v>
      </c>
      <c r="AB547">
        <f t="shared" si="108"/>
        <v>0</v>
      </c>
      <c r="AC547">
        <f t="shared" si="99"/>
        <v>309.46519645548932</v>
      </c>
      <c r="AD547">
        <f t="shared" si="105"/>
        <v>0</v>
      </c>
      <c r="AE547">
        <f t="shared" ca="1" si="106"/>
        <v>0</v>
      </c>
    </row>
    <row r="548" spans="1:31" x14ac:dyDescent="0.3">
      <c r="A548">
        <f t="shared" si="101"/>
        <v>0</v>
      </c>
      <c r="B548" s="2">
        <f t="shared" si="102"/>
        <v>30.604900000071211</v>
      </c>
      <c r="C548" s="2">
        <f t="shared" si="107"/>
        <v>0</v>
      </c>
      <c r="D548" s="2">
        <f t="shared" si="103"/>
        <v>13.852689600000303</v>
      </c>
      <c r="E548" s="2"/>
      <c r="F548">
        <v>3235.5279872000001</v>
      </c>
      <c r="G548">
        <v>117</v>
      </c>
      <c r="H548">
        <v>351</v>
      </c>
      <c r="I548">
        <v>105.56100000000001</v>
      </c>
      <c r="J548">
        <v>360.56299999999999</v>
      </c>
      <c r="K548">
        <v>118.0878</v>
      </c>
      <c r="L548">
        <v>346.234119999999</v>
      </c>
      <c r="M548">
        <v>322.13763828690099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162.94999999999999</v>
      </c>
      <c r="V548">
        <v>0.248</v>
      </c>
      <c r="W548">
        <v>-0.45900000000000002</v>
      </c>
      <c r="X548">
        <v>0</v>
      </c>
      <c r="Y548" t="b">
        <v>0</v>
      </c>
      <c r="Z548" t="s">
        <v>52</v>
      </c>
      <c r="AA548">
        <f t="shared" si="104"/>
        <v>183.25192919217184</v>
      </c>
      <c r="AB548">
        <f t="shared" si="108"/>
        <v>0</v>
      </c>
      <c r="AC548">
        <f t="shared" si="99"/>
        <v>309.46519645548932</v>
      </c>
      <c r="AD548">
        <f t="shared" si="105"/>
        <v>0</v>
      </c>
      <c r="AE548">
        <f t="shared" ca="1" si="106"/>
        <v>0</v>
      </c>
    </row>
    <row r="549" spans="1:31" x14ac:dyDescent="0.3">
      <c r="A549">
        <f t="shared" si="101"/>
        <v>0</v>
      </c>
      <c r="B549" s="2">
        <f t="shared" si="102"/>
        <v>31.256700000085402</v>
      </c>
      <c r="C549" s="2">
        <f t="shared" si="107"/>
        <v>0</v>
      </c>
      <c r="D549" s="2">
        <f t="shared" si="103"/>
        <v>13.883946300000389</v>
      </c>
      <c r="E549" s="2"/>
      <c r="F549">
        <v>3235.5592439000002</v>
      </c>
      <c r="G549">
        <v>117</v>
      </c>
      <c r="H549">
        <v>351</v>
      </c>
      <c r="I549">
        <v>105.56100000000001</v>
      </c>
      <c r="J549">
        <v>360.56299999999999</v>
      </c>
      <c r="K549">
        <v>118.0878</v>
      </c>
      <c r="L549">
        <v>346.234119999999</v>
      </c>
      <c r="M549">
        <v>322.13763828690099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162.95400000000001</v>
      </c>
      <c r="V549">
        <v>0.248</v>
      </c>
      <c r="W549">
        <v>-0.44900000000000001</v>
      </c>
      <c r="X549">
        <v>0</v>
      </c>
      <c r="Y549" t="b">
        <v>0</v>
      </c>
      <c r="Z549" t="s">
        <v>52</v>
      </c>
      <c r="AA549">
        <f t="shared" si="104"/>
        <v>183.25192919217184</v>
      </c>
      <c r="AB549">
        <f t="shared" si="108"/>
        <v>0</v>
      </c>
      <c r="AC549">
        <f t="shared" si="99"/>
        <v>309.46519645548932</v>
      </c>
      <c r="AD549">
        <f t="shared" si="105"/>
        <v>0</v>
      </c>
      <c r="AE549">
        <f t="shared" ca="1" si="106"/>
        <v>0</v>
      </c>
    </row>
    <row r="550" spans="1:31" x14ac:dyDescent="0.3">
      <c r="A550">
        <f t="shared" si="101"/>
        <v>0</v>
      </c>
      <c r="B550" s="2">
        <f t="shared" si="102"/>
        <v>30.726999999842519</v>
      </c>
      <c r="C550" s="2">
        <f t="shared" si="107"/>
        <v>0</v>
      </c>
      <c r="D550" s="2">
        <f t="shared" si="103"/>
        <v>13.914673300000231</v>
      </c>
      <c r="E550" s="2"/>
      <c r="F550">
        <v>3235.5899709</v>
      </c>
      <c r="G550">
        <v>117</v>
      </c>
      <c r="H550">
        <v>351</v>
      </c>
      <c r="I550">
        <v>105.56100000000001</v>
      </c>
      <c r="J550">
        <v>360.56299999999999</v>
      </c>
      <c r="K550">
        <v>118.0878</v>
      </c>
      <c r="L550">
        <v>346.234119999999</v>
      </c>
      <c r="M550">
        <v>322.13763828690099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162.95400000000001</v>
      </c>
      <c r="V550">
        <v>0.25700000000000001</v>
      </c>
      <c r="W550">
        <v>-0.44900000000000001</v>
      </c>
      <c r="X550">
        <v>0</v>
      </c>
      <c r="Y550" t="b">
        <v>0</v>
      </c>
      <c r="Z550" t="s">
        <v>52</v>
      </c>
      <c r="AA550">
        <f t="shared" si="104"/>
        <v>183.25192919217184</v>
      </c>
      <c r="AB550">
        <f t="shared" si="108"/>
        <v>0</v>
      </c>
      <c r="AC550">
        <f t="shared" si="99"/>
        <v>309.46519645548932</v>
      </c>
      <c r="AD550">
        <f t="shared" si="105"/>
        <v>0</v>
      </c>
      <c r="AE550">
        <f t="shared" ca="1" si="106"/>
        <v>0</v>
      </c>
    </row>
    <row r="551" spans="1:31" x14ac:dyDescent="0.3">
      <c r="A551">
        <f t="shared" si="101"/>
        <v>0</v>
      </c>
      <c r="B551" s="2">
        <f t="shared" si="102"/>
        <v>30.494399999952293</v>
      </c>
      <c r="C551" s="2">
        <f t="shared" si="107"/>
        <v>0</v>
      </c>
      <c r="D551" s="2">
        <f t="shared" si="103"/>
        <v>13.945167700000184</v>
      </c>
      <c r="E551" s="2"/>
      <c r="F551">
        <v>3235.6204653</v>
      </c>
      <c r="G551">
        <v>117</v>
      </c>
      <c r="H551">
        <v>351</v>
      </c>
      <c r="I551">
        <v>105.56100000000001</v>
      </c>
      <c r="J551">
        <v>360.56299999999999</v>
      </c>
      <c r="K551">
        <v>118.0878</v>
      </c>
      <c r="L551">
        <v>346.234119999999</v>
      </c>
      <c r="M551">
        <v>322.13763828690099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162.95699999999999</v>
      </c>
      <c r="V551">
        <v>0.25700000000000001</v>
      </c>
      <c r="W551">
        <v>-0.441</v>
      </c>
      <c r="X551">
        <v>0</v>
      </c>
      <c r="Y551" t="b">
        <v>0</v>
      </c>
      <c r="Z551" t="s">
        <v>52</v>
      </c>
      <c r="AA551">
        <f t="shared" si="104"/>
        <v>183.25192919217184</v>
      </c>
      <c r="AB551">
        <f t="shared" si="108"/>
        <v>0</v>
      </c>
      <c r="AC551">
        <f t="shared" si="99"/>
        <v>309.46519645548932</v>
      </c>
      <c r="AD551">
        <f t="shared" si="105"/>
        <v>0</v>
      </c>
      <c r="AE551">
        <f t="shared" ca="1" si="106"/>
        <v>0</v>
      </c>
    </row>
    <row r="552" spans="1:31" x14ac:dyDescent="0.3">
      <c r="A552">
        <f t="shared" si="101"/>
        <v>0</v>
      </c>
      <c r="B552" s="2">
        <f t="shared" si="102"/>
        <v>46.863699999903474</v>
      </c>
      <c r="C552" s="2">
        <f t="shared" si="107"/>
        <v>0</v>
      </c>
      <c r="D552" s="2">
        <f t="shared" si="103"/>
        <v>13.992031400000087</v>
      </c>
      <c r="E552" s="2"/>
      <c r="F552">
        <v>3235.6673289999999</v>
      </c>
      <c r="G552">
        <v>117</v>
      </c>
      <c r="H552">
        <v>351</v>
      </c>
      <c r="I552">
        <v>105.56100000000001</v>
      </c>
      <c r="J552">
        <v>360.56299999999999</v>
      </c>
      <c r="K552">
        <v>118.0878</v>
      </c>
      <c r="L552">
        <v>346.234119999999</v>
      </c>
      <c r="M552">
        <v>322.13763828690099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162.95699999999999</v>
      </c>
      <c r="V552">
        <v>0.27600000000000002</v>
      </c>
      <c r="W552">
        <v>-0.441</v>
      </c>
      <c r="X552">
        <v>0</v>
      </c>
      <c r="Y552" t="b">
        <v>0</v>
      </c>
      <c r="Z552" t="s">
        <v>52</v>
      </c>
      <c r="AA552">
        <f t="shared" si="104"/>
        <v>183.25192919217184</v>
      </c>
      <c r="AB552">
        <f t="shared" si="108"/>
        <v>0</v>
      </c>
      <c r="AC552">
        <f t="shared" si="99"/>
        <v>309.46519645548932</v>
      </c>
      <c r="AD552">
        <f t="shared" si="105"/>
        <v>0</v>
      </c>
      <c r="AE552">
        <f t="shared" ca="1" si="106"/>
        <v>0</v>
      </c>
    </row>
    <row r="553" spans="1:31" x14ac:dyDescent="0.3">
      <c r="A553">
        <f t="shared" si="101"/>
        <v>0</v>
      </c>
      <c r="B553" s="2">
        <f t="shared" si="102"/>
        <v>31.841299999996409</v>
      </c>
      <c r="C553" s="2">
        <f t="shared" si="107"/>
        <v>0</v>
      </c>
      <c r="D553" s="2">
        <f t="shared" si="103"/>
        <v>14.023872700000084</v>
      </c>
      <c r="E553" s="2"/>
      <c r="F553">
        <v>3235.6991702999999</v>
      </c>
      <c r="G553">
        <v>117</v>
      </c>
      <c r="H553">
        <v>351</v>
      </c>
      <c r="I553">
        <v>105.56100000000001</v>
      </c>
      <c r="J553">
        <v>360.56299999999999</v>
      </c>
      <c r="K553">
        <v>118.0878</v>
      </c>
      <c r="L553">
        <v>346.234119999999</v>
      </c>
      <c r="M553">
        <v>322.13763828690099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162.96</v>
      </c>
      <c r="V553">
        <v>0.27600000000000002</v>
      </c>
      <c r="W553">
        <v>-0.44600000000000001</v>
      </c>
      <c r="X553">
        <v>0</v>
      </c>
      <c r="Y553" t="b">
        <v>0</v>
      </c>
      <c r="Z553" t="s">
        <v>52</v>
      </c>
      <c r="AA553">
        <f t="shared" si="104"/>
        <v>183.25192919217184</v>
      </c>
      <c r="AB553">
        <f t="shared" si="108"/>
        <v>0</v>
      </c>
      <c r="AC553">
        <f t="shared" si="99"/>
        <v>309.46519645548932</v>
      </c>
      <c r="AD553">
        <f t="shared" si="105"/>
        <v>0</v>
      </c>
      <c r="AE553">
        <f t="shared" ca="1" si="106"/>
        <v>0</v>
      </c>
    </row>
    <row r="554" spans="1:31" x14ac:dyDescent="0.3">
      <c r="A554">
        <f t="shared" si="101"/>
        <v>0</v>
      </c>
      <c r="B554" s="2">
        <f t="shared" si="102"/>
        <v>30.128599999898142</v>
      </c>
      <c r="C554" s="2">
        <f t="shared" si="107"/>
        <v>0</v>
      </c>
      <c r="D554" s="2">
        <f t="shared" si="103"/>
        <v>14.054001299999982</v>
      </c>
      <c r="E554" s="2"/>
      <c r="F554">
        <v>3235.7292988999998</v>
      </c>
      <c r="G554">
        <v>117</v>
      </c>
      <c r="H554">
        <v>351</v>
      </c>
      <c r="I554">
        <v>105.56100000000001</v>
      </c>
      <c r="J554">
        <v>360.56299999999999</v>
      </c>
      <c r="K554">
        <v>118.0878</v>
      </c>
      <c r="L554">
        <v>346.234119999999</v>
      </c>
      <c r="M554">
        <v>322.13763828690099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162.96</v>
      </c>
      <c r="V554">
        <v>0.28299999999999997</v>
      </c>
      <c r="W554">
        <v>-0.44600000000000001</v>
      </c>
      <c r="X554">
        <v>0</v>
      </c>
      <c r="Y554" t="b">
        <v>0</v>
      </c>
      <c r="Z554" t="s">
        <v>52</v>
      </c>
      <c r="AA554">
        <f t="shared" si="104"/>
        <v>183.25192919217184</v>
      </c>
      <c r="AB554">
        <f t="shared" si="108"/>
        <v>0</v>
      </c>
      <c r="AC554">
        <f t="shared" si="99"/>
        <v>309.46519645548932</v>
      </c>
      <c r="AD554">
        <f t="shared" si="105"/>
        <v>0</v>
      </c>
      <c r="AE554">
        <f t="shared" ca="1" si="106"/>
        <v>0</v>
      </c>
    </row>
    <row r="555" spans="1:31" x14ac:dyDescent="0.3">
      <c r="A555">
        <f t="shared" si="101"/>
        <v>0</v>
      </c>
      <c r="B555" s="2">
        <f t="shared" si="102"/>
        <v>15.428200000314973</v>
      </c>
      <c r="C555" s="2">
        <f t="shared" si="107"/>
        <v>0</v>
      </c>
      <c r="D555" s="2">
        <f t="shared" si="103"/>
        <v>14.069429500000297</v>
      </c>
      <c r="E555" s="2"/>
      <c r="F555">
        <v>3235.7447271000001</v>
      </c>
      <c r="G555">
        <v>117</v>
      </c>
      <c r="H555">
        <v>351</v>
      </c>
      <c r="I555">
        <v>105.56100000000001</v>
      </c>
      <c r="J555">
        <v>360.56299999999999</v>
      </c>
      <c r="K555">
        <v>118.0878</v>
      </c>
      <c r="L555">
        <v>346.234119999999</v>
      </c>
      <c r="M555">
        <v>322.13763828690099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162.96299999999999</v>
      </c>
      <c r="V555">
        <v>0.28299999999999997</v>
      </c>
      <c r="W555">
        <v>-0.45400000000000001</v>
      </c>
      <c r="X555">
        <v>0</v>
      </c>
      <c r="Y555" t="b">
        <v>0</v>
      </c>
      <c r="Z555" t="s">
        <v>52</v>
      </c>
      <c r="AA555">
        <f t="shared" si="104"/>
        <v>183.25192919217184</v>
      </c>
      <c r="AB555">
        <f t="shared" si="108"/>
        <v>0</v>
      </c>
      <c r="AC555">
        <f t="shared" si="99"/>
        <v>309.46519645548932</v>
      </c>
      <c r="AD555">
        <f t="shared" si="105"/>
        <v>0</v>
      </c>
      <c r="AE555">
        <f t="shared" ca="1" si="106"/>
        <v>0</v>
      </c>
    </row>
    <row r="556" spans="1:31" x14ac:dyDescent="0.3">
      <c r="A556">
        <f t="shared" si="101"/>
        <v>0</v>
      </c>
      <c r="B556" s="2">
        <f t="shared" si="102"/>
        <v>31.502999999702297</v>
      </c>
      <c r="C556" s="2">
        <f t="shared" si="107"/>
        <v>0</v>
      </c>
      <c r="D556" s="2">
        <f t="shared" si="103"/>
        <v>14.100932499999999</v>
      </c>
      <c r="E556" s="2"/>
      <c r="F556">
        <v>3235.7762300999998</v>
      </c>
      <c r="G556">
        <v>117</v>
      </c>
      <c r="H556">
        <v>351</v>
      </c>
      <c r="I556">
        <v>105.56100000000001</v>
      </c>
      <c r="J556">
        <v>360.56299999999999</v>
      </c>
      <c r="K556">
        <v>118.0878</v>
      </c>
      <c r="L556">
        <v>346.234119999999</v>
      </c>
      <c r="M556">
        <v>322.13763828690099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162.96299999999999</v>
      </c>
      <c r="V556">
        <v>0.29499999999999998</v>
      </c>
      <c r="W556">
        <v>-0.45400000000000001</v>
      </c>
      <c r="X556">
        <v>0</v>
      </c>
      <c r="Y556" t="b">
        <v>0</v>
      </c>
      <c r="Z556" t="s">
        <v>52</v>
      </c>
      <c r="AA556">
        <f t="shared" si="104"/>
        <v>183.25192919217184</v>
      </c>
      <c r="AB556">
        <f t="shared" si="108"/>
        <v>0</v>
      </c>
      <c r="AC556">
        <f t="shared" si="99"/>
        <v>309.46519645548932</v>
      </c>
      <c r="AD556">
        <f t="shared" si="105"/>
        <v>0</v>
      </c>
      <c r="AE556">
        <f t="shared" ca="1" si="106"/>
        <v>0</v>
      </c>
    </row>
    <row r="557" spans="1:31" x14ac:dyDescent="0.3">
      <c r="A557">
        <f t="shared" si="101"/>
        <v>0</v>
      </c>
      <c r="B557" s="2">
        <f t="shared" si="102"/>
        <v>45.874200000071141</v>
      </c>
      <c r="C557" s="2">
        <f t="shared" si="107"/>
        <v>0</v>
      </c>
      <c r="D557" s="2">
        <f t="shared" si="103"/>
        <v>14.14680670000007</v>
      </c>
      <c r="E557" s="2"/>
      <c r="F557">
        <v>3235.8221042999999</v>
      </c>
      <c r="G557">
        <v>117</v>
      </c>
      <c r="H557">
        <v>351</v>
      </c>
      <c r="I557">
        <v>105.56100000000001</v>
      </c>
      <c r="J557">
        <v>360.56299999999999</v>
      </c>
      <c r="K557">
        <v>118.0878</v>
      </c>
      <c r="L557">
        <v>346.234119999999</v>
      </c>
      <c r="M557">
        <v>322.13763828690099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162.96600000000001</v>
      </c>
      <c r="V557">
        <v>0.29499999999999998</v>
      </c>
      <c r="W557">
        <v>-0.44900000000000001</v>
      </c>
      <c r="X557">
        <v>0</v>
      </c>
      <c r="Y557" t="b">
        <v>0</v>
      </c>
      <c r="Z557" t="s">
        <v>52</v>
      </c>
      <c r="AA557">
        <f t="shared" si="104"/>
        <v>183.25192919217184</v>
      </c>
      <c r="AB557">
        <f t="shared" si="108"/>
        <v>0</v>
      </c>
      <c r="AC557">
        <f t="shared" si="99"/>
        <v>309.46519645548932</v>
      </c>
      <c r="AD557">
        <f t="shared" si="105"/>
        <v>0</v>
      </c>
      <c r="AE557">
        <f t="shared" ca="1" si="106"/>
        <v>0</v>
      </c>
    </row>
    <row r="558" spans="1:31" x14ac:dyDescent="0.3">
      <c r="A558">
        <f t="shared" si="101"/>
        <v>0</v>
      </c>
      <c r="B558" s="2">
        <f t="shared" si="102"/>
        <v>31.471100000089791</v>
      </c>
      <c r="C558" s="2">
        <f t="shared" si="107"/>
        <v>0</v>
      </c>
      <c r="D558" s="2">
        <f t="shared" si="103"/>
        <v>14.17827780000016</v>
      </c>
      <c r="E558" s="2"/>
      <c r="F558">
        <v>3235.8535754</v>
      </c>
      <c r="G558">
        <v>117</v>
      </c>
      <c r="H558">
        <v>351</v>
      </c>
      <c r="I558">
        <v>105.56100000000001</v>
      </c>
      <c r="J558">
        <v>360.56299999999999</v>
      </c>
      <c r="K558">
        <v>118.0878</v>
      </c>
      <c r="L558">
        <v>346.234119999999</v>
      </c>
      <c r="M558">
        <v>322.13763828690099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162.96600000000001</v>
      </c>
      <c r="V558">
        <v>0.30299999999999999</v>
      </c>
      <c r="W558">
        <v>-0.44900000000000001</v>
      </c>
      <c r="X558">
        <v>0</v>
      </c>
      <c r="Y558" t="b">
        <v>0</v>
      </c>
      <c r="Z558" t="s">
        <v>52</v>
      </c>
      <c r="AA558">
        <f t="shared" si="104"/>
        <v>183.25192919217184</v>
      </c>
      <c r="AB558">
        <f t="shared" si="108"/>
        <v>0</v>
      </c>
      <c r="AC558">
        <f t="shared" si="99"/>
        <v>309.46519645548932</v>
      </c>
      <c r="AD558">
        <f t="shared" si="105"/>
        <v>0</v>
      </c>
      <c r="AE558">
        <f t="shared" ca="1" si="106"/>
        <v>0</v>
      </c>
    </row>
    <row r="559" spans="1:31" x14ac:dyDescent="0.3">
      <c r="A559">
        <f t="shared" si="101"/>
        <v>0</v>
      </c>
      <c r="B559" s="2">
        <f t="shared" si="102"/>
        <v>31.013499999971827</v>
      </c>
      <c r="C559" s="2">
        <f t="shared" si="107"/>
        <v>0</v>
      </c>
      <c r="D559" s="2">
        <f t="shared" si="103"/>
        <v>14.209291300000132</v>
      </c>
      <c r="E559" s="2"/>
      <c r="F559">
        <v>3235.8845888999999</v>
      </c>
      <c r="G559">
        <v>117</v>
      </c>
      <c r="H559">
        <v>351</v>
      </c>
      <c r="I559">
        <v>105.56100000000001</v>
      </c>
      <c r="J559">
        <v>360.56299999999999</v>
      </c>
      <c r="K559">
        <v>118.0878</v>
      </c>
      <c r="L559">
        <v>346.234119999999</v>
      </c>
      <c r="M559">
        <v>322.13763828690099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162.96899999999999</v>
      </c>
      <c r="V559">
        <v>0.30299999999999999</v>
      </c>
      <c r="W559">
        <v>-0.45400000000000001</v>
      </c>
      <c r="X559">
        <v>0</v>
      </c>
      <c r="Y559" t="b">
        <v>0</v>
      </c>
      <c r="Z559" t="s">
        <v>52</v>
      </c>
      <c r="AA559">
        <f t="shared" si="104"/>
        <v>183.25192919217184</v>
      </c>
      <c r="AB559">
        <f t="shared" si="108"/>
        <v>0</v>
      </c>
      <c r="AC559">
        <f t="shared" si="99"/>
        <v>309.46519645548932</v>
      </c>
      <c r="AD559">
        <f t="shared" si="105"/>
        <v>0</v>
      </c>
      <c r="AE559">
        <f t="shared" ca="1" si="106"/>
        <v>0</v>
      </c>
    </row>
    <row r="560" spans="1:31" x14ac:dyDescent="0.3">
      <c r="A560">
        <f t="shared" si="101"/>
        <v>0</v>
      </c>
      <c r="B560" s="2">
        <f t="shared" si="102"/>
        <v>31.264799999917159</v>
      </c>
      <c r="C560" s="2">
        <f t="shared" si="107"/>
        <v>0</v>
      </c>
      <c r="D560" s="2">
        <f t="shared" si="103"/>
        <v>14.240556100000049</v>
      </c>
      <c r="E560" s="2"/>
      <c r="F560">
        <v>3235.9158536999998</v>
      </c>
      <c r="G560">
        <v>117</v>
      </c>
      <c r="H560">
        <v>351</v>
      </c>
      <c r="I560">
        <v>105.56100000000001</v>
      </c>
      <c r="J560">
        <v>360.56299999999999</v>
      </c>
      <c r="K560">
        <v>118.0878</v>
      </c>
      <c r="L560">
        <v>346.234119999999</v>
      </c>
      <c r="M560">
        <v>322.13763828690099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162.96899999999999</v>
      </c>
      <c r="V560">
        <v>0.311</v>
      </c>
      <c r="W560">
        <v>-0.45400000000000001</v>
      </c>
      <c r="X560">
        <v>0</v>
      </c>
      <c r="Y560" t="b">
        <v>0</v>
      </c>
      <c r="Z560" t="s">
        <v>52</v>
      </c>
      <c r="AA560">
        <f t="shared" si="104"/>
        <v>183.25192919217184</v>
      </c>
      <c r="AB560">
        <f t="shared" si="108"/>
        <v>0</v>
      </c>
      <c r="AC560">
        <f t="shared" si="99"/>
        <v>309.46519645548932</v>
      </c>
      <c r="AD560">
        <f t="shared" si="105"/>
        <v>0</v>
      </c>
      <c r="AE560">
        <f t="shared" ca="1" si="106"/>
        <v>0</v>
      </c>
    </row>
    <row r="561" spans="1:31" x14ac:dyDescent="0.3">
      <c r="A561">
        <f t="shared" si="101"/>
        <v>0</v>
      </c>
      <c r="B561" s="2">
        <f t="shared" si="102"/>
        <v>31.393900000239228</v>
      </c>
      <c r="C561" s="2">
        <f t="shared" si="107"/>
        <v>0</v>
      </c>
      <c r="D561" s="2">
        <f t="shared" si="103"/>
        <v>14.271950000000288</v>
      </c>
      <c r="E561" s="2"/>
      <c r="F561">
        <v>3235.9472476000001</v>
      </c>
      <c r="G561">
        <v>117</v>
      </c>
      <c r="H561">
        <v>351</v>
      </c>
      <c r="I561">
        <v>105.56100000000001</v>
      </c>
      <c r="J561">
        <v>360.56299999999999</v>
      </c>
      <c r="K561">
        <v>118.0878</v>
      </c>
      <c r="L561">
        <v>346.234119999999</v>
      </c>
      <c r="M561">
        <v>322.13763828690099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162.97200000000001</v>
      </c>
      <c r="V561">
        <v>0.311</v>
      </c>
      <c r="W561">
        <v>-0.45900000000000002</v>
      </c>
      <c r="X561">
        <v>0</v>
      </c>
      <c r="Y561" t="b">
        <v>0</v>
      </c>
      <c r="Z561" t="s">
        <v>52</v>
      </c>
      <c r="AA561">
        <f t="shared" si="104"/>
        <v>183.25192919217184</v>
      </c>
      <c r="AB561">
        <f t="shared" si="108"/>
        <v>0</v>
      </c>
      <c r="AC561">
        <f t="shared" si="99"/>
        <v>309.46519645548932</v>
      </c>
      <c r="AD561">
        <f t="shared" si="105"/>
        <v>0</v>
      </c>
      <c r="AE561">
        <f t="shared" ca="1" si="106"/>
        <v>0</v>
      </c>
    </row>
    <row r="562" spans="1:31" x14ac:dyDescent="0.3">
      <c r="A562">
        <f t="shared" si="101"/>
        <v>0</v>
      </c>
      <c r="B562" s="2">
        <f t="shared" si="102"/>
        <v>31.447800000023562</v>
      </c>
      <c r="C562" s="2">
        <f t="shared" si="107"/>
        <v>0</v>
      </c>
      <c r="D562" s="2">
        <f t="shared" si="103"/>
        <v>14.303397800000312</v>
      </c>
      <c r="E562" s="2"/>
      <c r="F562">
        <v>3235.9786954000001</v>
      </c>
      <c r="G562">
        <v>117</v>
      </c>
      <c r="H562">
        <v>351</v>
      </c>
      <c r="I562">
        <v>105.56100000000001</v>
      </c>
      <c r="J562">
        <v>360.56299999999999</v>
      </c>
      <c r="K562">
        <v>118.0878</v>
      </c>
      <c r="L562">
        <v>346.234119999999</v>
      </c>
      <c r="M562">
        <v>322.13763828690099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162.97200000000001</v>
      </c>
      <c r="V562">
        <v>0.31900000000000001</v>
      </c>
      <c r="W562">
        <v>-0.45900000000000002</v>
      </c>
      <c r="X562">
        <v>0</v>
      </c>
      <c r="Y562" t="b">
        <v>0</v>
      </c>
      <c r="Z562" t="s">
        <v>52</v>
      </c>
      <c r="AA562">
        <f t="shared" si="104"/>
        <v>183.25192919217184</v>
      </c>
      <c r="AB562">
        <f t="shared" si="108"/>
        <v>0</v>
      </c>
      <c r="AC562">
        <f t="shared" si="99"/>
        <v>309.46519645548932</v>
      </c>
      <c r="AD562">
        <f t="shared" si="105"/>
        <v>0</v>
      </c>
      <c r="AE562">
        <f t="shared" ca="1" si="106"/>
        <v>0</v>
      </c>
    </row>
    <row r="563" spans="1:31" x14ac:dyDescent="0.3">
      <c r="A563">
        <f t="shared" si="101"/>
        <v>0</v>
      </c>
      <c r="B563" s="2">
        <f t="shared" si="102"/>
        <v>30.269899999893823</v>
      </c>
      <c r="C563" s="2">
        <f t="shared" si="107"/>
        <v>0</v>
      </c>
      <c r="D563" s="2">
        <f t="shared" si="103"/>
        <v>14.333667700000206</v>
      </c>
      <c r="E563" s="2"/>
      <c r="F563">
        <v>3236.0089653</v>
      </c>
      <c r="G563">
        <v>117</v>
      </c>
      <c r="H563">
        <v>351</v>
      </c>
      <c r="I563">
        <v>105.56100000000001</v>
      </c>
      <c r="J563">
        <v>360.56299999999999</v>
      </c>
      <c r="K563">
        <v>118.0878</v>
      </c>
      <c r="L563">
        <v>346.234119999999</v>
      </c>
      <c r="M563">
        <v>322.13763828690099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162.97499999999999</v>
      </c>
      <c r="V563">
        <v>0.31900000000000001</v>
      </c>
      <c r="W563">
        <v>-0.46400000000000002</v>
      </c>
      <c r="X563">
        <v>0</v>
      </c>
      <c r="Y563" t="b">
        <v>0</v>
      </c>
      <c r="Z563" t="s">
        <v>52</v>
      </c>
      <c r="AA563">
        <f t="shared" si="104"/>
        <v>183.25192919217184</v>
      </c>
      <c r="AB563">
        <f t="shared" si="108"/>
        <v>0</v>
      </c>
      <c r="AC563">
        <f t="shared" ref="AC563:AC620" si="109">AC562+(AB562*(D563-D562))</f>
        <v>309.46519645548932</v>
      </c>
      <c r="AD563">
        <f t="shared" si="105"/>
        <v>0</v>
      </c>
      <c r="AE563">
        <f t="shared" ca="1" si="106"/>
        <v>0</v>
      </c>
    </row>
    <row r="564" spans="1:31" x14ac:dyDescent="0.3">
      <c r="A564">
        <f t="shared" si="101"/>
        <v>0</v>
      </c>
      <c r="B564" s="2">
        <f t="shared" si="102"/>
        <v>47.155400000065129</v>
      </c>
      <c r="C564" s="2">
        <f t="shared" si="107"/>
        <v>0</v>
      </c>
      <c r="D564" s="2">
        <f t="shared" si="103"/>
        <v>14.380823100000271</v>
      </c>
      <c r="E564" s="2"/>
      <c r="F564">
        <v>3236.0561207000001</v>
      </c>
      <c r="G564">
        <v>117</v>
      </c>
      <c r="H564">
        <v>351</v>
      </c>
      <c r="I564">
        <v>105.56100000000001</v>
      </c>
      <c r="J564">
        <v>360.56299999999999</v>
      </c>
      <c r="K564">
        <v>118.0878</v>
      </c>
      <c r="L564">
        <v>346.234119999999</v>
      </c>
      <c r="M564">
        <v>322.13763828690099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162.97499999999999</v>
      </c>
      <c r="V564">
        <v>0.32600000000000001</v>
      </c>
      <c r="W564">
        <v>-0.46400000000000002</v>
      </c>
      <c r="X564">
        <v>0</v>
      </c>
      <c r="Y564" t="b">
        <v>0</v>
      </c>
      <c r="Z564" t="s">
        <v>52</v>
      </c>
      <c r="AA564">
        <f t="shared" si="104"/>
        <v>183.25192919217184</v>
      </c>
      <c r="AB564">
        <f t="shared" si="108"/>
        <v>0</v>
      </c>
      <c r="AC564">
        <f t="shared" si="109"/>
        <v>309.46519645548932</v>
      </c>
      <c r="AD564">
        <f t="shared" si="105"/>
        <v>0</v>
      </c>
      <c r="AE564">
        <f t="shared" ca="1" si="106"/>
        <v>0</v>
      </c>
    </row>
    <row r="565" spans="1:31" x14ac:dyDescent="0.3">
      <c r="A565">
        <f t="shared" si="101"/>
        <v>0</v>
      </c>
      <c r="B565" s="2">
        <f t="shared" si="102"/>
        <v>31.152300000030664</v>
      </c>
      <c r="C565" s="2">
        <f t="shared" si="107"/>
        <v>0</v>
      </c>
      <c r="D565" s="2">
        <f t="shared" si="103"/>
        <v>14.411975400000301</v>
      </c>
      <c r="E565" s="2"/>
      <c r="F565">
        <v>3236.0872730000001</v>
      </c>
      <c r="G565">
        <v>117</v>
      </c>
      <c r="H565">
        <v>351</v>
      </c>
      <c r="I565">
        <v>105.56100000000001</v>
      </c>
      <c r="J565">
        <v>360.56299999999999</v>
      </c>
      <c r="K565">
        <v>118.0878</v>
      </c>
      <c r="L565">
        <v>346.234119999999</v>
      </c>
      <c r="M565">
        <v>322.13763828690099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162.97800000000001</v>
      </c>
      <c r="V565">
        <v>0.32600000000000001</v>
      </c>
      <c r="W565">
        <v>-0.46600000000000003</v>
      </c>
      <c r="X565">
        <v>0</v>
      </c>
      <c r="Y565" t="b">
        <v>0</v>
      </c>
      <c r="Z565" t="s">
        <v>52</v>
      </c>
      <c r="AA565">
        <f t="shared" si="104"/>
        <v>183.25192919217184</v>
      </c>
      <c r="AB565">
        <f t="shared" si="108"/>
        <v>0</v>
      </c>
      <c r="AC565">
        <f t="shared" si="109"/>
        <v>309.46519645548932</v>
      </c>
      <c r="AD565">
        <f t="shared" si="105"/>
        <v>0</v>
      </c>
      <c r="AE565">
        <f t="shared" ca="1" si="106"/>
        <v>0</v>
      </c>
    </row>
    <row r="566" spans="1:31" x14ac:dyDescent="0.3">
      <c r="A566">
        <f t="shared" si="101"/>
        <v>0</v>
      </c>
      <c r="B566" s="2">
        <f t="shared" si="102"/>
        <v>30.760499999814783</v>
      </c>
      <c r="C566" s="2">
        <f t="shared" si="107"/>
        <v>0</v>
      </c>
      <c r="D566" s="2">
        <f t="shared" si="103"/>
        <v>14.442735900000116</v>
      </c>
      <c r="E566" s="2"/>
      <c r="F566">
        <v>3236.1180334999999</v>
      </c>
      <c r="G566">
        <v>117</v>
      </c>
      <c r="H566">
        <v>351</v>
      </c>
      <c r="I566">
        <v>105.56100000000001</v>
      </c>
      <c r="J566">
        <v>360.56299999999999</v>
      </c>
      <c r="K566">
        <v>118.0878</v>
      </c>
      <c r="L566">
        <v>346.234119999999</v>
      </c>
      <c r="M566">
        <v>322.13763828690099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162.97800000000001</v>
      </c>
      <c r="V566">
        <v>0.33400000000000002</v>
      </c>
      <c r="W566">
        <v>-0.46600000000000003</v>
      </c>
      <c r="X566">
        <v>0</v>
      </c>
      <c r="Y566" t="b">
        <v>0</v>
      </c>
      <c r="Z566" t="s">
        <v>52</v>
      </c>
      <c r="AA566">
        <f t="shared" si="104"/>
        <v>183.25192919217184</v>
      </c>
      <c r="AB566">
        <f t="shared" si="108"/>
        <v>0</v>
      </c>
      <c r="AC566">
        <f t="shared" si="109"/>
        <v>309.46519645548932</v>
      </c>
      <c r="AD566">
        <f t="shared" si="105"/>
        <v>0</v>
      </c>
      <c r="AE566">
        <f t="shared" ca="1" si="106"/>
        <v>0</v>
      </c>
    </row>
    <row r="567" spans="1:31" x14ac:dyDescent="0.3">
      <c r="A567">
        <f t="shared" si="101"/>
        <v>0</v>
      </c>
      <c r="B567" s="2">
        <f t="shared" si="102"/>
        <v>30.920200000309706</v>
      </c>
      <c r="C567" s="2">
        <f t="shared" si="107"/>
        <v>0</v>
      </c>
      <c r="D567" s="2">
        <f t="shared" si="103"/>
        <v>14.473656100000426</v>
      </c>
      <c r="E567" s="2"/>
      <c r="F567">
        <v>3236.1489537000002</v>
      </c>
      <c r="G567">
        <v>117</v>
      </c>
      <c r="H567">
        <v>351</v>
      </c>
      <c r="I567">
        <v>105.56100000000001</v>
      </c>
      <c r="J567">
        <v>360.56299999999999</v>
      </c>
      <c r="K567">
        <v>118.0878</v>
      </c>
      <c r="L567">
        <v>346.234119999999</v>
      </c>
      <c r="M567">
        <v>322.13763828690099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162.97999999999999</v>
      </c>
      <c r="V567">
        <v>0.33400000000000002</v>
      </c>
      <c r="W567">
        <v>-0.46300000000000002</v>
      </c>
      <c r="X567">
        <v>0</v>
      </c>
      <c r="Y567" t="b">
        <v>0</v>
      </c>
      <c r="Z567" t="s">
        <v>52</v>
      </c>
      <c r="AA567">
        <f t="shared" si="104"/>
        <v>183.25192919217184</v>
      </c>
      <c r="AB567">
        <f t="shared" si="108"/>
        <v>0</v>
      </c>
      <c r="AC567">
        <f t="shared" si="109"/>
        <v>309.46519645548932</v>
      </c>
      <c r="AD567">
        <f t="shared" si="105"/>
        <v>0</v>
      </c>
      <c r="AE567">
        <f t="shared" ca="1" si="106"/>
        <v>0</v>
      </c>
    </row>
    <row r="568" spans="1:31" x14ac:dyDescent="0.3">
      <c r="A568">
        <f t="shared" si="101"/>
        <v>0</v>
      </c>
      <c r="B568" s="2">
        <f t="shared" si="102"/>
        <v>46.363999999812222</v>
      </c>
      <c r="C568" s="2">
        <f t="shared" si="107"/>
        <v>0</v>
      </c>
      <c r="D568" s="2">
        <f t="shared" si="103"/>
        <v>14.520020100000238</v>
      </c>
      <c r="E568" s="2"/>
      <c r="F568">
        <v>3236.1953177</v>
      </c>
      <c r="G568">
        <v>117</v>
      </c>
      <c r="H568">
        <v>351</v>
      </c>
      <c r="I568">
        <v>105.56100000000001</v>
      </c>
      <c r="J568">
        <v>360.56299999999999</v>
      </c>
      <c r="K568">
        <v>118.0878</v>
      </c>
      <c r="L568">
        <v>346.234119999999</v>
      </c>
      <c r="M568">
        <v>322.13763828690099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162.97999999999999</v>
      </c>
      <c r="V568">
        <v>0.33700000000000002</v>
      </c>
      <c r="W568">
        <v>-0.46300000000000002</v>
      </c>
      <c r="X568">
        <v>0</v>
      </c>
      <c r="Y568" t="b">
        <v>0</v>
      </c>
      <c r="Z568" t="s">
        <v>52</v>
      </c>
      <c r="AA568">
        <f t="shared" si="104"/>
        <v>183.25192919217184</v>
      </c>
      <c r="AB568">
        <f t="shared" si="108"/>
        <v>0</v>
      </c>
      <c r="AC568">
        <f t="shared" si="109"/>
        <v>309.46519645548932</v>
      </c>
      <c r="AD568">
        <f t="shared" si="105"/>
        <v>0</v>
      </c>
      <c r="AE568">
        <f t="shared" ca="1" si="106"/>
        <v>0</v>
      </c>
    </row>
    <row r="569" spans="1:31" x14ac:dyDescent="0.3">
      <c r="A569">
        <f t="shared" si="101"/>
        <v>0</v>
      </c>
      <c r="B569" s="2">
        <f t="shared" si="102"/>
        <v>15.736800000013318</v>
      </c>
      <c r="C569" s="2">
        <f t="shared" si="107"/>
        <v>0</v>
      </c>
      <c r="D569" s="2">
        <f t="shared" si="103"/>
        <v>14.535756900000251</v>
      </c>
      <c r="E569" s="2"/>
      <c r="F569">
        <v>3236.2110545</v>
      </c>
      <c r="G569">
        <v>117</v>
      </c>
      <c r="H569">
        <v>351</v>
      </c>
      <c r="I569">
        <v>105.56100000000001</v>
      </c>
      <c r="J569">
        <v>360.56299999999999</v>
      </c>
      <c r="K569">
        <v>118.0878</v>
      </c>
      <c r="L569">
        <v>346.234119999999</v>
      </c>
      <c r="M569">
        <v>322.13763828690099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162.982</v>
      </c>
      <c r="V569">
        <v>0.33700000000000002</v>
      </c>
      <c r="W569">
        <v>-0.47099999999999997</v>
      </c>
      <c r="X569">
        <v>0</v>
      </c>
      <c r="Y569" t="b">
        <v>0</v>
      </c>
      <c r="Z569" t="s">
        <v>52</v>
      </c>
      <c r="AA569">
        <f t="shared" si="104"/>
        <v>183.25192919217184</v>
      </c>
      <c r="AB569">
        <f t="shared" si="108"/>
        <v>0</v>
      </c>
      <c r="AC569">
        <f t="shared" si="109"/>
        <v>309.46519645548932</v>
      </c>
      <c r="AD569">
        <f t="shared" si="105"/>
        <v>0</v>
      </c>
      <c r="AE569">
        <f t="shared" ca="1" si="106"/>
        <v>0</v>
      </c>
    </row>
    <row r="570" spans="1:31" x14ac:dyDescent="0.3">
      <c r="A570">
        <f t="shared" si="101"/>
        <v>0</v>
      </c>
      <c r="B570" s="2">
        <f t="shared" si="102"/>
        <v>31.293099999857077</v>
      </c>
      <c r="C570" s="2">
        <f t="shared" si="107"/>
        <v>0</v>
      </c>
      <c r="D570" s="2">
        <f t="shared" si="103"/>
        <v>14.567050000000108</v>
      </c>
      <c r="E570" s="2"/>
      <c r="F570">
        <v>3236.2423475999999</v>
      </c>
      <c r="G570">
        <v>117</v>
      </c>
      <c r="H570">
        <v>351</v>
      </c>
      <c r="I570">
        <v>105.56100000000001</v>
      </c>
      <c r="J570">
        <v>360.56299999999999</v>
      </c>
      <c r="K570">
        <v>118.0878</v>
      </c>
      <c r="L570">
        <v>346.234119999999</v>
      </c>
      <c r="M570">
        <v>322.13763828690099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162.982</v>
      </c>
      <c r="V570">
        <v>0.35199999999999998</v>
      </c>
      <c r="W570">
        <v>-0.47099999999999997</v>
      </c>
      <c r="X570">
        <v>0</v>
      </c>
      <c r="Y570" t="b">
        <v>0</v>
      </c>
      <c r="Z570" t="s">
        <v>52</v>
      </c>
      <c r="AA570">
        <f t="shared" si="104"/>
        <v>183.25192919217184</v>
      </c>
      <c r="AB570">
        <f t="shared" si="108"/>
        <v>0</v>
      </c>
      <c r="AC570">
        <f t="shared" si="109"/>
        <v>309.46519645548932</v>
      </c>
      <c r="AD570">
        <f t="shared" si="105"/>
        <v>0</v>
      </c>
      <c r="AE570">
        <f t="shared" ca="1" si="106"/>
        <v>0</v>
      </c>
    </row>
    <row r="571" spans="1:31" x14ac:dyDescent="0.3">
      <c r="A571">
        <f t="shared" si="101"/>
        <v>0</v>
      </c>
      <c r="B571" s="2">
        <f t="shared" si="102"/>
        <v>31.338700000105746</v>
      </c>
      <c r="C571" s="2">
        <f t="shared" si="107"/>
        <v>0</v>
      </c>
      <c r="D571" s="2">
        <f t="shared" si="103"/>
        <v>14.598388700000214</v>
      </c>
      <c r="E571" s="2"/>
      <c r="F571">
        <v>3236.2736863</v>
      </c>
      <c r="G571">
        <v>117</v>
      </c>
      <c r="H571">
        <v>351</v>
      </c>
      <c r="I571">
        <v>105.56100000000001</v>
      </c>
      <c r="J571">
        <v>360.56299999999999</v>
      </c>
      <c r="K571">
        <v>118.0878</v>
      </c>
      <c r="L571">
        <v>346.234119999999</v>
      </c>
      <c r="M571">
        <v>322.13763828690099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162.98500000000001</v>
      </c>
      <c r="V571">
        <v>0.35199999999999998</v>
      </c>
      <c r="W571">
        <v>-0.47799999999999998</v>
      </c>
      <c r="X571">
        <v>0</v>
      </c>
      <c r="Y571" t="b">
        <v>0</v>
      </c>
      <c r="Z571" t="s">
        <v>52</v>
      </c>
      <c r="AA571">
        <f t="shared" si="104"/>
        <v>183.25192919217184</v>
      </c>
      <c r="AB571">
        <f t="shared" si="108"/>
        <v>0</v>
      </c>
      <c r="AC571">
        <f t="shared" si="109"/>
        <v>309.46519645548932</v>
      </c>
      <c r="AD571">
        <f t="shared" si="105"/>
        <v>0</v>
      </c>
      <c r="AE571">
        <f t="shared" ca="1" si="106"/>
        <v>0</v>
      </c>
    </row>
    <row r="572" spans="1:31" x14ac:dyDescent="0.3">
      <c r="A572">
        <f t="shared" si="101"/>
        <v>0</v>
      </c>
      <c r="B572" s="2">
        <f t="shared" si="102"/>
        <v>31.606900000042515</v>
      </c>
      <c r="C572" s="2">
        <f t="shared" si="107"/>
        <v>0</v>
      </c>
      <c r="D572" s="2">
        <f t="shared" si="103"/>
        <v>14.629995600000257</v>
      </c>
      <c r="E572" s="2"/>
      <c r="F572">
        <v>3236.3052932000001</v>
      </c>
      <c r="G572">
        <v>117</v>
      </c>
      <c r="H572">
        <v>351</v>
      </c>
      <c r="I572">
        <v>105.56100000000001</v>
      </c>
      <c r="J572">
        <v>360.56299999999999</v>
      </c>
      <c r="K572">
        <v>118.0878</v>
      </c>
      <c r="L572">
        <v>346.234119999999</v>
      </c>
      <c r="M572">
        <v>322.13763828690099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162.98500000000001</v>
      </c>
      <c r="V572">
        <v>0.36099999999999999</v>
      </c>
      <c r="W572">
        <v>-0.47799999999999998</v>
      </c>
      <c r="X572">
        <v>0</v>
      </c>
      <c r="Y572" t="b">
        <v>0</v>
      </c>
      <c r="Z572" t="s">
        <v>52</v>
      </c>
      <c r="AA572">
        <f t="shared" si="104"/>
        <v>183.25192919217184</v>
      </c>
      <c r="AB572">
        <f t="shared" si="108"/>
        <v>0</v>
      </c>
      <c r="AC572">
        <f t="shared" si="109"/>
        <v>309.46519645548932</v>
      </c>
      <c r="AD572">
        <f t="shared" si="105"/>
        <v>0</v>
      </c>
      <c r="AE572">
        <f t="shared" ca="1" si="106"/>
        <v>0</v>
      </c>
    </row>
    <row r="573" spans="1:31" x14ac:dyDescent="0.3">
      <c r="A573">
        <f t="shared" si="101"/>
        <v>0</v>
      </c>
      <c r="B573" s="2">
        <f t="shared" si="102"/>
        <v>31.518299999788724</v>
      </c>
      <c r="C573" s="2">
        <f t="shared" si="107"/>
        <v>0</v>
      </c>
      <c r="D573" s="2">
        <f t="shared" si="103"/>
        <v>14.661513900000045</v>
      </c>
      <c r="E573" s="2"/>
      <c r="F573">
        <v>3236.3368114999998</v>
      </c>
      <c r="G573">
        <v>117</v>
      </c>
      <c r="H573">
        <v>351</v>
      </c>
      <c r="I573">
        <v>105.56100000000001</v>
      </c>
      <c r="J573">
        <v>360.56299999999999</v>
      </c>
      <c r="K573">
        <v>118.0878</v>
      </c>
      <c r="L573">
        <v>346.234119999999</v>
      </c>
      <c r="M573">
        <v>322.13763828690099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162.989</v>
      </c>
      <c r="V573">
        <v>0.36099999999999999</v>
      </c>
      <c r="W573">
        <v>-0.48399999999999999</v>
      </c>
      <c r="X573">
        <v>0</v>
      </c>
      <c r="Y573" t="b">
        <v>0</v>
      </c>
      <c r="Z573" t="s">
        <v>52</v>
      </c>
      <c r="AA573">
        <f t="shared" si="104"/>
        <v>183.25192919217184</v>
      </c>
      <c r="AB573">
        <f t="shared" si="108"/>
        <v>0</v>
      </c>
      <c r="AC573">
        <f t="shared" si="109"/>
        <v>309.46519645548932</v>
      </c>
      <c r="AD573">
        <f t="shared" si="105"/>
        <v>0</v>
      </c>
      <c r="AE573">
        <f t="shared" ca="1" si="106"/>
        <v>0</v>
      </c>
    </row>
    <row r="574" spans="1:31" x14ac:dyDescent="0.3">
      <c r="A574">
        <f t="shared" si="101"/>
        <v>0</v>
      </c>
      <c r="B574" s="2">
        <f t="shared" si="102"/>
        <v>30.712700000094628</v>
      </c>
      <c r="C574" s="2">
        <f t="shared" si="107"/>
        <v>0</v>
      </c>
      <c r="D574" s="2">
        <f t="shared" si="103"/>
        <v>14.69222660000014</v>
      </c>
      <c r="E574" s="2"/>
      <c r="F574">
        <v>3236.3675241999999</v>
      </c>
      <c r="G574">
        <v>117</v>
      </c>
      <c r="H574">
        <v>351</v>
      </c>
      <c r="I574">
        <v>105.56100000000001</v>
      </c>
      <c r="J574">
        <v>360.56299999999999</v>
      </c>
      <c r="K574">
        <v>118.0878</v>
      </c>
      <c r="L574">
        <v>346.234119999999</v>
      </c>
      <c r="M574">
        <v>322.13763828690099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162.989</v>
      </c>
      <c r="V574">
        <v>0.377</v>
      </c>
      <c r="W574">
        <v>-0.48399999999999999</v>
      </c>
      <c r="X574">
        <v>0</v>
      </c>
      <c r="Y574" t="b">
        <v>0</v>
      </c>
      <c r="Z574" t="s">
        <v>52</v>
      </c>
      <c r="AA574">
        <f t="shared" si="104"/>
        <v>183.25192919217184</v>
      </c>
      <c r="AB574">
        <f t="shared" si="108"/>
        <v>0</v>
      </c>
      <c r="AC574">
        <f t="shared" si="109"/>
        <v>309.46519645548932</v>
      </c>
      <c r="AD574">
        <f t="shared" si="105"/>
        <v>0</v>
      </c>
      <c r="AE574">
        <f t="shared" ca="1" si="106"/>
        <v>0</v>
      </c>
    </row>
    <row r="575" spans="1:31" x14ac:dyDescent="0.3">
      <c r="A575">
        <f t="shared" si="101"/>
        <v>0</v>
      </c>
      <c r="B575" s="2">
        <f t="shared" si="102"/>
        <v>46.974299999874347</v>
      </c>
      <c r="C575" s="2">
        <f t="shared" si="107"/>
        <v>0</v>
      </c>
      <c r="D575" s="2">
        <f t="shared" si="103"/>
        <v>14.739200900000014</v>
      </c>
      <c r="E575" s="2"/>
      <c r="F575">
        <v>3236.4144984999998</v>
      </c>
      <c r="G575">
        <v>117</v>
      </c>
      <c r="H575">
        <v>351</v>
      </c>
      <c r="I575">
        <v>105.56100000000001</v>
      </c>
      <c r="J575">
        <v>360.56299999999999</v>
      </c>
      <c r="K575">
        <v>118.0878</v>
      </c>
      <c r="L575">
        <v>346.234119999999</v>
      </c>
      <c r="M575">
        <v>322.13763828690099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162.99100000000001</v>
      </c>
      <c r="V575">
        <v>0.377</v>
      </c>
      <c r="W575">
        <v>-0.48099999999999998</v>
      </c>
      <c r="X575">
        <v>0</v>
      </c>
      <c r="Y575" t="b">
        <v>0</v>
      </c>
      <c r="Z575" t="s">
        <v>52</v>
      </c>
      <c r="AA575">
        <f t="shared" si="104"/>
        <v>183.25192919217184</v>
      </c>
      <c r="AB575">
        <f t="shared" si="108"/>
        <v>0</v>
      </c>
      <c r="AC575">
        <f t="shared" si="109"/>
        <v>309.46519645548932</v>
      </c>
      <c r="AD575">
        <f t="shared" si="105"/>
        <v>0</v>
      </c>
      <c r="AE575">
        <f t="shared" ca="1" si="106"/>
        <v>0</v>
      </c>
    </row>
    <row r="576" spans="1:31" x14ac:dyDescent="0.3">
      <c r="A576">
        <f t="shared" si="101"/>
        <v>0</v>
      </c>
      <c r="B576" s="2">
        <f t="shared" si="102"/>
        <v>15.236300000196934</v>
      </c>
      <c r="C576" s="2">
        <f t="shared" si="107"/>
        <v>0</v>
      </c>
      <c r="D576" s="2">
        <f t="shared" si="103"/>
        <v>14.754437200000211</v>
      </c>
      <c r="E576" s="2"/>
      <c r="F576">
        <v>3236.4297348</v>
      </c>
      <c r="G576">
        <v>117</v>
      </c>
      <c r="H576">
        <v>351</v>
      </c>
      <c r="I576">
        <v>105.56100000000001</v>
      </c>
      <c r="J576">
        <v>360.56299999999999</v>
      </c>
      <c r="K576">
        <v>118.0878</v>
      </c>
      <c r="L576">
        <v>346.234119999999</v>
      </c>
      <c r="M576">
        <v>322.13763828690099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162.99100000000001</v>
      </c>
      <c r="V576">
        <v>0.38600000000000001</v>
      </c>
      <c r="W576">
        <v>-0.48099999999999998</v>
      </c>
      <c r="X576">
        <v>0</v>
      </c>
      <c r="Y576" t="b">
        <v>0</v>
      </c>
      <c r="Z576" t="s">
        <v>52</v>
      </c>
      <c r="AA576">
        <f t="shared" si="104"/>
        <v>183.25192919217184</v>
      </c>
      <c r="AB576">
        <f t="shared" si="108"/>
        <v>0</v>
      </c>
      <c r="AC576">
        <f t="shared" si="109"/>
        <v>309.46519645548932</v>
      </c>
      <c r="AD576">
        <f t="shared" si="105"/>
        <v>0</v>
      </c>
      <c r="AE576">
        <f t="shared" ca="1" si="106"/>
        <v>0</v>
      </c>
    </row>
    <row r="577" spans="1:31" x14ac:dyDescent="0.3">
      <c r="A577">
        <f t="shared" si="101"/>
        <v>0</v>
      </c>
      <c r="B577" s="2">
        <f t="shared" si="102"/>
        <v>30.631799999810028</v>
      </c>
      <c r="C577" s="2">
        <f t="shared" si="107"/>
        <v>0</v>
      </c>
      <c r="D577" s="2">
        <f t="shared" si="103"/>
        <v>14.785069000000021</v>
      </c>
      <c r="E577" s="2"/>
      <c r="F577">
        <v>3236.4603665999998</v>
      </c>
      <c r="G577">
        <v>117</v>
      </c>
      <c r="H577">
        <v>351</v>
      </c>
      <c r="I577">
        <v>105.56100000000001</v>
      </c>
      <c r="J577">
        <v>360.56299999999999</v>
      </c>
      <c r="K577">
        <v>118.0878</v>
      </c>
      <c r="L577">
        <v>346.234119999999</v>
      </c>
      <c r="M577">
        <v>322.13763828690099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162.994</v>
      </c>
      <c r="V577">
        <v>0.38600000000000001</v>
      </c>
      <c r="W577">
        <v>-0.48399999999999999</v>
      </c>
      <c r="X577">
        <v>0</v>
      </c>
      <c r="Y577" t="b">
        <v>0</v>
      </c>
      <c r="Z577" t="s">
        <v>52</v>
      </c>
      <c r="AA577">
        <f t="shared" si="104"/>
        <v>183.25192919217184</v>
      </c>
      <c r="AB577">
        <f t="shared" si="108"/>
        <v>0</v>
      </c>
      <c r="AC577">
        <f t="shared" si="109"/>
        <v>309.46519645548932</v>
      </c>
      <c r="AD577">
        <f t="shared" si="105"/>
        <v>0</v>
      </c>
      <c r="AE577">
        <f t="shared" ca="1" si="106"/>
        <v>0</v>
      </c>
    </row>
    <row r="578" spans="1:31" x14ac:dyDescent="0.3">
      <c r="A578">
        <f t="shared" si="101"/>
        <v>0</v>
      </c>
      <c r="B578" s="2">
        <f t="shared" si="102"/>
        <v>47.590399999990041</v>
      </c>
      <c r="C578" s="2">
        <f t="shared" si="107"/>
        <v>0</v>
      </c>
      <c r="D578" s="2">
        <f t="shared" si="103"/>
        <v>14.832659400000011</v>
      </c>
      <c r="E578" s="2"/>
      <c r="F578">
        <v>3236.5079569999998</v>
      </c>
      <c r="G578">
        <v>117</v>
      </c>
      <c r="H578">
        <v>351</v>
      </c>
      <c r="I578">
        <v>105.56100000000001</v>
      </c>
      <c r="J578">
        <v>360.56299999999999</v>
      </c>
      <c r="K578">
        <v>118.0878</v>
      </c>
      <c r="L578">
        <v>346.234119999999</v>
      </c>
      <c r="M578">
        <v>322.13763828690099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162.994</v>
      </c>
      <c r="V578">
        <v>0.39800000000000002</v>
      </c>
      <c r="W578">
        <v>-0.48399999999999999</v>
      </c>
      <c r="X578">
        <v>0</v>
      </c>
      <c r="Y578" t="b">
        <v>0</v>
      </c>
      <c r="Z578" t="s">
        <v>52</v>
      </c>
      <c r="AA578">
        <f t="shared" si="104"/>
        <v>183.25192919217184</v>
      </c>
      <c r="AB578">
        <f t="shared" ref="AB578:AB609" si="110">R578*100</f>
        <v>0</v>
      </c>
      <c r="AC578">
        <f t="shared" si="109"/>
        <v>309.46519645548932</v>
      </c>
      <c r="AD578">
        <f t="shared" si="105"/>
        <v>0</v>
      </c>
      <c r="AE578">
        <f t="shared" ca="1" si="106"/>
        <v>0</v>
      </c>
    </row>
    <row r="579" spans="1:31" x14ac:dyDescent="0.3">
      <c r="A579">
        <f t="shared" si="101"/>
        <v>0</v>
      </c>
      <c r="B579" s="2">
        <f t="shared" si="102"/>
        <v>61.177400000360649</v>
      </c>
      <c r="C579" s="2">
        <f t="shared" si="107"/>
        <v>0</v>
      </c>
      <c r="D579" s="2">
        <f t="shared" si="103"/>
        <v>14.893836800000372</v>
      </c>
      <c r="E579" s="2"/>
      <c r="F579">
        <v>3236.5691344000002</v>
      </c>
      <c r="G579">
        <v>117</v>
      </c>
      <c r="H579">
        <v>351</v>
      </c>
      <c r="I579">
        <v>105.56100000000001</v>
      </c>
      <c r="J579">
        <v>360.56299999999999</v>
      </c>
      <c r="K579">
        <v>118.0878</v>
      </c>
      <c r="L579">
        <v>346.234119999999</v>
      </c>
      <c r="M579">
        <v>322.13763828690099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162.99700000000001</v>
      </c>
      <c r="V579">
        <v>0.39800000000000002</v>
      </c>
      <c r="W579">
        <v>-0.49</v>
      </c>
      <c r="X579">
        <v>0</v>
      </c>
      <c r="Y579" t="b">
        <v>0</v>
      </c>
      <c r="Z579" t="s">
        <v>52</v>
      </c>
      <c r="AA579">
        <f t="shared" si="104"/>
        <v>183.25192919217184</v>
      </c>
      <c r="AB579">
        <f t="shared" si="110"/>
        <v>0</v>
      </c>
      <c r="AC579">
        <f t="shared" si="109"/>
        <v>309.46519645548932</v>
      </c>
      <c r="AD579">
        <f t="shared" si="105"/>
        <v>0</v>
      </c>
      <c r="AE579">
        <f t="shared" ca="1" si="106"/>
        <v>0</v>
      </c>
    </row>
    <row r="580" spans="1:31" x14ac:dyDescent="0.3">
      <c r="A580">
        <f t="shared" si="101"/>
        <v>0</v>
      </c>
      <c r="B580" s="2">
        <f t="shared" si="102"/>
        <v>15.884399999777088</v>
      </c>
      <c r="C580" s="2">
        <f t="shared" si="107"/>
        <v>0</v>
      </c>
      <c r="D580" s="2">
        <f t="shared" si="103"/>
        <v>14.909721200000149</v>
      </c>
      <c r="E580" s="2"/>
      <c r="F580">
        <v>3236.5850187999999</v>
      </c>
      <c r="G580">
        <v>117</v>
      </c>
      <c r="H580">
        <v>351</v>
      </c>
      <c r="I580">
        <v>105.56100000000001</v>
      </c>
      <c r="J580">
        <v>360.56299999999999</v>
      </c>
      <c r="K580">
        <v>118.0878</v>
      </c>
      <c r="L580">
        <v>346.234119999999</v>
      </c>
      <c r="M580">
        <v>322.13763828690099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162.99700000000001</v>
      </c>
      <c r="V580">
        <v>0.40500000000000003</v>
      </c>
      <c r="W580">
        <v>-0.49</v>
      </c>
      <c r="X580">
        <v>0</v>
      </c>
      <c r="Y580" t="b">
        <v>0</v>
      </c>
      <c r="Z580" t="s">
        <v>52</v>
      </c>
      <c r="AA580">
        <f t="shared" si="104"/>
        <v>183.25192919217184</v>
      </c>
      <c r="AB580">
        <f t="shared" si="110"/>
        <v>0</v>
      </c>
      <c r="AC580">
        <f t="shared" si="109"/>
        <v>309.46519645548932</v>
      </c>
      <c r="AD580">
        <f t="shared" si="105"/>
        <v>0</v>
      </c>
      <c r="AE580">
        <f t="shared" ca="1" si="106"/>
        <v>0</v>
      </c>
    </row>
    <row r="581" spans="1:31" x14ac:dyDescent="0.3">
      <c r="A581">
        <f t="shared" si="101"/>
        <v>0</v>
      </c>
      <c r="B581" s="2">
        <f t="shared" si="102"/>
        <v>15.25549999996656</v>
      </c>
      <c r="C581" s="2">
        <f t="shared" si="107"/>
        <v>0</v>
      </c>
      <c r="D581" s="2">
        <f t="shared" si="103"/>
        <v>14.924976700000116</v>
      </c>
      <c r="E581" s="2"/>
      <c r="F581">
        <v>3236.6002742999999</v>
      </c>
      <c r="G581">
        <v>117</v>
      </c>
      <c r="H581">
        <v>351</v>
      </c>
      <c r="I581">
        <v>105.56100000000001</v>
      </c>
      <c r="J581">
        <v>360.56299999999999</v>
      </c>
      <c r="K581">
        <v>118.0878</v>
      </c>
      <c r="L581">
        <v>346.234119999999</v>
      </c>
      <c r="M581">
        <v>322.13763828690099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162.999</v>
      </c>
      <c r="V581">
        <v>0.40500000000000003</v>
      </c>
      <c r="W581">
        <v>-0.49399999999999999</v>
      </c>
      <c r="X581">
        <v>0</v>
      </c>
      <c r="Y581" t="b">
        <v>0</v>
      </c>
      <c r="Z581" t="s">
        <v>52</v>
      </c>
      <c r="AA581">
        <f t="shared" si="104"/>
        <v>183.25192919217184</v>
      </c>
      <c r="AB581">
        <f t="shared" si="110"/>
        <v>0</v>
      </c>
      <c r="AC581">
        <f t="shared" si="109"/>
        <v>309.46519645548932</v>
      </c>
      <c r="AD581">
        <f t="shared" si="105"/>
        <v>0</v>
      </c>
      <c r="AE581">
        <f t="shared" ca="1" si="106"/>
        <v>0</v>
      </c>
    </row>
    <row r="582" spans="1:31" x14ac:dyDescent="0.3">
      <c r="A582">
        <f t="shared" si="101"/>
        <v>0</v>
      </c>
      <c r="B582" s="2">
        <f t="shared" si="102"/>
        <v>30.863100000260602</v>
      </c>
      <c r="C582" s="2">
        <f t="shared" si="107"/>
        <v>0</v>
      </c>
      <c r="D582" s="2">
        <f t="shared" si="103"/>
        <v>14.955839800000376</v>
      </c>
      <c r="E582" s="2"/>
      <c r="F582">
        <v>3236.6311374000002</v>
      </c>
      <c r="G582">
        <v>117</v>
      </c>
      <c r="H582">
        <v>351</v>
      </c>
      <c r="I582">
        <v>105.56100000000001</v>
      </c>
      <c r="J582">
        <v>360.56299999999999</v>
      </c>
      <c r="K582">
        <v>118.0878</v>
      </c>
      <c r="L582">
        <v>346.234119999999</v>
      </c>
      <c r="M582">
        <v>322.13763828690099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162.999</v>
      </c>
      <c r="V582">
        <v>0.42699999999999999</v>
      </c>
      <c r="W582">
        <v>-0.49399999999999999</v>
      </c>
      <c r="X582">
        <v>0</v>
      </c>
      <c r="Y582" t="b">
        <v>0</v>
      </c>
      <c r="Z582" t="s">
        <v>52</v>
      </c>
      <c r="AA582">
        <f t="shared" si="104"/>
        <v>183.25192919217184</v>
      </c>
      <c r="AB582">
        <f t="shared" si="110"/>
        <v>0</v>
      </c>
      <c r="AC582">
        <f t="shared" si="109"/>
        <v>309.46519645548932</v>
      </c>
      <c r="AD582">
        <f t="shared" si="105"/>
        <v>0</v>
      </c>
      <c r="AE582">
        <f t="shared" ca="1" si="106"/>
        <v>0</v>
      </c>
    </row>
    <row r="583" spans="1:31" x14ac:dyDescent="0.3">
      <c r="A583">
        <f t="shared" si="101"/>
        <v>0</v>
      </c>
      <c r="B583" s="2">
        <f t="shared" si="102"/>
        <v>30.826799999886134</v>
      </c>
      <c r="C583" s="2">
        <f t="shared" si="107"/>
        <v>0</v>
      </c>
      <c r="D583" s="2">
        <f t="shared" si="103"/>
        <v>14.986666600000262</v>
      </c>
      <c r="E583" s="2"/>
      <c r="F583">
        <v>3236.6619642000001</v>
      </c>
      <c r="G583">
        <v>117</v>
      </c>
      <c r="H583">
        <v>351</v>
      </c>
      <c r="I583">
        <v>105.56100000000001</v>
      </c>
      <c r="J583">
        <v>360.56299999999999</v>
      </c>
      <c r="K583">
        <v>118.0878</v>
      </c>
      <c r="L583">
        <v>346.234119999999</v>
      </c>
      <c r="M583">
        <v>322.13763828690099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163.00299999999999</v>
      </c>
      <c r="V583">
        <v>0.42699999999999999</v>
      </c>
      <c r="W583">
        <v>-0.498</v>
      </c>
      <c r="X583">
        <v>0</v>
      </c>
      <c r="Y583" t="b">
        <v>0</v>
      </c>
      <c r="Z583" t="s">
        <v>52</v>
      </c>
      <c r="AA583">
        <f t="shared" si="104"/>
        <v>183.25192919217184</v>
      </c>
      <c r="AB583">
        <f t="shared" si="110"/>
        <v>0</v>
      </c>
      <c r="AC583">
        <f t="shared" si="109"/>
        <v>309.46519645548932</v>
      </c>
      <c r="AD583">
        <f t="shared" si="105"/>
        <v>0</v>
      </c>
      <c r="AE583">
        <f t="shared" ca="1" si="106"/>
        <v>0</v>
      </c>
    </row>
    <row r="584" spans="1:31" x14ac:dyDescent="0.3">
      <c r="A584">
        <f t="shared" ref="A584:A620" si="111">N584*100</f>
        <v>0</v>
      </c>
      <c r="B584" s="2">
        <f t="shared" ref="B584:B620" si="112">(F584-F583)*1000</f>
        <v>63.193299999966257</v>
      </c>
      <c r="C584" s="2">
        <f t="shared" si="107"/>
        <v>0</v>
      </c>
      <c r="D584" s="2">
        <f t="shared" ref="D584:D620" si="113">F584-$F$7</f>
        <v>15.049859900000229</v>
      </c>
      <c r="E584" s="2"/>
      <c r="F584">
        <v>3236.7251575</v>
      </c>
      <c r="G584">
        <v>117</v>
      </c>
      <c r="H584">
        <v>351</v>
      </c>
      <c r="I584">
        <v>105.56100000000001</v>
      </c>
      <c r="J584">
        <v>360.56299999999999</v>
      </c>
      <c r="K584">
        <v>118.0878</v>
      </c>
      <c r="L584">
        <v>346.234119999999</v>
      </c>
      <c r="M584">
        <v>322.13763828690099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163.00299999999999</v>
      </c>
      <c r="V584">
        <v>0.44800000000000001</v>
      </c>
      <c r="W584">
        <v>-0.498</v>
      </c>
      <c r="X584">
        <v>0</v>
      </c>
      <c r="Y584" t="b">
        <v>0</v>
      </c>
      <c r="Z584" t="s">
        <v>52</v>
      </c>
      <c r="AA584">
        <f t="shared" ref="AA584:AA620" si="114">$K$4+($AA$4/$K$3*(K584-$K$4))</f>
        <v>183.25192919217184</v>
      </c>
      <c r="AB584">
        <f t="shared" si="110"/>
        <v>0</v>
      </c>
      <c r="AC584">
        <f t="shared" si="109"/>
        <v>309.46519645548932</v>
      </c>
      <c r="AD584">
        <f t="shared" ref="AD584:AD620" si="115">IF((L584-L583)/(D584-D583)&lt;100,IF((L584-L583)/(D584-D583)&gt;(-1*20),(L584-L583)/(D584-D583),AD583))</f>
        <v>0</v>
      </c>
      <c r="AE584">
        <f t="shared" ref="AE584:AE620" ca="1" si="116">IF(ROW(AD584)-ROW($AD$7)+1&gt;=$AE$6, AVERAGE(OFFSET(AD584, 0, 0, $AE$6, 1)), NA())</f>
        <v>0</v>
      </c>
    </row>
    <row r="585" spans="1:31" x14ac:dyDescent="0.3">
      <c r="A585">
        <f t="shared" si="111"/>
        <v>0</v>
      </c>
      <c r="B585" s="2">
        <f t="shared" si="112"/>
        <v>15.401399999973364</v>
      </c>
      <c r="C585" s="2">
        <f t="shared" ref="C585:C620" si="117">L585-L584</f>
        <v>0</v>
      </c>
      <c r="D585" s="2">
        <f t="shared" si="113"/>
        <v>15.065261300000202</v>
      </c>
      <c r="E585" s="2"/>
      <c r="F585">
        <v>3236.7405589</v>
      </c>
      <c r="G585">
        <v>117</v>
      </c>
      <c r="H585">
        <v>351</v>
      </c>
      <c r="I585">
        <v>105.56100000000001</v>
      </c>
      <c r="J585">
        <v>360.56299999999999</v>
      </c>
      <c r="K585">
        <v>118.0878</v>
      </c>
      <c r="L585">
        <v>346.234119999999</v>
      </c>
      <c r="M585">
        <v>322.13763828690099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163.00899999999999</v>
      </c>
      <c r="V585">
        <v>0.44800000000000001</v>
      </c>
      <c r="W585">
        <v>-0.503</v>
      </c>
      <c r="X585">
        <v>0</v>
      </c>
      <c r="Y585" t="b">
        <v>0</v>
      </c>
      <c r="Z585" t="s">
        <v>52</v>
      </c>
      <c r="AA585">
        <f t="shared" si="114"/>
        <v>183.25192919217184</v>
      </c>
      <c r="AB585">
        <f t="shared" si="110"/>
        <v>0</v>
      </c>
      <c r="AC585">
        <f t="shared" si="109"/>
        <v>309.46519645548932</v>
      </c>
      <c r="AD585">
        <f t="shared" si="115"/>
        <v>0</v>
      </c>
      <c r="AE585">
        <f t="shared" ca="1" si="116"/>
        <v>0</v>
      </c>
    </row>
    <row r="586" spans="1:31" x14ac:dyDescent="0.3">
      <c r="A586">
        <f t="shared" si="111"/>
        <v>0</v>
      </c>
      <c r="B586" s="2">
        <f t="shared" si="112"/>
        <v>30.622499999935826</v>
      </c>
      <c r="C586" s="2">
        <f t="shared" si="117"/>
        <v>0</v>
      </c>
      <c r="D586" s="2">
        <f t="shared" si="113"/>
        <v>15.095883800000138</v>
      </c>
      <c r="E586" s="2"/>
      <c r="F586">
        <v>3236.7711813999999</v>
      </c>
      <c r="G586">
        <v>117</v>
      </c>
      <c r="H586">
        <v>351</v>
      </c>
      <c r="I586">
        <v>105.56100000000001</v>
      </c>
      <c r="J586">
        <v>360.56299999999999</v>
      </c>
      <c r="K586">
        <v>118.0878</v>
      </c>
      <c r="L586">
        <v>346.234119999999</v>
      </c>
      <c r="M586">
        <v>322.13763828690099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163.00899999999999</v>
      </c>
      <c r="V586">
        <v>0.46800000000000003</v>
      </c>
      <c r="W586">
        <v>-0.503</v>
      </c>
      <c r="X586">
        <v>0</v>
      </c>
      <c r="Y586" t="b">
        <v>0</v>
      </c>
      <c r="Z586" t="s">
        <v>52</v>
      </c>
      <c r="AA586">
        <f t="shared" si="114"/>
        <v>183.25192919217184</v>
      </c>
      <c r="AB586">
        <f t="shared" si="110"/>
        <v>0</v>
      </c>
      <c r="AC586">
        <f t="shared" si="109"/>
        <v>309.46519645548932</v>
      </c>
      <c r="AD586">
        <f t="shared" si="115"/>
        <v>0</v>
      </c>
      <c r="AE586">
        <f t="shared" ca="1" si="116"/>
        <v>0</v>
      </c>
    </row>
    <row r="587" spans="1:31" x14ac:dyDescent="0.3">
      <c r="A587">
        <f t="shared" si="111"/>
        <v>0</v>
      </c>
      <c r="B587" s="2">
        <f t="shared" si="112"/>
        <v>31.57550000014453</v>
      </c>
      <c r="C587" s="2">
        <f t="shared" si="117"/>
        <v>0</v>
      </c>
      <c r="D587" s="2">
        <f t="shared" si="113"/>
        <v>15.127459300000282</v>
      </c>
      <c r="E587" s="2"/>
      <c r="F587">
        <v>3236.8027569000001</v>
      </c>
      <c r="G587">
        <v>117</v>
      </c>
      <c r="H587">
        <v>351</v>
      </c>
      <c r="I587">
        <v>105.56100000000001</v>
      </c>
      <c r="J587">
        <v>360.56299999999999</v>
      </c>
      <c r="K587">
        <v>118.0878</v>
      </c>
      <c r="L587">
        <v>346.234119999999</v>
      </c>
      <c r="M587">
        <v>322.13763828690099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163.00899999999999</v>
      </c>
      <c r="V587">
        <v>0.46800000000000003</v>
      </c>
      <c r="W587">
        <v>-0.503</v>
      </c>
      <c r="X587">
        <v>0</v>
      </c>
      <c r="Y587" t="b">
        <v>0</v>
      </c>
      <c r="Z587" t="s">
        <v>52</v>
      </c>
      <c r="AA587">
        <f t="shared" si="114"/>
        <v>183.25192919217184</v>
      </c>
      <c r="AB587">
        <f t="shared" si="110"/>
        <v>0</v>
      </c>
      <c r="AC587">
        <f t="shared" si="109"/>
        <v>309.46519645548932</v>
      </c>
      <c r="AD587">
        <f t="shared" si="115"/>
        <v>0</v>
      </c>
      <c r="AE587">
        <f t="shared" ca="1" si="116"/>
        <v>0</v>
      </c>
    </row>
    <row r="588" spans="1:31" x14ac:dyDescent="0.3">
      <c r="A588">
        <f t="shared" si="111"/>
        <v>0</v>
      </c>
      <c r="B588" s="2">
        <f t="shared" si="112"/>
        <v>30.395899999803078</v>
      </c>
      <c r="C588" s="2">
        <f t="shared" si="117"/>
        <v>0</v>
      </c>
      <c r="D588" s="2">
        <f t="shared" si="113"/>
        <v>15.157855200000085</v>
      </c>
      <c r="E588" s="2"/>
      <c r="F588">
        <v>3236.8331527999999</v>
      </c>
      <c r="G588">
        <v>117</v>
      </c>
      <c r="H588">
        <v>351</v>
      </c>
      <c r="I588">
        <v>105.56100000000001</v>
      </c>
      <c r="J588">
        <v>360.56299999999999</v>
      </c>
      <c r="K588">
        <v>118.0878</v>
      </c>
      <c r="L588">
        <v>346.234119999999</v>
      </c>
      <c r="M588">
        <v>322.13763828690099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163.012</v>
      </c>
      <c r="V588">
        <v>0.48599999999999999</v>
      </c>
      <c r="W588">
        <v>-0.505</v>
      </c>
      <c r="X588">
        <v>0</v>
      </c>
      <c r="Y588" t="b">
        <v>0</v>
      </c>
      <c r="Z588" t="s">
        <v>52</v>
      </c>
      <c r="AA588">
        <f t="shared" si="114"/>
        <v>183.25192919217184</v>
      </c>
      <c r="AB588">
        <f t="shared" si="110"/>
        <v>0</v>
      </c>
      <c r="AC588">
        <f t="shared" si="109"/>
        <v>309.46519645548932</v>
      </c>
      <c r="AD588">
        <f t="shared" si="115"/>
        <v>0</v>
      </c>
      <c r="AE588">
        <f t="shared" ca="1" si="116"/>
        <v>0</v>
      </c>
    </row>
    <row r="589" spans="1:31" x14ac:dyDescent="0.3">
      <c r="A589">
        <f t="shared" si="111"/>
        <v>0</v>
      </c>
      <c r="B589" s="2">
        <f t="shared" si="112"/>
        <v>32.130399999914516</v>
      </c>
      <c r="C589" s="2">
        <f t="shared" si="117"/>
        <v>0</v>
      </c>
      <c r="D589" s="2">
        <f t="shared" si="113"/>
        <v>15.1899856</v>
      </c>
      <c r="E589" s="2"/>
      <c r="F589">
        <v>3236.8652831999998</v>
      </c>
      <c r="G589">
        <v>117</v>
      </c>
      <c r="H589">
        <v>351</v>
      </c>
      <c r="I589">
        <v>105.56100000000001</v>
      </c>
      <c r="J589">
        <v>360.56299999999999</v>
      </c>
      <c r="K589">
        <v>118.0878</v>
      </c>
      <c r="L589">
        <v>346.234119999999</v>
      </c>
      <c r="M589">
        <v>322.13763828690099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163.01599999999999</v>
      </c>
      <c r="V589">
        <v>0.48599999999999999</v>
      </c>
      <c r="W589">
        <v>-0.501</v>
      </c>
      <c r="X589">
        <v>0</v>
      </c>
      <c r="Y589" t="b">
        <v>0</v>
      </c>
      <c r="Z589" t="s">
        <v>52</v>
      </c>
      <c r="AA589">
        <f t="shared" si="114"/>
        <v>183.25192919217184</v>
      </c>
      <c r="AB589">
        <f t="shared" si="110"/>
        <v>0</v>
      </c>
      <c r="AC589">
        <f t="shared" si="109"/>
        <v>309.46519645548932</v>
      </c>
      <c r="AD589">
        <f t="shared" si="115"/>
        <v>0</v>
      </c>
      <c r="AE589">
        <f t="shared" ca="1" si="116"/>
        <v>0</v>
      </c>
    </row>
    <row r="590" spans="1:31" x14ac:dyDescent="0.3">
      <c r="A590">
        <f t="shared" si="111"/>
        <v>0</v>
      </c>
      <c r="B590" s="2">
        <f t="shared" si="112"/>
        <v>31.79020000015953</v>
      </c>
      <c r="C590" s="2">
        <f t="shared" si="117"/>
        <v>0</v>
      </c>
      <c r="D590" s="2">
        <f t="shared" si="113"/>
        <v>15.22177580000016</v>
      </c>
      <c r="E590" s="2"/>
      <c r="F590">
        <v>3236.8970734</v>
      </c>
      <c r="G590">
        <v>117</v>
      </c>
      <c r="H590">
        <v>351</v>
      </c>
      <c r="I590">
        <v>105.56100000000001</v>
      </c>
      <c r="J590">
        <v>360.56299999999999</v>
      </c>
      <c r="K590">
        <v>118.0878</v>
      </c>
      <c r="L590">
        <v>346.234119999999</v>
      </c>
      <c r="M590">
        <v>322.13763828690099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163.01599999999999</v>
      </c>
      <c r="V590">
        <v>0.495</v>
      </c>
      <c r="W590">
        <v>-0.501</v>
      </c>
      <c r="X590">
        <v>0</v>
      </c>
      <c r="Y590" t="b">
        <v>0</v>
      </c>
      <c r="Z590" t="s">
        <v>52</v>
      </c>
      <c r="AA590">
        <f t="shared" si="114"/>
        <v>183.25192919217184</v>
      </c>
      <c r="AB590">
        <f t="shared" si="110"/>
        <v>0</v>
      </c>
      <c r="AC590">
        <f t="shared" si="109"/>
        <v>309.46519645548932</v>
      </c>
      <c r="AD590">
        <f t="shared" si="115"/>
        <v>0</v>
      </c>
      <c r="AE590">
        <f t="shared" ca="1" si="116"/>
        <v>0</v>
      </c>
    </row>
    <row r="591" spans="1:31" x14ac:dyDescent="0.3">
      <c r="A591">
        <f t="shared" si="111"/>
        <v>0</v>
      </c>
      <c r="B591" s="2">
        <f t="shared" si="112"/>
        <v>31.876399999873684</v>
      </c>
      <c r="C591" s="2">
        <f t="shared" si="117"/>
        <v>0</v>
      </c>
      <c r="D591" s="2">
        <f t="shared" si="113"/>
        <v>15.253652200000033</v>
      </c>
      <c r="E591" s="2"/>
      <c r="F591">
        <v>3236.9289497999998</v>
      </c>
      <c r="G591">
        <v>117</v>
      </c>
      <c r="H591">
        <v>351</v>
      </c>
      <c r="I591">
        <v>105.56100000000001</v>
      </c>
      <c r="J591">
        <v>360.56299999999999</v>
      </c>
      <c r="K591">
        <v>118.0878</v>
      </c>
      <c r="L591">
        <v>346.234119999999</v>
      </c>
      <c r="M591">
        <v>322.13763828690099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163.018</v>
      </c>
      <c r="V591">
        <v>0.495</v>
      </c>
      <c r="W591">
        <v>-0.49399999999999999</v>
      </c>
      <c r="X591">
        <v>0</v>
      </c>
      <c r="Y591" t="b">
        <v>0</v>
      </c>
      <c r="Z591" t="s">
        <v>52</v>
      </c>
      <c r="AA591">
        <f t="shared" si="114"/>
        <v>183.25192919217184</v>
      </c>
      <c r="AB591">
        <f t="shared" si="110"/>
        <v>0</v>
      </c>
      <c r="AC591">
        <f t="shared" si="109"/>
        <v>309.46519645548932</v>
      </c>
      <c r="AD591">
        <f t="shared" si="115"/>
        <v>0</v>
      </c>
      <c r="AE591">
        <f t="shared" ca="1" si="116"/>
        <v>0</v>
      </c>
    </row>
    <row r="592" spans="1:31" x14ac:dyDescent="0.3">
      <c r="A592">
        <f t="shared" si="111"/>
        <v>0</v>
      </c>
      <c r="B592" s="2">
        <f t="shared" si="112"/>
        <v>30.817400000159978</v>
      </c>
      <c r="C592" s="2">
        <f t="shared" si="117"/>
        <v>0</v>
      </c>
      <c r="D592" s="2">
        <f t="shared" si="113"/>
        <v>15.284469600000193</v>
      </c>
      <c r="E592" s="2"/>
      <c r="F592">
        <v>3236.9597672</v>
      </c>
      <c r="G592">
        <v>117</v>
      </c>
      <c r="H592">
        <v>351</v>
      </c>
      <c r="I592">
        <v>105.56100000000001</v>
      </c>
      <c r="J592">
        <v>360.56299999999999</v>
      </c>
      <c r="K592">
        <v>118.0878</v>
      </c>
      <c r="L592">
        <v>346.234119999999</v>
      </c>
      <c r="M592">
        <v>322.13763828690099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163.018</v>
      </c>
      <c r="V592">
        <v>0.501</v>
      </c>
      <c r="W592">
        <v>-0.49399999999999999</v>
      </c>
      <c r="X592">
        <v>0</v>
      </c>
      <c r="Y592" t="b">
        <v>0</v>
      </c>
      <c r="Z592" t="s">
        <v>52</v>
      </c>
      <c r="AA592">
        <f t="shared" si="114"/>
        <v>183.25192919217184</v>
      </c>
      <c r="AB592">
        <f t="shared" si="110"/>
        <v>0</v>
      </c>
      <c r="AC592">
        <f t="shared" si="109"/>
        <v>309.46519645548932</v>
      </c>
      <c r="AD592">
        <f t="shared" si="115"/>
        <v>0</v>
      </c>
      <c r="AE592">
        <f t="shared" ca="1" si="116"/>
        <v>0</v>
      </c>
    </row>
    <row r="593" spans="1:31" x14ac:dyDescent="0.3">
      <c r="A593">
        <f t="shared" si="111"/>
        <v>0</v>
      </c>
      <c r="B593" s="2">
        <f t="shared" si="112"/>
        <v>30.93669999998383</v>
      </c>
      <c r="C593" s="2">
        <f t="shared" si="117"/>
        <v>0</v>
      </c>
      <c r="D593" s="2">
        <f t="shared" si="113"/>
        <v>15.315406300000177</v>
      </c>
      <c r="E593" s="2"/>
      <c r="F593">
        <v>3236.9907039</v>
      </c>
      <c r="G593">
        <v>117</v>
      </c>
      <c r="H593">
        <v>351</v>
      </c>
      <c r="I593">
        <v>105.56100000000001</v>
      </c>
      <c r="J593">
        <v>360.56299999999999</v>
      </c>
      <c r="K593">
        <v>118.0878</v>
      </c>
      <c r="L593">
        <v>346.234119999999</v>
      </c>
      <c r="M593">
        <v>322.13763828690099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163.02099999999999</v>
      </c>
      <c r="V593">
        <v>0.501</v>
      </c>
      <c r="W593">
        <v>-0.496</v>
      </c>
      <c r="X593">
        <v>0</v>
      </c>
      <c r="Y593" t="b">
        <v>0</v>
      </c>
      <c r="Z593" t="s">
        <v>52</v>
      </c>
      <c r="AA593">
        <f t="shared" si="114"/>
        <v>183.25192919217184</v>
      </c>
      <c r="AB593">
        <f t="shared" si="110"/>
        <v>0</v>
      </c>
      <c r="AC593">
        <f t="shared" si="109"/>
        <v>309.46519645548932</v>
      </c>
      <c r="AD593">
        <f t="shared" si="115"/>
        <v>0</v>
      </c>
      <c r="AE593">
        <f t="shared" ca="1" si="116"/>
        <v>0</v>
      </c>
    </row>
    <row r="594" spans="1:31" x14ac:dyDescent="0.3">
      <c r="A594">
        <f t="shared" si="111"/>
        <v>0</v>
      </c>
      <c r="B594" s="2">
        <f t="shared" si="112"/>
        <v>30.897399999957997</v>
      </c>
      <c r="C594" s="2">
        <f t="shared" si="117"/>
        <v>0</v>
      </c>
      <c r="D594" s="2">
        <f t="shared" si="113"/>
        <v>15.346303700000135</v>
      </c>
      <c r="E594" s="2"/>
      <c r="F594">
        <v>3237.0216012999999</v>
      </c>
      <c r="G594">
        <v>117</v>
      </c>
      <c r="H594">
        <v>351</v>
      </c>
      <c r="I594">
        <v>105.56100000000001</v>
      </c>
      <c r="J594">
        <v>360.56299999999999</v>
      </c>
      <c r="K594">
        <v>118.0878</v>
      </c>
      <c r="L594">
        <v>346.234119999999</v>
      </c>
      <c r="M594">
        <v>322.13763828690099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163.02099999999999</v>
      </c>
      <c r="V594">
        <v>0.51100000000000001</v>
      </c>
      <c r="W594">
        <v>-0.496</v>
      </c>
      <c r="X594">
        <v>0</v>
      </c>
      <c r="Y594" t="b">
        <v>0</v>
      </c>
      <c r="Z594" t="s">
        <v>52</v>
      </c>
      <c r="AA594">
        <f t="shared" si="114"/>
        <v>183.25192919217184</v>
      </c>
      <c r="AB594">
        <f t="shared" si="110"/>
        <v>0</v>
      </c>
      <c r="AC594">
        <f t="shared" si="109"/>
        <v>309.46519645548932</v>
      </c>
      <c r="AD594">
        <f t="shared" si="115"/>
        <v>0</v>
      </c>
      <c r="AE594">
        <f t="shared" ca="1" si="116"/>
        <v>0</v>
      </c>
    </row>
    <row r="595" spans="1:31" x14ac:dyDescent="0.3">
      <c r="A595">
        <f t="shared" si="111"/>
        <v>0</v>
      </c>
      <c r="B595" s="2">
        <f t="shared" si="112"/>
        <v>31.567600000016682</v>
      </c>
      <c r="C595" s="2">
        <f t="shared" si="117"/>
        <v>0</v>
      </c>
      <c r="D595" s="2">
        <f t="shared" si="113"/>
        <v>15.377871300000152</v>
      </c>
      <c r="E595" s="2"/>
      <c r="F595">
        <v>3237.0531688999999</v>
      </c>
      <c r="G595">
        <v>117</v>
      </c>
      <c r="H595">
        <v>351</v>
      </c>
      <c r="I595">
        <v>105.56100000000001</v>
      </c>
      <c r="J595">
        <v>360.56299999999999</v>
      </c>
      <c r="K595">
        <v>118.0878</v>
      </c>
      <c r="L595">
        <v>346.234119999999</v>
      </c>
      <c r="M595">
        <v>322.13763828690099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163.02099999999999</v>
      </c>
      <c r="V595">
        <v>0.51100000000000001</v>
      </c>
      <c r="W595">
        <v>-0.496</v>
      </c>
      <c r="X595">
        <v>0</v>
      </c>
      <c r="Y595" t="b">
        <v>0</v>
      </c>
      <c r="Z595" t="s">
        <v>52</v>
      </c>
      <c r="AA595">
        <f t="shared" si="114"/>
        <v>183.25192919217184</v>
      </c>
      <c r="AB595">
        <f t="shared" si="110"/>
        <v>0</v>
      </c>
      <c r="AC595">
        <f t="shared" si="109"/>
        <v>309.46519645548932</v>
      </c>
      <c r="AD595">
        <f t="shared" si="115"/>
        <v>0</v>
      </c>
      <c r="AE595">
        <f t="shared" ca="1" si="116"/>
        <v>0</v>
      </c>
    </row>
    <row r="596" spans="1:31" x14ac:dyDescent="0.3">
      <c r="A596">
        <f t="shared" si="111"/>
        <v>0</v>
      </c>
      <c r="B596" s="2">
        <f t="shared" si="112"/>
        <v>31.061700000009296</v>
      </c>
      <c r="C596" s="2">
        <f t="shared" si="117"/>
        <v>0</v>
      </c>
      <c r="D596" s="2">
        <f t="shared" si="113"/>
        <v>15.408933000000161</v>
      </c>
      <c r="E596" s="2"/>
      <c r="F596">
        <v>3237.0842306</v>
      </c>
      <c r="G596">
        <v>117</v>
      </c>
      <c r="H596">
        <v>351</v>
      </c>
      <c r="I596">
        <v>105.56100000000001</v>
      </c>
      <c r="J596">
        <v>360.56299999999999</v>
      </c>
      <c r="K596">
        <v>118.0878</v>
      </c>
      <c r="L596">
        <v>346.234119999999</v>
      </c>
      <c r="M596">
        <v>322.13763828690099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163.02199999999999</v>
      </c>
      <c r="V596">
        <v>0.51800000000000002</v>
      </c>
      <c r="W596">
        <v>-0.501</v>
      </c>
      <c r="X596">
        <v>0</v>
      </c>
      <c r="Y596" t="b">
        <v>0</v>
      </c>
      <c r="Z596" t="s">
        <v>52</v>
      </c>
      <c r="AA596">
        <f t="shared" si="114"/>
        <v>183.25192919217184</v>
      </c>
      <c r="AB596">
        <f t="shared" si="110"/>
        <v>0</v>
      </c>
      <c r="AC596">
        <f t="shared" si="109"/>
        <v>309.46519645548932</v>
      </c>
      <c r="AD596">
        <f t="shared" si="115"/>
        <v>0</v>
      </c>
      <c r="AE596">
        <f t="shared" ca="1" si="116"/>
        <v>0</v>
      </c>
    </row>
    <row r="597" spans="1:31" x14ac:dyDescent="0.3">
      <c r="A597">
        <f t="shared" si="111"/>
        <v>0</v>
      </c>
      <c r="B597" s="2">
        <f t="shared" si="112"/>
        <v>45.887199999924633</v>
      </c>
      <c r="C597" s="2">
        <f t="shared" si="117"/>
        <v>0</v>
      </c>
      <c r="D597" s="2">
        <f t="shared" si="113"/>
        <v>15.454820200000086</v>
      </c>
      <c r="E597" s="2"/>
      <c r="F597">
        <v>3237.1301177999999</v>
      </c>
      <c r="G597">
        <v>117</v>
      </c>
      <c r="H597">
        <v>351</v>
      </c>
      <c r="I597">
        <v>105.56100000000001</v>
      </c>
      <c r="J597">
        <v>360.56299999999999</v>
      </c>
      <c r="K597">
        <v>118.0878</v>
      </c>
      <c r="L597">
        <v>346.234119999999</v>
      </c>
      <c r="M597">
        <v>322.13763828690099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163.024</v>
      </c>
      <c r="V597">
        <v>0.51800000000000002</v>
      </c>
      <c r="W597">
        <v>-0.503</v>
      </c>
      <c r="X597">
        <v>0</v>
      </c>
      <c r="Y597" t="b">
        <v>0</v>
      </c>
      <c r="Z597" t="s">
        <v>52</v>
      </c>
      <c r="AA597">
        <f t="shared" si="114"/>
        <v>183.25192919217184</v>
      </c>
      <c r="AB597">
        <f t="shared" si="110"/>
        <v>0</v>
      </c>
      <c r="AC597">
        <f t="shared" si="109"/>
        <v>309.46519645548932</v>
      </c>
      <c r="AD597">
        <f t="shared" si="115"/>
        <v>0</v>
      </c>
      <c r="AE597">
        <f t="shared" ca="1" si="116"/>
        <v>0</v>
      </c>
    </row>
    <row r="598" spans="1:31" x14ac:dyDescent="0.3">
      <c r="A598">
        <f t="shared" si="111"/>
        <v>0</v>
      </c>
      <c r="B598" s="2">
        <f t="shared" si="112"/>
        <v>31.335200000285113</v>
      </c>
      <c r="C598" s="2">
        <f t="shared" si="117"/>
        <v>0</v>
      </c>
      <c r="D598" s="2">
        <f t="shared" si="113"/>
        <v>15.486155400000371</v>
      </c>
      <c r="E598" s="2"/>
      <c r="F598">
        <v>3237.1614530000002</v>
      </c>
      <c r="G598">
        <v>117</v>
      </c>
      <c r="H598">
        <v>351</v>
      </c>
      <c r="I598">
        <v>105.56100000000001</v>
      </c>
      <c r="J598">
        <v>360.56299999999999</v>
      </c>
      <c r="K598">
        <v>118.0878</v>
      </c>
      <c r="L598">
        <v>346.234119999999</v>
      </c>
      <c r="M598">
        <v>322.13763828690099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163.024</v>
      </c>
      <c r="V598">
        <v>0.52500000000000002</v>
      </c>
      <c r="W598">
        <v>-0.503</v>
      </c>
      <c r="X598">
        <v>0</v>
      </c>
      <c r="Y598" t="b">
        <v>0</v>
      </c>
      <c r="Z598" t="s">
        <v>52</v>
      </c>
      <c r="AA598">
        <f t="shared" si="114"/>
        <v>183.25192919217184</v>
      </c>
      <c r="AB598">
        <f t="shared" si="110"/>
        <v>0</v>
      </c>
      <c r="AC598">
        <f t="shared" si="109"/>
        <v>309.46519645548932</v>
      </c>
      <c r="AD598">
        <f t="shared" si="115"/>
        <v>0</v>
      </c>
      <c r="AE598">
        <f t="shared" ca="1" si="116"/>
        <v>0</v>
      </c>
    </row>
    <row r="599" spans="1:31" x14ac:dyDescent="0.3">
      <c r="A599">
        <f t="shared" si="111"/>
        <v>0</v>
      </c>
      <c r="B599" s="2">
        <f t="shared" si="112"/>
        <v>31.988400000045658</v>
      </c>
      <c r="C599" s="2">
        <f t="shared" si="117"/>
        <v>0</v>
      </c>
      <c r="D599" s="2">
        <f t="shared" si="113"/>
        <v>15.518143800000416</v>
      </c>
      <c r="E599" s="2"/>
      <c r="F599">
        <v>3237.1934414000002</v>
      </c>
      <c r="G599">
        <v>117</v>
      </c>
      <c r="H599">
        <v>351</v>
      </c>
      <c r="I599">
        <v>105.56100000000001</v>
      </c>
      <c r="J599">
        <v>360.56299999999999</v>
      </c>
      <c r="K599">
        <v>118.0878</v>
      </c>
      <c r="L599">
        <v>346.234119999999</v>
      </c>
      <c r="M599">
        <v>322.13763828690099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163.029</v>
      </c>
      <c r="V599">
        <v>0.52500000000000002</v>
      </c>
      <c r="W599">
        <v>-0.50700000000000001</v>
      </c>
      <c r="X599">
        <v>0</v>
      </c>
      <c r="Y599" t="b">
        <v>0</v>
      </c>
      <c r="Z599" t="s">
        <v>52</v>
      </c>
      <c r="AA599">
        <f t="shared" si="114"/>
        <v>183.25192919217184</v>
      </c>
      <c r="AB599">
        <f t="shared" si="110"/>
        <v>0</v>
      </c>
      <c r="AC599">
        <f t="shared" si="109"/>
        <v>309.46519645548932</v>
      </c>
      <c r="AD599">
        <f t="shared" si="115"/>
        <v>0</v>
      </c>
      <c r="AE599">
        <f t="shared" ca="1" si="116"/>
        <v>0</v>
      </c>
    </row>
    <row r="600" spans="1:31" x14ac:dyDescent="0.3">
      <c r="A600">
        <f t="shared" si="111"/>
        <v>0</v>
      </c>
      <c r="B600" s="2">
        <f t="shared" si="112"/>
        <v>31.219899999996414</v>
      </c>
      <c r="C600" s="2">
        <f t="shared" si="117"/>
        <v>0</v>
      </c>
      <c r="D600" s="2">
        <f t="shared" si="113"/>
        <v>15.549363700000413</v>
      </c>
      <c r="E600" s="2"/>
      <c r="F600">
        <v>3237.2246613000002</v>
      </c>
      <c r="G600">
        <v>117</v>
      </c>
      <c r="H600">
        <v>351</v>
      </c>
      <c r="I600">
        <v>105.56100000000001</v>
      </c>
      <c r="J600">
        <v>360.56299999999999</v>
      </c>
      <c r="K600">
        <v>118.0878</v>
      </c>
      <c r="L600">
        <v>346.234119999999</v>
      </c>
      <c r="M600">
        <v>322.13763828690099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163.029</v>
      </c>
      <c r="V600">
        <v>0.54400000000000004</v>
      </c>
      <c r="W600">
        <v>-0.50700000000000001</v>
      </c>
      <c r="X600">
        <v>0</v>
      </c>
      <c r="Y600" t="b">
        <v>0</v>
      </c>
      <c r="Z600" t="s">
        <v>52</v>
      </c>
      <c r="AA600">
        <f t="shared" si="114"/>
        <v>183.25192919217184</v>
      </c>
      <c r="AB600">
        <f t="shared" si="110"/>
        <v>0</v>
      </c>
      <c r="AC600">
        <f t="shared" si="109"/>
        <v>309.46519645548932</v>
      </c>
      <c r="AD600">
        <f t="shared" si="115"/>
        <v>0</v>
      </c>
      <c r="AE600">
        <f t="shared" ca="1" si="116"/>
        <v>0</v>
      </c>
    </row>
    <row r="601" spans="1:31" x14ac:dyDescent="0.3">
      <c r="A601">
        <f t="shared" si="111"/>
        <v>0</v>
      </c>
      <c r="B601" s="2">
        <f t="shared" si="112"/>
        <v>30.76969999983703</v>
      </c>
      <c r="C601" s="2">
        <f t="shared" si="117"/>
        <v>0</v>
      </c>
      <c r="D601" s="2">
        <f t="shared" si="113"/>
        <v>15.58013340000025</v>
      </c>
      <c r="E601" s="2"/>
      <c r="F601">
        <v>3237.255431</v>
      </c>
      <c r="G601">
        <v>117</v>
      </c>
      <c r="H601">
        <v>351</v>
      </c>
      <c r="I601">
        <v>105.56100000000001</v>
      </c>
      <c r="J601">
        <v>360.56299999999999</v>
      </c>
      <c r="K601">
        <v>118.0878</v>
      </c>
      <c r="L601">
        <v>346.234119999999</v>
      </c>
      <c r="M601">
        <v>322.13763828690099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163.03200000000001</v>
      </c>
      <c r="V601">
        <v>0.54400000000000004</v>
      </c>
      <c r="W601">
        <v>-0.502</v>
      </c>
      <c r="X601">
        <v>0</v>
      </c>
      <c r="Y601" t="b">
        <v>0</v>
      </c>
      <c r="Z601" t="s">
        <v>52</v>
      </c>
      <c r="AA601">
        <f t="shared" si="114"/>
        <v>183.25192919217184</v>
      </c>
      <c r="AB601">
        <f t="shared" si="110"/>
        <v>0</v>
      </c>
      <c r="AC601">
        <f t="shared" si="109"/>
        <v>309.46519645548932</v>
      </c>
      <c r="AD601">
        <f t="shared" si="115"/>
        <v>0</v>
      </c>
      <c r="AE601">
        <f t="shared" ca="1" si="116"/>
        <v>0</v>
      </c>
    </row>
    <row r="602" spans="1:31" x14ac:dyDescent="0.3">
      <c r="A602">
        <f t="shared" si="111"/>
        <v>0</v>
      </c>
      <c r="B602" s="2">
        <f t="shared" si="112"/>
        <v>30.720499999915774</v>
      </c>
      <c r="C602" s="2">
        <f t="shared" si="117"/>
        <v>0</v>
      </c>
      <c r="D602" s="2">
        <f t="shared" si="113"/>
        <v>15.610853900000166</v>
      </c>
      <c r="E602" s="2"/>
      <c r="F602">
        <v>3237.2861515</v>
      </c>
      <c r="G602">
        <v>117</v>
      </c>
      <c r="H602">
        <v>351</v>
      </c>
      <c r="I602">
        <v>105.56100000000001</v>
      </c>
      <c r="J602">
        <v>360.56299999999999</v>
      </c>
      <c r="K602">
        <v>118.0878</v>
      </c>
      <c r="L602">
        <v>346.234119999999</v>
      </c>
      <c r="M602">
        <v>322.13763828690099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163.03200000000001</v>
      </c>
      <c r="V602">
        <v>0.55000000000000004</v>
      </c>
      <c r="W602">
        <v>-0.502</v>
      </c>
      <c r="X602">
        <v>0</v>
      </c>
      <c r="Y602" t="b">
        <v>0</v>
      </c>
      <c r="Z602" t="s">
        <v>52</v>
      </c>
      <c r="AA602">
        <f t="shared" si="114"/>
        <v>183.25192919217184</v>
      </c>
      <c r="AB602">
        <f t="shared" si="110"/>
        <v>0</v>
      </c>
      <c r="AC602">
        <f t="shared" si="109"/>
        <v>309.46519645548932</v>
      </c>
      <c r="AD602">
        <f t="shared" si="115"/>
        <v>0</v>
      </c>
      <c r="AE602">
        <f t="shared" ca="1" si="116"/>
        <v>0</v>
      </c>
    </row>
    <row r="603" spans="1:31" x14ac:dyDescent="0.3">
      <c r="A603">
        <f t="shared" si="111"/>
        <v>0</v>
      </c>
      <c r="B603" s="2">
        <f t="shared" si="112"/>
        <v>31.676099999913276</v>
      </c>
      <c r="C603" s="2">
        <f t="shared" si="117"/>
        <v>0</v>
      </c>
      <c r="D603" s="2">
        <f t="shared" si="113"/>
        <v>15.642530000000079</v>
      </c>
      <c r="E603" s="2"/>
      <c r="F603">
        <v>3237.3178275999999</v>
      </c>
      <c r="G603">
        <v>117</v>
      </c>
      <c r="H603">
        <v>351</v>
      </c>
      <c r="I603">
        <v>105.56100000000001</v>
      </c>
      <c r="J603">
        <v>360.56299999999999</v>
      </c>
      <c r="K603">
        <v>118.0878</v>
      </c>
      <c r="L603">
        <v>346.234119999999</v>
      </c>
      <c r="M603">
        <v>322.13763828690099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163.036</v>
      </c>
      <c r="V603">
        <v>0.55000000000000004</v>
      </c>
      <c r="W603">
        <v>-0.501</v>
      </c>
      <c r="X603">
        <v>0</v>
      </c>
      <c r="Y603" t="b">
        <v>0</v>
      </c>
      <c r="Z603" t="s">
        <v>52</v>
      </c>
      <c r="AA603">
        <f t="shared" si="114"/>
        <v>183.25192919217184</v>
      </c>
      <c r="AB603">
        <f t="shared" si="110"/>
        <v>0</v>
      </c>
      <c r="AC603">
        <f t="shared" si="109"/>
        <v>309.46519645548932</v>
      </c>
      <c r="AD603">
        <f t="shared" si="115"/>
        <v>0</v>
      </c>
      <c r="AE603">
        <f t="shared" ca="1" si="116"/>
        <v>0</v>
      </c>
    </row>
    <row r="604" spans="1:31" x14ac:dyDescent="0.3">
      <c r="A604">
        <f t="shared" si="111"/>
        <v>0</v>
      </c>
      <c r="B604" s="2">
        <f t="shared" si="112"/>
        <v>32.045700000253419</v>
      </c>
      <c r="C604" s="2">
        <f t="shared" si="117"/>
        <v>0</v>
      </c>
      <c r="D604" s="2">
        <f t="shared" si="113"/>
        <v>15.674575700000332</v>
      </c>
      <c r="E604" s="2"/>
      <c r="F604">
        <v>3237.3498733000001</v>
      </c>
      <c r="G604">
        <v>117</v>
      </c>
      <c r="H604">
        <v>351</v>
      </c>
      <c r="I604">
        <v>105.56100000000001</v>
      </c>
      <c r="J604">
        <v>360.56299999999999</v>
      </c>
      <c r="K604">
        <v>118.0878</v>
      </c>
      <c r="L604">
        <v>346.234119999999</v>
      </c>
      <c r="M604">
        <v>322.13763828690099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163.036</v>
      </c>
      <c r="V604">
        <v>0.55000000000000004</v>
      </c>
      <c r="W604">
        <v>-0.501</v>
      </c>
      <c r="X604">
        <v>0</v>
      </c>
      <c r="Y604" t="b">
        <v>0</v>
      </c>
      <c r="Z604" t="s">
        <v>52</v>
      </c>
      <c r="AA604">
        <f t="shared" si="114"/>
        <v>183.25192919217184</v>
      </c>
      <c r="AB604">
        <f t="shared" si="110"/>
        <v>0</v>
      </c>
      <c r="AC604">
        <f t="shared" si="109"/>
        <v>309.46519645548932</v>
      </c>
      <c r="AD604">
        <f t="shared" si="115"/>
        <v>0</v>
      </c>
      <c r="AE604">
        <f t="shared" ca="1" si="116"/>
        <v>0</v>
      </c>
    </row>
    <row r="605" spans="1:31" x14ac:dyDescent="0.3">
      <c r="A605">
        <f t="shared" si="111"/>
        <v>0</v>
      </c>
      <c r="B605" s="2">
        <f t="shared" si="112"/>
        <v>30.331899999964662</v>
      </c>
      <c r="C605" s="2">
        <f t="shared" si="117"/>
        <v>0</v>
      </c>
      <c r="D605" s="2">
        <f t="shared" si="113"/>
        <v>15.704907600000297</v>
      </c>
      <c r="E605" s="2"/>
      <c r="F605">
        <v>3237.3802052000001</v>
      </c>
      <c r="G605">
        <v>117</v>
      </c>
      <c r="H605">
        <v>351</v>
      </c>
      <c r="I605">
        <v>105.56100000000001</v>
      </c>
      <c r="J605">
        <v>360.56299999999999</v>
      </c>
      <c r="K605">
        <v>118.0878</v>
      </c>
      <c r="L605">
        <v>346.234119999999</v>
      </c>
      <c r="M605">
        <v>322.13763828690099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163.03899999999999</v>
      </c>
      <c r="V605">
        <v>0.55900000000000005</v>
      </c>
      <c r="W605">
        <v>-0.502</v>
      </c>
      <c r="X605">
        <v>0</v>
      </c>
      <c r="Y605" t="b">
        <v>0</v>
      </c>
      <c r="Z605" t="s">
        <v>52</v>
      </c>
      <c r="AA605">
        <f t="shared" si="114"/>
        <v>183.25192919217184</v>
      </c>
      <c r="AB605">
        <f t="shared" si="110"/>
        <v>0</v>
      </c>
      <c r="AC605">
        <f t="shared" si="109"/>
        <v>309.46519645548932</v>
      </c>
      <c r="AD605">
        <f t="shared" si="115"/>
        <v>0</v>
      </c>
      <c r="AE605">
        <f t="shared" ca="1" si="116"/>
        <v>0</v>
      </c>
    </row>
    <row r="606" spans="1:31" x14ac:dyDescent="0.3">
      <c r="A606">
        <f t="shared" si="111"/>
        <v>0</v>
      </c>
      <c r="B606" s="2">
        <f t="shared" si="112"/>
        <v>47.012199999699078</v>
      </c>
      <c r="C606" s="2">
        <f t="shared" si="117"/>
        <v>0</v>
      </c>
      <c r="D606" s="2">
        <f t="shared" si="113"/>
        <v>15.751919799999996</v>
      </c>
      <c r="E606" s="2"/>
      <c r="F606">
        <v>3237.4272173999998</v>
      </c>
      <c r="G606">
        <v>117</v>
      </c>
      <c r="H606">
        <v>351</v>
      </c>
      <c r="I606">
        <v>105.56100000000001</v>
      </c>
      <c r="J606">
        <v>360.56299999999999</v>
      </c>
      <c r="K606">
        <v>118.0878</v>
      </c>
      <c r="L606">
        <v>346.234119999999</v>
      </c>
      <c r="M606">
        <v>322.13763828690099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163.042</v>
      </c>
      <c r="V606">
        <v>0.56799999999999995</v>
      </c>
      <c r="W606">
        <v>-0.50700000000000001</v>
      </c>
      <c r="X606">
        <v>0</v>
      </c>
      <c r="Y606" t="b">
        <v>0</v>
      </c>
      <c r="Z606" t="s">
        <v>52</v>
      </c>
      <c r="AA606">
        <f t="shared" si="114"/>
        <v>183.25192919217184</v>
      </c>
      <c r="AB606">
        <f t="shared" si="110"/>
        <v>0</v>
      </c>
      <c r="AC606">
        <f t="shared" si="109"/>
        <v>309.46519645548932</v>
      </c>
      <c r="AD606">
        <f t="shared" si="115"/>
        <v>0</v>
      </c>
      <c r="AE606">
        <f t="shared" ca="1" si="116"/>
        <v>0</v>
      </c>
    </row>
    <row r="607" spans="1:31" x14ac:dyDescent="0.3">
      <c r="A607">
        <f t="shared" si="111"/>
        <v>0</v>
      </c>
      <c r="B607" s="2">
        <f t="shared" si="112"/>
        <v>62.509400000180904</v>
      </c>
      <c r="C607" s="2">
        <f t="shared" si="117"/>
        <v>0</v>
      </c>
      <c r="D607" s="2">
        <f t="shared" si="113"/>
        <v>15.814429200000177</v>
      </c>
      <c r="E607" s="2"/>
      <c r="F607">
        <v>3237.4897268</v>
      </c>
      <c r="G607">
        <v>117</v>
      </c>
      <c r="H607">
        <v>351</v>
      </c>
      <c r="I607">
        <v>105.56100000000001</v>
      </c>
      <c r="J607">
        <v>360.56299999999999</v>
      </c>
      <c r="K607">
        <v>118.0878</v>
      </c>
      <c r="L607">
        <v>346.234119999999</v>
      </c>
      <c r="M607">
        <v>322.13763828690099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163.042</v>
      </c>
      <c r="V607">
        <v>0.56799999999999995</v>
      </c>
      <c r="W607">
        <v>-0.50700000000000001</v>
      </c>
      <c r="X607">
        <v>0</v>
      </c>
      <c r="Y607" t="b">
        <v>0</v>
      </c>
      <c r="Z607" t="s">
        <v>52</v>
      </c>
      <c r="AA607">
        <f t="shared" si="114"/>
        <v>183.25192919217184</v>
      </c>
      <c r="AB607">
        <f t="shared" si="110"/>
        <v>0</v>
      </c>
      <c r="AC607">
        <f t="shared" si="109"/>
        <v>309.46519645548932</v>
      </c>
      <c r="AD607">
        <f t="shared" si="115"/>
        <v>0</v>
      </c>
      <c r="AE607">
        <f t="shared" ca="1" si="116"/>
        <v>0</v>
      </c>
    </row>
    <row r="608" spans="1:31" x14ac:dyDescent="0.3">
      <c r="A608">
        <f t="shared" si="111"/>
        <v>0</v>
      </c>
      <c r="B608" s="2">
        <f t="shared" si="112"/>
        <v>15.527999999903841</v>
      </c>
      <c r="C608" s="2">
        <f t="shared" si="117"/>
        <v>0</v>
      </c>
      <c r="D608" s="2">
        <f t="shared" si="113"/>
        <v>15.829957200000081</v>
      </c>
      <c r="E608" s="2"/>
      <c r="F608">
        <v>3237.5052547999999</v>
      </c>
      <c r="G608">
        <v>117</v>
      </c>
      <c r="H608">
        <v>351</v>
      </c>
      <c r="I608">
        <v>105.56100000000001</v>
      </c>
      <c r="J608">
        <v>360.56299999999999</v>
      </c>
      <c r="K608">
        <v>118.0878</v>
      </c>
      <c r="L608">
        <v>346.234119999999</v>
      </c>
      <c r="M608">
        <v>322.13763828690099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163.042</v>
      </c>
      <c r="V608">
        <v>0.57399999999999995</v>
      </c>
      <c r="W608">
        <v>-0.50700000000000001</v>
      </c>
      <c r="X608">
        <v>0</v>
      </c>
      <c r="Y608" t="b">
        <v>0</v>
      </c>
      <c r="Z608" t="s">
        <v>52</v>
      </c>
      <c r="AA608">
        <f t="shared" si="114"/>
        <v>183.25192919217184</v>
      </c>
      <c r="AB608">
        <f t="shared" si="110"/>
        <v>0</v>
      </c>
      <c r="AC608">
        <f t="shared" si="109"/>
        <v>309.46519645548932</v>
      </c>
      <c r="AD608">
        <f t="shared" si="115"/>
        <v>0</v>
      </c>
      <c r="AE608">
        <f t="shared" ca="1" si="116"/>
        <v>0</v>
      </c>
    </row>
    <row r="609" spans="1:31" x14ac:dyDescent="0.3">
      <c r="A609">
        <f t="shared" si="111"/>
        <v>0</v>
      </c>
      <c r="B609" s="2">
        <f t="shared" si="112"/>
        <v>15.289599999960046</v>
      </c>
      <c r="C609" s="2">
        <f t="shared" si="117"/>
        <v>0</v>
      </c>
      <c r="D609" s="2">
        <f t="shared" si="113"/>
        <v>15.845246800000041</v>
      </c>
      <c r="E609" s="2"/>
      <c r="F609">
        <v>3237.5205443999998</v>
      </c>
      <c r="G609">
        <v>117</v>
      </c>
      <c r="H609">
        <v>351</v>
      </c>
      <c r="I609">
        <v>105.56100000000001</v>
      </c>
      <c r="J609">
        <v>360.56299999999999</v>
      </c>
      <c r="K609">
        <v>118.0878</v>
      </c>
      <c r="L609">
        <v>346.234119999999</v>
      </c>
      <c r="M609">
        <v>322.13763828690099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163.04599999999999</v>
      </c>
      <c r="V609">
        <v>0.57399999999999995</v>
      </c>
      <c r="W609">
        <v>-0.504</v>
      </c>
      <c r="X609">
        <v>0</v>
      </c>
      <c r="Y609" t="b">
        <v>0</v>
      </c>
      <c r="Z609" t="s">
        <v>52</v>
      </c>
      <c r="AA609">
        <f t="shared" si="114"/>
        <v>183.25192919217184</v>
      </c>
      <c r="AB609">
        <f t="shared" si="110"/>
        <v>0</v>
      </c>
      <c r="AC609">
        <f t="shared" si="109"/>
        <v>309.46519645548932</v>
      </c>
      <c r="AD609">
        <f t="shared" si="115"/>
        <v>0</v>
      </c>
      <c r="AE609">
        <f t="shared" ca="1" si="116"/>
        <v>0</v>
      </c>
    </row>
    <row r="610" spans="1:31" x14ac:dyDescent="0.3">
      <c r="A610">
        <f t="shared" si="111"/>
        <v>0</v>
      </c>
      <c r="B610" s="2">
        <f t="shared" si="112"/>
        <v>30.805700000200886</v>
      </c>
      <c r="C610" s="2">
        <f t="shared" si="117"/>
        <v>0</v>
      </c>
      <c r="D610" s="2">
        <f t="shared" si="113"/>
        <v>15.876052500000242</v>
      </c>
      <c r="E610" s="2"/>
      <c r="F610">
        <v>3237.5513501</v>
      </c>
      <c r="G610">
        <v>117</v>
      </c>
      <c r="H610">
        <v>351</v>
      </c>
      <c r="I610">
        <v>105.56100000000001</v>
      </c>
      <c r="J610">
        <v>360.56299999999999</v>
      </c>
      <c r="K610">
        <v>118.0878</v>
      </c>
      <c r="L610">
        <v>346.234119999999</v>
      </c>
      <c r="M610">
        <v>322.13763828690099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163.04599999999999</v>
      </c>
      <c r="V610">
        <v>0.57799999999999996</v>
      </c>
      <c r="W610">
        <v>-0.504</v>
      </c>
      <c r="X610">
        <v>0</v>
      </c>
      <c r="Y610" t="b">
        <v>0</v>
      </c>
      <c r="Z610" t="s">
        <v>52</v>
      </c>
      <c r="AA610">
        <f t="shared" si="114"/>
        <v>183.25192919217184</v>
      </c>
      <c r="AB610">
        <f t="shared" ref="AB610:AB620" si="118">R610*100</f>
        <v>0</v>
      </c>
      <c r="AC610">
        <f t="shared" si="109"/>
        <v>309.46519645548932</v>
      </c>
      <c r="AD610">
        <f t="shared" si="115"/>
        <v>0</v>
      </c>
      <c r="AE610">
        <f t="shared" ca="1" si="116"/>
        <v>0</v>
      </c>
    </row>
    <row r="611" spans="1:31" x14ac:dyDescent="0.3">
      <c r="A611">
        <f t="shared" si="111"/>
        <v>0</v>
      </c>
      <c r="B611" s="2">
        <f t="shared" si="112"/>
        <v>29.957799999920098</v>
      </c>
      <c r="C611" s="2">
        <f t="shared" si="117"/>
        <v>0</v>
      </c>
      <c r="D611" s="2">
        <f t="shared" si="113"/>
        <v>15.906010300000162</v>
      </c>
      <c r="E611" s="2"/>
      <c r="F611">
        <v>3237.5813079</v>
      </c>
      <c r="G611">
        <v>117</v>
      </c>
      <c r="H611">
        <v>351</v>
      </c>
      <c r="I611">
        <v>105.56100000000001</v>
      </c>
      <c r="J611">
        <v>360.56299999999999</v>
      </c>
      <c r="K611">
        <v>118.0878</v>
      </c>
      <c r="L611">
        <v>346.234119999999</v>
      </c>
      <c r="M611">
        <v>322.13763828690099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163.048</v>
      </c>
      <c r="V611">
        <v>0.57799999999999996</v>
      </c>
      <c r="W611">
        <v>-0.50800000000000001</v>
      </c>
      <c r="X611">
        <v>0</v>
      </c>
      <c r="Y611" t="b">
        <v>0</v>
      </c>
      <c r="Z611" t="s">
        <v>52</v>
      </c>
      <c r="AA611">
        <f t="shared" si="114"/>
        <v>183.25192919217184</v>
      </c>
      <c r="AB611">
        <f t="shared" si="118"/>
        <v>0</v>
      </c>
      <c r="AC611">
        <f t="shared" si="109"/>
        <v>309.46519645548932</v>
      </c>
      <c r="AD611">
        <f t="shared" si="115"/>
        <v>0</v>
      </c>
      <c r="AE611">
        <f t="shared" ca="1" si="116"/>
        <v>0</v>
      </c>
    </row>
    <row r="612" spans="1:31" x14ac:dyDescent="0.3">
      <c r="A612">
        <f t="shared" si="111"/>
        <v>0</v>
      </c>
      <c r="B612" s="2">
        <f t="shared" si="112"/>
        <v>30.185500000243337</v>
      </c>
      <c r="C612" s="2">
        <f t="shared" si="117"/>
        <v>0</v>
      </c>
      <c r="D612" s="2">
        <f t="shared" si="113"/>
        <v>15.936195800000405</v>
      </c>
      <c r="E612" s="2"/>
      <c r="F612">
        <v>3237.6114934000002</v>
      </c>
      <c r="G612">
        <v>117</v>
      </c>
      <c r="H612">
        <v>351</v>
      </c>
      <c r="I612">
        <v>105.56100000000001</v>
      </c>
      <c r="J612">
        <v>360.56299999999999</v>
      </c>
      <c r="K612">
        <v>118.0878</v>
      </c>
      <c r="L612">
        <v>346.234119999999</v>
      </c>
      <c r="M612">
        <v>322.13763828690099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163.048</v>
      </c>
      <c r="V612">
        <v>0.57799999999999996</v>
      </c>
      <c r="W612">
        <v>-0.50800000000000001</v>
      </c>
      <c r="X612">
        <v>0</v>
      </c>
      <c r="Y612" t="b">
        <v>0</v>
      </c>
      <c r="Z612" t="s">
        <v>52</v>
      </c>
      <c r="AA612">
        <f t="shared" si="114"/>
        <v>183.25192919217184</v>
      </c>
      <c r="AB612">
        <f t="shared" si="118"/>
        <v>0</v>
      </c>
      <c r="AC612">
        <f t="shared" si="109"/>
        <v>309.46519645548932</v>
      </c>
      <c r="AD612">
        <f t="shared" si="115"/>
        <v>0</v>
      </c>
      <c r="AE612">
        <f t="shared" ca="1" si="116"/>
        <v>0</v>
      </c>
    </row>
    <row r="613" spans="1:31" x14ac:dyDescent="0.3">
      <c r="A613">
        <f t="shared" si="111"/>
        <v>0</v>
      </c>
      <c r="B613" s="2">
        <f t="shared" si="112"/>
        <v>31.004799999664101</v>
      </c>
      <c r="C613" s="2">
        <f t="shared" si="117"/>
        <v>0</v>
      </c>
      <c r="D613" s="2">
        <f t="shared" si="113"/>
        <v>15.967200600000069</v>
      </c>
      <c r="E613" s="2"/>
      <c r="F613">
        <v>3237.6424981999999</v>
      </c>
      <c r="G613">
        <v>117</v>
      </c>
      <c r="H613">
        <v>351</v>
      </c>
      <c r="I613">
        <v>105.56100000000001</v>
      </c>
      <c r="J613">
        <v>360.56299999999999</v>
      </c>
      <c r="K613">
        <v>118.0878</v>
      </c>
      <c r="L613">
        <v>346.234119999999</v>
      </c>
      <c r="M613">
        <v>322.13763828690099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163.048</v>
      </c>
      <c r="V613">
        <v>0.59299999999999997</v>
      </c>
      <c r="W613">
        <v>-0.50800000000000001</v>
      </c>
      <c r="X613">
        <v>0</v>
      </c>
      <c r="Y613" t="b">
        <v>0</v>
      </c>
      <c r="Z613" t="s">
        <v>52</v>
      </c>
      <c r="AA613">
        <f t="shared" si="114"/>
        <v>183.25192919217184</v>
      </c>
      <c r="AB613">
        <f t="shared" si="118"/>
        <v>0</v>
      </c>
      <c r="AC613">
        <f t="shared" si="109"/>
        <v>309.46519645548932</v>
      </c>
      <c r="AD613">
        <f t="shared" si="115"/>
        <v>0</v>
      </c>
      <c r="AE613">
        <f t="shared" ca="1" si="116"/>
        <v>0</v>
      </c>
    </row>
    <row r="614" spans="1:31" x14ac:dyDescent="0.3">
      <c r="A614">
        <f t="shared" si="111"/>
        <v>0</v>
      </c>
      <c r="B614" s="2">
        <f t="shared" si="112"/>
        <v>31.286599999930331</v>
      </c>
      <c r="C614" s="2">
        <f t="shared" si="117"/>
        <v>0</v>
      </c>
      <c r="D614" s="2">
        <f t="shared" si="113"/>
        <v>15.9984872</v>
      </c>
      <c r="E614" s="2"/>
      <c r="F614">
        <v>3237.6737847999998</v>
      </c>
      <c r="G614">
        <v>117</v>
      </c>
      <c r="H614">
        <v>351</v>
      </c>
      <c r="I614">
        <v>105.56100000000001</v>
      </c>
      <c r="J614">
        <v>360.56299999999999</v>
      </c>
      <c r="K614">
        <v>118.0878</v>
      </c>
      <c r="L614">
        <v>346.234119999999</v>
      </c>
      <c r="M614">
        <v>322.13763828690099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163.05099999999999</v>
      </c>
      <c r="V614">
        <v>0.60199999999999998</v>
      </c>
      <c r="W614">
        <v>-0.50700000000000001</v>
      </c>
      <c r="X614">
        <v>0</v>
      </c>
      <c r="Y614" t="b">
        <v>0</v>
      </c>
      <c r="Z614" t="s">
        <v>52</v>
      </c>
      <c r="AA614">
        <f t="shared" si="114"/>
        <v>183.25192919217184</v>
      </c>
      <c r="AB614">
        <f t="shared" si="118"/>
        <v>0</v>
      </c>
      <c r="AC614">
        <f t="shared" si="109"/>
        <v>309.46519645548932</v>
      </c>
      <c r="AD614">
        <f t="shared" si="115"/>
        <v>0</v>
      </c>
      <c r="AE614">
        <f t="shared" ca="1" si="116"/>
        <v>0</v>
      </c>
    </row>
    <row r="615" spans="1:31" x14ac:dyDescent="0.3">
      <c r="A615">
        <f t="shared" si="111"/>
        <v>0</v>
      </c>
      <c r="B615" s="2">
        <f t="shared" si="112"/>
        <v>31.383400000322581</v>
      </c>
      <c r="C615" s="2">
        <f t="shared" si="117"/>
        <v>0</v>
      </c>
      <c r="D615" s="2">
        <f t="shared" si="113"/>
        <v>16.029870600000322</v>
      </c>
      <c r="E615" s="2"/>
      <c r="F615">
        <v>3237.7051682000001</v>
      </c>
      <c r="G615">
        <v>117</v>
      </c>
      <c r="H615">
        <v>351</v>
      </c>
      <c r="I615">
        <v>105.56100000000001</v>
      </c>
      <c r="J615">
        <v>360.56299999999999</v>
      </c>
      <c r="K615">
        <v>118.0878</v>
      </c>
      <c r="L615">
        <v>346.234119999999</v>
      </c>
      <c r="M615">
        <v>322.13763828690099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163.05500000000001</v>
      </c>
      <c r="V615">
        <v>0.60199999999999998</v>
      </c>
      <c r="W615">
        <v>-0.503</v>
      </c>
      <c r="X615">
        <v>0</v>
      </c>
      <c r="Y615" t="b">
        <v>0</v>
      </c>
      <c r="Z615" t="s">
        <v>52</v>
      </c>
      <c r="AA615">
        <f t="shared" si="114"/>
        <v>183.25192919217184</v>
      </c>
      <c r="AB615">
        <f t="shared" si="118"/>
        <v>0</v>
      </c>
      <c r="AC615">
        <f t="shared" si="109"/>
        <v>309.46519645548932</v>
      </c>
      <c r="AD615">
        <f t="shared" si="115"/>
        <v>0</v>
      </c>
      <c r="AE615">
        <f t="shared" ca="1" si="116"/>
        <v>0</v>
      </c>
    </row>
    <row r="616" spans="1:31" x14ac:dyDescent="0.3">
      <c r="A616">
        <f t="shared" si="111"/>
        <v>0</v>
      </c>
      <c r="B616" s="2">
        <f t="shared" si="112"/>
        <v>46.377099999972415</v>
      </c>
      <c r="C616" s="2">
        <f t="shared" si="117"/>
        <v>0</v>
      </c>
      <c r="D616" s="2">
        <f t="shared" si="113"/>
        <v>16.076247700000295</v>
      </c>
      <c r="E616" s="2"/>
      <c r="F616">
        <v>3237.7515453000001</v>
      </c>
      <c r="G616">
        <v>117</v>
      </c>
      <c r="H616">
        <v>351</v>
      </c>
      <c r="I616">
        <v>105.56100000000001</v>
      </c>
      <c r="J616">
        <v>360.56299999999999</v>
      </c>
      <c r="K616">
        <v>118.0878</v>
      </c>
      <c r="L616">
        <v>346.234119999999</v>
      </c>
      <c r="M616">
        <v>322.13763828690099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163.05500000000001</v>
      </c>
      <c r="V616">
        <v>0.61</v>
      </c>
      <c r="W616">
        <v>-0.503</v>
      </c>
      <c r="X616">
        <v>0</v>
      </c>
      <c r="Y616" t="b">
        <v>0</v>
      </c>
      <c r="Z616" t="s">
        <v>52</v>
      </c>
      <c r="AA616">
        <f t="shared" si="114"/>
        <v>183.25192919217184</v>
      </c>
      <c r="AB616">
        <f t="shared" si="118"/>
        <v>0</v>
      </c>
      <c r="AC616">
        <f t="shared" si="109"/>
        <v>309.46519645548932</v>
      </c>
      <c r="AD616">
        <f t="shared" si="115"/>
        <v>0</v>
      </c>
      <c r="AE616">
        <f t="shared" ca="1" si="116"/>
        <v>0</v>
      </c>
    </row>
    <row r="617" spans="1:31" x14ac:dyDescent="0.3">
      <c r="A617">
        <f t="shared" si="111"/>
        <v>0</v>
      </c>
      <c r="B617" s="2">
        <f t="shared" si="112"/>
        <v>30.919899999844347</v>
      </c>
      <c r="C617" s="2">
        <f t="shared" si="117"/>
        <v>0</v>
      </c>
      <c r="D617" s="2">
        <f t="shared" si="113"/>
        <v>16.107167600000139</v>
      </c>
      <c r="E617" s="2"/>
      <c r="F617">
        <v>3237.7824651999999</v>
      </c>
      <c r="G617">
        <v>117</v>
      </c>
      <c r="H617">
        <v>351</v>
      </c>
      <c r="I617">
        <v>105.56100000000001</v>
      </c>
      <c r="J617">
        <v>360.56299999999999</v>
      </c>
      <c r="K617">
        <v>118.0878</v>
      </c>
      <c r="L617">
        <v>346.234119999999</v>
      </c>
      <c r="M617">
        <v>322.13763828690099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163.05799999999999</v>
      </c>
      <c r="V617">
        <v>0.61</v>
      </c>
      <c r="W617">
        <v>-0.50800000000000001</v>
      </c>
      <c r="X617">
        <v>0</v>
      </c>
      <c r="Y617" t="b">
        <v>0</v>
      </c>
      <c r="Z617" t="s">
        <v>52</v>
      </c>
      <c r="AA617">
        <f t="shared" si="114"/>
        <v>183.25192919217184</v>
      </c>
      <c r="AB617">
        <f t="shared" si="118"/>
        <v>0</v>
      </c>
      <c r="AC617">
        <f t="shared" si="109"/>
        <v>309.46519645548932</v>
      </c>
      <c r="AD617">
        <f t="shared" si="115"/>
        <v>0</v>
      </c>
      <c r="AE617">
        <f t="shared" ca="1" si="116"/>
        <v>0</v>
      </c>
    </row>
    <row r="618" spans="1:31" x14ac:dyDescent="0.3">
      <c r="A618">
        <f t="shared" si="111"/>
        <v>0</v>
      </c>
      <c r="B618" s="2">
        <f t="shared" si="112"/>
        <v>30.54100000008475</v>
      </c>
      <c r="C618" s="2">
        <f t="shared" si="117"/>
        <v>0</v>
      </c>
      <c r="D618" s="2">
        <f t="shared" si="113"/>
        <v>16.137708600000224</v>
      </c>
      <c r="E618" s="2"/>
      <c r="F618">
        <v>3237.8130062</v>
      </c>
      <c r="G618">
        <v>117</v>
      </c>
      <c r="H618">
        <v>351</v>
      </c>
      <c r="I618">
        <v>105.56100000000001</v>
      </c>
      <c r="J618">
        <v>360.56299999999999</v>
      </c>
      <c r="K618">
        <v>118.0878</v>
      </c>
      <c r="L618">
        <v>346.234119999999</v>
      </c>
      <c r="M618">
        <v>322.13763828690099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163.05799999999999</v>
      </c>
      <c r="V618">
        <v>0.60899999999999999</v>
      </c>
      <c r="W618">
        <v>-0.50800000000000001</v>
      </c>
      <c r="X618">
        <v>0</v>
      </c>
      <c r="Y618" t="b">
        <v>0</v>
      </c>
      <c r="Z618" t="s">
        <v>52</v>
      </c>
      <c r="AA618">
        <f t="shared" si="114"/>
        <v>183.25192919217184</v>
      </c>
      <c r="AB618">
        <f t="shared" si="118"/>
        <v>0</v>
      </c>
      <c r="AC618">
        <f t="shared" si="109"/>
        <v>309.46519645548932</v>
      </c>
      <c r="AD618">
        <f t="shared" si="115"/>
        <v>0</v>
      </c>
      <c r="AE618">
        <f t="shared" ca="1" si="116"/>
        <v>0</v>
      </c>
    </row>
    <row r="619" spans="1:31" x14ac:dyDescent="0.3">
      <c r="A619">
        <f t="shared" si="111"/>
        <v>0</v>
      </c>
      <c r="B619" s="2">
        <f t="shared" si="112"/>
        <v>30.984600000010687</v>
      </c>
      <c r="C619" s="2">
        <f t="shared" si="117"/>
        <v>0</v>
      </c>
      <c r="D619" s="2">
        <f t="shared" si="113"/>
        <v>16.168693200000234</v>
      </c>
      <c r="E619" s="2"/>
      <c r="F619">
        <v>3237.8439908</v>
      </c>
      <c r="G619">
        <v>117</v>
      </c>
      <c r="H619">
        <v>351</v>
      </c>
      <c r="I619">
        <v>105.56100000000001</v>
      </c>
      <c r="J619">
        <v>360.56299999999999</v>
      </c>
      <c r="K619">
        <v>118.0878</v>
      </c>
      <c r="L619">
        <v>346.234119999999</v>
      </c>
      <c r="M619">
        <v>322.13763828690099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163.06299999999999</v>
      </c>
      <c r="V619">
        <v>0.60899999999999999</v>
      </c>
      <c r="W619">
        <v>-0.501</v>
      </c>
      <c r="X619">
        <v>0</v>
      </c>
      <c r="Y619" t="b">
        <v>0</v>
      </c>
      <c r="Z619" t="s">
        <v>52</v>
      </c>
      <c r="AA619">
        <f t="shared" si="114"/>
        <v>183.25192919217184</v>
      </c>
      <c r="AB619">
        <f t="shared" si="118"/>
        <v>0</v>
      </c>
      <c r="AC619">
        <f t="shared" si="109"/>
        <v>309.46519645548932</v>
      </c>
      <c r="AD619">
        <f t="shared" si="115"/>
        <v>0</v>
      </c>
      <c r="AE619">
        <f t="shared" ca="1" si="116"/>
        <v>0</v>
      </c>
    </row>
    <row r="620" spans="1:31" x14ac:dyDescent="0.3">
      <c r="A620">
        <f t="shared" si="111"/>
        <v>0</v>
      </c>
      <c r="B620" s="2">
        <f t="shared" si="112"/>
        <v>47.554899999795452</v>
      </c>
      <c r="C620" s="2">
        <f t="shared" si="117"/>
        <v>0</v>
      </c>
      <c r="D620" s="2">
        <f t="shared" si="113"/>
        <v>16.21624810000003</v>
      </c>
      <c r="E620" s="2"/>
      <c r="F620">
        <v>3237.8915456999998</v>
      </c>
      <c r="G620">
        <v>117</v>
      </c>
      <c r="H620">
        <v>351</v>
      </c>
      <c r="I620">
        <v>105.56100000000001</v>
      </c>
      <c r="J620">
        <v>360.56299999999999</v>
      </c>
      <c r="K620">
        <v>118.0878</v>
      </c>
      <c r="L620">
        <v>346.234119999999</v>
      </c>
      <c r="M620">
        <v>322.13763828690099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163.06299999999999</v>
      </c>
      <c r="V620">
        <v>0.62</v>
      </c>
      <c r="W620">
        <v>-0.501</v>
      </c>
      <c r="X620">
        <v>0</v>
      </c>
      <c r="Y620" t="b">
        <v>0</v>
      </c>
      <c r="Z620" t="s">
        <v>52</v>
      </c>
      <c r="AA620">
        <f t="shared" si="114"/>
        <v>183.25192919217184</v>
      </c>
      <c r="AB620">
        <f t="shared" si="118"/>
        <v>0</v>
      </c>
      <c r="AC620">
        <f t="shared" si="109"/>
        <v>309.46519645548932</v>
      </c>
      <c r="AD620">
        <f t="shared" si="115"/>
        <v>0</v>
      </c>
      <c r="AE620">
        <f t="shared" ca="1" si="116"/>
        <v>0</v>
      </c>
    </row>
    <row r="621" spans="1:31" x14ac:dyDescent="0.3">
      <c r="B621" s="2"/>
      <c r="C621" s="2"/>
      <c r="D621" s="2"/>
      <c r="E621" s="2"/>
      <c r="V621">
        <v>0.62</v>
      </c>
    </row>
    <row r="622" spans="1:31" x14ac:dyDescent="0.3">
      <c r="B622" s="2"/>
      <c r="C622" s="2"/>
      <c r="D622" s="2"/>
      <c r="E622" s="2"/>
      <c r="V622">
        <v>0.629</v>
      </c>
    </row>
    <row r="623" spans="1:31" x14ac:dyDescent="0.3">
      <c r="B623" s="2"/>
      <c r="C623" s="2"/>
      <c r="D623" s="2"/>
      <c r="E623" s="2"/>
      <c r="V623">
        <v>0.64300000000000002</v>
      </c>
    </row>
    <row r="624" spans="1:31" x14ac:dyDescent="0.3">
      <c r="B624" s="2"/>
      <c r="C624" s="2"/>
      <c r="D624" s="2"/>
      <c r="E624" s="2"/>
      <c r="V624">
        <v>0.64300000000000002</v>
      </c>
    </row>
    <row r="625" spans="2:22" x14ac:dyDescent="0.3">
      <c r="B625" s="2"/>
      <c r="C625" s="2"/>
      <c r="D625" s="2"/>
      <c r="E625" s="2"/>
      <c r="V625">
        <v>0.64300000000000002</v>
      </c>
    </row>
    <row r="626" spans="2:22" x14ac:dyDescent="0.3">
      <c r="B626" s="2"/>
      <c r="C626" s="2"/>
      <c r="D626" s="2"/>
      <c r="E626" s="2"/>
      <c r="V626">
        <v>0.64300000000000002</v>
      </c>
    </row>
    <row r="627" spans="2:22" x14ac:dyDescent="0.3">
      <c r="B627" s="2"/>
      <c r="C627" s="2"/>
      <c r="D627" s="2"/>
      <c r="E627" s="2"/>
      <c r="V627">
        <v>0.64300000000000002</v>
      </c>
    </row>
    <row r="628" spans="2:22" x14ac:dyDescent="0.3">
      <c r="B628" s="2"/>
      <c r="C628" s="2"/>
      <c r="D628" s="2"/>
      <c r="E628" s="2"/>
      <c r="V628">
        <v>0.64200000000000002</v>
      </c>
    </row>
    <row r="629" spans="2:22" x14ac:dyDescent="0.3">
      <c r="B629" s="2"/>
      <c r="C629" s="2"/>
      <c r="D629" s="2"/>
      <c r="E629" s="2"/>
      <c r="V629">
        <v>0.64200000000000002</v>
      </c>
    </row>
    <row r="630" spans="2:22" x14ac:dyDescent="0.3">
      <c r="B630" s="2"/>
      <c r="C630" s="2"/>
      <c r="D630" s="2"/>
      <c r="E630" s="2"/>
      <c r="V630">
        <v>0.64200000000000002</v>
      </c>
    </row>
    <row r="631" spans="2:22" x14ac:dyDescent="0.3">
      <c r="B631" s="2"/>
      <c r="C631" s="2"/>
      <c r="D631" s="2"/>
      <c r="E631" s="2"/>
      <c r="V631">
        <v>0.64900000000000002</v>
      </c>
    </row>
    <row r="632" spans="2:22" x14ac:dyDescent="0.3">
      <c r="B632" s="2"/>
      <c r="C632" s="2"/>
      <c r="D632" s="2"/>
      <c r="E632" s="2"/>
      <c r="V632">
        <v>0.66</v>
      </c>
    </row>
    <row r="633" spans="2:22" x14ac:dyDescent="0.3">
      <c r="B633" s="2"/>
      <c r="C633" s="2"/>
      <c r="D633" s="2"/>
      <c r="E633" s="2"/>
      <c r="V633">
        <v>0.66</v>
      </c>
    </row>
    <row r="634" spans="2:22" x14ac:dyDescent="0.3">
      <c r="B634" s="2"/>
      <c r="C634" s="2"/>
      <c r="D634" s="2"/>
      <c r="E634" s="2"/>
      <c r="V634">
        <v>0.66600000000000004</v>
      </c>
    </row>
    <row r="635" spans="2:22" x14ac:dyDescent="0.3">
      <c r="B635" s="2"/>
      <c r="C635" s="2"/>
      <c r="D635" s="2"/>
      <c r="E635" s="2"/>
      <c r="V635">
        <v>0.66600000000000004</v>
      </c>
    </row>
    <row r="636" spans="2:22" x14ac:dyDescent="0.3">
      <c r="B636" s="2"/>
      <c r="C636" s="2"/>
      <c r="D636" s="2"/>
      <c r="E636" s="2"/>
      <c r="V636">
        <v>0.66500000000000004</v>
      </c>
    </row>
    <row r="637" spans="2:22" x14ac:dyDescent="0.3">
      <c r="B637" s="2"/>
      <c r="C637" s="2"/>
      <c r="D637" s="2"/>
      <c r="E637" s="2"/>
      <c r="V637">
        <v>0.66500000000000004</v>
      </c>
    </row>
    <row r="638" spans="2:22" x14ac:dyDescent="0.3">
      <c r="B638" s="2"/>
      <c r="C638" s="2"/>
      <c r="D638" s="2"/>
      <c r="E638" s="2"/>
    </row>
    <row r="639" spans="2:22" x14ac:dyDescent="0.3">
      <c r="B639" s="2"/>
      <c r="C639" s="2"/>
      <c r="D639" s="2"/>
      <c r="E639" s="2"/>
    </row>
    <row r="640" spans="2:22" x14ac:dyDescent="0.3">
      <c r="B640" s="2"/>
      <c r="C640" s="2"/>
      <c r="D640" s="2"/>
      <c r="E640" s="2"/>
    </row>
    <row r="641" spans="2:5" x14ac:dyDescent="0.3">
      <c r="B641" s="2"/>
      <c r="C641" s="2"/>
      <c r="D641" s="2"/>
      <c r="E641" s="2"/>
    </row>
    <row r="642" spans="2:5" x14ac:dyDescent="0.3">
      <c r="B642" s="2"/>
      <c r="C642" s="2"/>
      <c r="D642" s="2"/>
      <c r="E642" s="2"/>
    </row>
    <row r="643" spans="2:5" x14ac:dyDescent="0.3">
      <c r="B643" s="2"/>
      <c r="C643" s="2"/>
      <c r="D643" s="2"/>
      <c r="E643" s="2"/>
    </row>
    <row r="644" spans="2:5" x14ac:dyDescent="0.3">
      <c r="B644" s="2"/>
      <c r="C644" s="2"/>
      <c r="D644" s="2"/>
      <c r="E644" s="2"/>
    </row>
    <row r="645" spans="2:5" x14ac:dyDescent="0.3">
      <c r="B645" s="2"/>
      <c r="C645" s="2"/>
      <c r="D645" s="2"/>
      <c r="E645" s="2"/>
    </row>
    <row r="646" spans="2:5" x14ac:dyDescent="0.3">
      <c r="B646" s="2"/>
      <c r="C646" s="2"/>
      <c r="D646" s="2"/>
      <c r="E646" s="2"/>
    </row>
    <row r="647" spans="2:5" x14ac:dyDescent="0.3">
      <c r="B647" s="2"/>
      <c r="C647" s="2"/>
      <c r="D647" s="2"/>
      <c r="E647" s="2"/>
    </row>
    <row r="648" spans="2:5" x14ac:dyDescent="0.3">
      <c r="B648" s="2"/>
      <c r="C648" s="2"/>
      <c r="D648" s="2"/>
      <c r="E648" s="2"/>
    </row>
    <row r="649" spans="2:5" x14ac:dyDescent="0.3">
      <c r="B649" s="2"/>
      <c r="C649" s="2"/>
      <c r="D649" s="2"/>
      <c r="E649" s="2"/>
    </row>
    <row r="650" spans="2:5" x14ac:dyDescent="0.3">
      <c r="B650" s="2"/>
      <c r="C650" s="2"/>
      <c r="D650" s="2"/>
      <c r="E650" s="2"/>
    </row>
    <row r="651" spans="2:5" x14ac:dyDescent="0.3">
      <c r="B651" s="2"/>
      <c r="C651" s="2"/>
      <c r="D651" s="2"/>
      <c r="E651" s="2"/>
    </row>
    <row r="652" spans="2:5" x14ac:dyDescent="0.3">
      <c r="B652" s="2"/>
      <c r="C652" s="2"/>
      <c r="D652" s="2"/>
      <c r="E652" s="2"/>
    </row>
    <row r="653" spans="2:5" x14ac:dyDescent="0.3">
      <c r="B653" s="2"/>
      <c r="C653" s="2"/>
      <c r="D653" s="2"/>
      <c r="E653" s="2"/>
    </row>
    <row r="654" spans="2:5" x14ac:dyDescent="0.3">
      <c r="B654" s="2"/>
      <c r="C654" s="2"/>
      <c r="D654" s="2"/>
      <c r="E654" s="2"/>
    </row>
    <row r="655" spans="2:5" x14ac:dyDescent="0.3">
      <c r="B655" s="2"/>
      <c r="C655" s="2"/>
      <c r="D655" s="2"/>
      <c r="E655" s="2"/>
    </row>
    <row r="656" spans="2:5" x14ac:dyDescent="0.3">
      <c r="B656" s="2"/>
      <c r="C656" s="2"/>
      <c r="D656" s="2"/>
      <c r="E656" s="2"/>
    </row>
    <row r="657" spans="2:5" x14ac:dyDescent="0.3">
      <c r="B657" s="2"/>
      <c r="C657" s="2"/>
      <c r="D657" s="2"/>
      <c r="E657" s="2"/>
    </row>
    <row r="658" spans="2:5" x14ac:dyDescent="0.3">
      <c r="B658" s="2"/>
      <c r="C658" s="2"/>
      <c r="D658" s="2"/>
      <c r="E658" s="2"/>
    </row>
    <row r="659" spans="2:5" x14ac:dyDescent="0.3">
      <c r="B659" s="2"/>
      <c r="C659" s="2"/>
      <c r="D659" s="2"/>
      <c r="E659" s="2"/>
    </row>
    <row r="660" spans="2:5" x14ac:dyDescent="0.3">
      <c r="B660" s="2"/>
      <c r="C660" s="2"/>
      <c r="D660" s="2"/>
      <c r="E660" s="2"/>
    </row>
    <row r="661" spans="2:5" x14ac:dyDescent="0.3">
      <c r="B661" s="2"/>
      <c r="C661" s="2"/>
      <c r="D661" s="2"/>
      <c r="E661" s="2"/>
    </row>
    <row r="662" spans="2:5" x14ac:dyDescent="0.3">
      <c r="B662" s="2"/>
      <c r="C662" s="2"/>
      <c r="D662" s="2"/>
      <c r="E662" s="2"/>
    </row>
    <row r="663" spans="2:5" x14ac:dyDescent="0.3">
      <c r="B663" s="2"/>
      <c r="C663" s="2"/>
      <c r="D663" s="2"/>
      <c r="E663" s="2"/>
    </row>
    <row r="664" spans="2:5" x14ac:dyDescent="0.3">
      <c r="B664" s="2"/>
      <c r="C664" s="2"/>
      <c r="D664" s="2"/>
      <c r="E664" s="2"/>
    </row>
    <row r="665" spans="2:5" x14ac:dyDescent="0.3">
      <c r="B665" s="2"/>
      <c r="C665" s="2"/>
      <c r="D665" s="2"/>
      <c r="E665" s="2"/>
    </row>
    <row r="666" spans="2:5" x14ac:dyDescent="0.3">
      <c r="B666" s="2"/>
      <c r="C666" s="2"/>
      <c r="D666" s="2"/>
      <c r="E666" s="2"/>
    </row>
    <row r="667" spans="2:5" x14ac:dyDescent="0.3">
      <c r="B667" s="2"/>
      <c r="C667" s="2"/>
      <c r="D667" s="2"/>
      <c r="E667" s="2"/>
    </row>
    <row r="668" spans="2:5" x14ac:dyDescent="0.3">
      <c r="B668" s="2"/>
      <c r="C668" s="2"/>
      <c r="D668" s="2"/>
      <c r="E668" s="2"/>
    </row>
    <row r="669" spans="2:5" x14ac:dyDescent="0.3">
      <c r="B669" s="2"/>
      <c r="C669" s="2"/>
      <c r="D669" s="2"/>
      <c r="E669" s="2"/>
    </row>
    <row r="670" spans="2:5" x14ac:dyDescent="0.3">
      <c r="B670" s="2"/>
      <c r="C670" s="2"/>
      <c r="D670" s="2"/>
      <c r="E670" s="2"/>
    </row>
    <row r="671" spans="2:5" x14ac:dyDescent="0.3">
      <c r="B671" s="2"/>
      <c r="C671" s="2"/>
      <c r="D671" s="2"/>
      <c r="E671" s="2"/>
    </row>
    <row r="672" spans="2:5" x14ac:dyDescent="0.3">
      <c r="B672" s="2"/>
      <c r="C672" s="2"/>
      <c r="D672" s="2"/>
      <c r="E672" s="2"/>
    </row>
    <row r="673" spans="2:5" x14ac:dyDescent="0.3">
      <c r="B673" s="2"/>
      <c r="C673" s="2"/>
      <c r="D673" s="2"/>
      <c r="E673" s="2"/>
    </row>
    <row r="674" spans="2:5" x14ac:dyDescent="0.3">
      <c r="B674" s="2"/>
      <c r="C674" s="2"/>
      <c r="D674" s="2"/>
      <c r="E674" s="2"/>
    </row>
    <row r="675" spans="2:5" x14ac:dyDescent="0.3">
      <c r="B675" s="2"/>
      <c r="C675" s="2"/>
      <c r="D675" s="2"/>
      <c r="E675" s="2"/>
    </row>
    <row r="676" spans="2:5" x14ac:dyDescent="0.3">
      <c r="B676" s="2"/>
      <c r="C676" s="2"/>
      <c r="D676" s="2"/>
      <c r="E676" s="2"/>
    </row>
    <row r="677" spans="2:5" x14ac:dyDescent="0.3">
      <c r="B677" s="2"/>
      <c r="C677" s="2"/>
      <c r="D677" s="2"/>
      <c r="E677" s="2"/>
    </row>
    <row r="678" spans="2:5" x14ac:dyDescent="0.3">
      <c r="B678" s="2"/>
      <c r="C678" s="2"/>
      <c r="D678" s="2"/>
      <c r="E678" s="2"/>
    </row>
    <row r="679" spans="2:5" x14ac:dyDescent="0.3">
      <c r="B679" s="2"/>
      <c r="C679" s="2"/>
      <c r="D679" s="2"/>
      <c r="E679" s="2"/>
    </row>
    <row r="680" spans="2:5" x14ac:dyDescent="0.3">
      <c r="B680" s="2"/>
      <c r="C680" s="2"/>
      <c r="D680" s="2"/>
      <c r="E680" s="2"/>
    </row>
    <row r="681" spans="2:5" x14ac:dyDescent="0.3">
      <c r="B681" s="2"/>
      <c r="C681" s="2"/>
      <c r="D681" s="2"/>
      <c r="E681" s="2"/>
    </row>
  </sheetData>
  <pageMargins left="0.7" right="0.7" top="0.75" bottom="0.75" header="0.3" footer="0.3"/>
  <pageSetup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5508-2A6B-4FE6-9F86-D4FE8B929F01}">
  <dimension ref="A1:W615"/>
  <sheetViews>
    <sheetView topLeftCell="A55" workbookViewId="0">
      <selection activeCell="A11" sqref="A11"/>
    </sheetView>
  </sheetViews>
  <sheetFormatPr defaultRowHeight="14.4" x14ac:dyDescent="0.3"/>
  <sheetData>
    <row r="1" spans="2:23" x14ac:dyDescent="0.3"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s="6" t="s">
        <v>35</v>
      </c>
      <c r="W1" t="s">
        <v>36</v>
      </c>
    </row>
    <row r="2" spans="2:23" x14ac:dyDescent="0.3">
      <c r="B2" s="2">
        <f>C2-$C$2</f>
        <v>0</v>
      </c>
      <c r="C2">
        <v>3215.1047613000001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>
        <v>0</v>
      </c>
      <c r="L2">
        <v>0</v>
      </c>
      <c r="M2">
        <v>0</v>
      </c>
      <c r="N2">
        <v>0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38</v>
      </c>
    </row>
    <row r="3" spans="2:23" x14ac:dyDescent="0.3">
      <c r="B3" s="2">
        <f>C3-$C$3</f>
        <v>0</v>
      </c>
      <c r="C3">
        <v>3221.6752975999998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>
        <v>0</v>
      </c>
      <c r="L3">
        <v>0</v>
      </c>
      <c r="M3">
        <v>0</v>
      </c>
      <c r="N3">
        <v>0</v>
      </c>
      <c r="O3">
        <v>-4.2838348388671801E-2</v>
      </c>
      <c r="P3">
        <v>4.2385856628417901E-2</v>
      </c>
      <c r="Q3">
        <v>0</v>
      </c>
      <c r="R3">
        <v>161.78</v>
      </c>
      <c r="S3">
        <v>0.373</v>
      </c>
      <c r="T3">
        <v>-0.53</v>
      </c>
      <c r="U3">
        <v>0.70199999999999996</v>
      </c>
      <c r="V3" t="b">
        <v>1</v>
      </c>
      <c r="W3" t="s">
        <v>48</v>
      </c>
    </row>
    <row r="4" spans="2:23" x14ac:dyDescent="0.3">
      <c r="B4" s="2">
        <f t="shared" ref="B4:B67" si="0">C4-$C$3</f>
        <v>5.2989000000707165E-3</v>
      </c>
      <c r="C4">
        <v>3221.6805964999999</v>
      </c>
      <c r="D4" t="s">
        <v>37</v>
      </c>
      <c r="E4" t="s">
        <v>37</v>
      </c>
      <c r="F4" t="s">
        <v>37</v>
      </c>
      <c r="G4" t="s">
        <v>37</v>
      </c>
      <c r="H4" t="s">
        <v>37</v>
      </c>
      <c r="I4" t="s">
        <v>37</v>
      </c>
      <c r="J4" t="s">
        <v>37</v>
      </c>
      <c r="K4">
        <v>0</v>
      </c>
      <c r="L4">
        <v>0</v>
      </c>
      <c r="M4">
        <v>0</v>
      </c>
      <c r="N4">
        <v>0</v>
      </c>
      <c r="O4">
        <v>-4.2838348388671801E-2</v>
      </c>
      <c r="P4">
        <v>4.2385856628417901E-2</v>
      </c>
      <c r="Q4">
        <v>0</v>
      </c>
      <c r="R4">
        <v>161.78</v>
      </c>
      <c r="S4">
        <v>0.373</v>
      </c>
      <c r="T4">
        <v>-0.53</v>
      </c>
      <c r="U4">
        <v>0.70199999999999996</v>
      </c>
      <c r="V4" t="b">
        <v>1</v>
      </c>
      <c r="W4" t="s">
        <v>48</v>
      </c>
    </row>
    <row r="5" spans="2:23" x14ac:dyDescent="0.3">
      <c r="B5" s="2">
        <f t="shared" si="0"/>
        <v>9.2048999999860825E-3</v>
      </c>
      <c r="C5">
        <v>3221.6845024999998</v>
      </c>
      <c r="D5" t="s">
        <v>37</v>
      </c>
      <c r="E5" t="s">
        <v>37</v>
      </c>
      <c r="F5" t="s">
        <v>37</v>
      </c>
      <c r="G5" t="s">
        <v>37</v>
      </c>
      <c r="H5" t="s">
        <v>37</v>
      </c>
      <c r="I5" t="s">
        <v>37</v>
      </c>
      <c r="J5" t="s">
        <v>37</v>
      </c>
      <c r="K5">
        <v>0</v>
      </c>
      <c r="L5">
        <v>0</v>
      </c>
      <c r="M5">
        <v>0</v>
      </c>
      <c r="N5">
        <v>0</v>
      </c>
      <c r="O5">
        <v>-4.2838348388671801E-2</v>
      </c>
      <c r="P5">
        <v>4.2385856628417901E-2</v>
      </c>
      <c r="Q5">
        <v>0</v>
      </c>
      <c r="R5">
        <v>161.78</v>
      </c>
      <c r="S5">
        <v>0.373</v>
      </c>
      <c r="T5">
        <v>-0.53</v>
      </c>
      <c r="U5">
        <v>0.70199999999999996</v>
      </c>
      <c r="V5" t="b">
        <v>1</v>
      </c>
      <c r="W5" t="s">
        <v>48</v>
      </c>
    </row>
    <row r="6" spans="2:23" x14ac:dyDescent="0.3">
      <c r="B6" s="2">
        <f t="shared" si="0"/>
        <v>2.7168100000380946E-2</v>
      </c>
      <c r="C6">
        <v>3221.7024657000002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>
        <v>0</v>
      </c>
      <c r="L6">
        <v>0</v>
      </c>
      <c r="M6">
        <v>0</v>
      </c>
      <c r="N6">
        <v>0</v>
      </c>
      <c r="O6">
        <v>-7.4007926940917901E-2</v>
      </c>
      <c r="P6">
        <v>3.25384483337402E-2</v>
      </c>
      <c r="Q6">
        <v>0</v>
      </c>
      <c r="R6">
        <v>161.714</v>
      </c>
      <c r="S6">
        <v>0.318</v>
      </c>
      <c r="T6">
        <v>-0.64700000000000002</v>
      </c>
      <c r="U6">
        <v>0.70599999999999996</v>
      </c>
      <c r="V6" t="b">
        <v>1</v>
      </c>
      <c r="W6" t="s">
        <v>48</v>
      </c>
    </row>
    <row r="7" spans="2:23" x14ac:dyDescent="0.3">
      <c r="B7" s="2">
        <f t="shared" si="0"/>
        <v>4.3313000000125612E-2</v>
      </c>
      <c r="C7">
        <v>3221.7186105999999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>
        <v>0</v>
      </c>
      <c r="L7">
        <v>0</v>
      </c>
      <c r="M7">
        <v>0</v>
      </c>
      <c r="N7">
        <v>0</v>
      </c>
      <c r="O7">
        <v>-7.4007926940917901E-2</v>
      </c>
      <c r="P7">
        <v>3.25384483337402E-2</v>
      </c>
      <c r="Q7">
        <v>0</v>
      </c>
      <c r="R7">
        <v>161.714</v>
      </c>
      <c r="S7">
        <v>0.318</v>
      </c>
      <c r="T7">
        <v>-0.64700000000000002</v>
      </c>
      <c r="U7">
        <v>0.70599999999999996</v>
      </c>
      <c r="V7" t="b">
        <v>1</v>
      </c>
      <c r="W7" t="s">
        <v>48</v>
      </c>
    </row>
    <row r="8" spans="2:23" x14ac:dyDescent="0.3">
      <c r="B8" s="2">
        <f t="shared" si="0"/>
        <v>5.8556899999985035E-2</v>
      </c>
      <c r="C8">
        <v>3221.7338544999998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>
        <v>0</v>
      </c>
      <c r="L8">
        <v>0</v>
      </c>
      <c r="M8">
        <v>0</v>
      </c>
      <c r="N8">
        <v>0</v>
      </c>
      <c r="O8">
        <v>-7.4007926940917901E-2</v>
      </c>
      <c r="P8">
        <v>3.25384483337402E-2</v>
      </c>
      <c r="Q8">
        <v>0</v>
      </c>
      <c r="R8">
        <v>161.714</v>
      </c>
      <c r="S8">
        <v>0.318</v>
      </c>
      <c r="T8">
        <v>-0.64700000000000002</v>
      </c>
      <c r="U8">
        <v>0.70599999999999996</v>
      </c>
      <c r="V8" t="b">
        <v>1</v>
      </c>
      <c r="W8" t="s">
        <v>48</v>
      </c>
    </row>
    <row r="9" spans="2:23" x14ac:dyDescent="0.3">
      <c r="B9" s="2">
        <f t="shared" si="0"/>
        <v>7.4511200000415556E-2</v>
      </c>
      <c r="C9">
        <v>3221.7498088000002</v>
      </c>
      <c r="D9" t="s">
        <v>37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>
        <v>0</v>
      </c>
      <c r="L9">
        <v>0</v>
      </c>
      <c r="M9">
        <v>0</v>
      </c>
      <c r="N9">
        <v>0</v>
      </c>
      <c r="O9">
        <v>-7.4007926940917901E-2</v>
      </c>
      <c r="P9">
        <v>3.25384483337402E-2</v>
      </c>
      <c r="Q9">
        <v>0</v>
      </c>
      <c r="R9">
        <v>161.714</v>
      </c>
      <c r="S9">
        <v>0.318</v>
      </c>
      <c r="T9">
        <v>-0.64700000000000002</v>
      </c>
      <c r="U9">
        <v>0.70599999999999996</v>
      </c>
      <c r="V9" t="b">
        <v>1</v>
      </c>
      <c r="W9" t="s">
        <v>48</v>
      </c>
    </row>
    <row r="10" spans="2:23" x14ac:dyDescent="0.3">
      <c r="B10" s="2">
        <f t="shared" si="0"/>
        <v>8.9335699999992357E-2</v>
      </c>
      <c r="C10">
        <v>3221.7646332999998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>
        <v>0</v>
      </c>
      <c r="L10">
        <v>0</v>
      </c>
      <c r="M10">
        <v>0</v>
      </c>
      <c r="N10">
        <v>0</v>
      </c>
      <c r="O10">
        <v>-5.84587249755859E-2</v>
      </c>
      <c r="P10">
        <v>3.7235172271728498E-2</v>
      </c>
      <c r="Q10">
        <v>0</v>
      </c>
      <c r="R10">
        <v>161.62299999999999</v>
      </c>
      <c r="S10">
        <v>0.14699999999999999</v>
      </c>
      <c r="T10">
        <v>-0.28399999999999997</v>
      </c>
      <c r="U10">
        <v>0.71</v>
      </c>
      <c r="V10" t="b">
        <v>1</v>
      </c>
      <c r="W10" t="s">
        <v>49</v>
      </c>
    </row>
    <row r="11" spans="2:23" x14ac:dyDescent="0.3">
      <c r="B11" s="2">
        <f t="shared" si="0"/>
        <v>0.10529730000007476</v>
      </c>
      <c r="C11">
        <v>3221.7805948999999</v>
      </c>
      <c r="D11" t="s">
        <v>37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  <c r="J11" t="s">
        <v>37</v>
      </c>
      <c r="K11">
        <v>0</v>
      </c>
      <c r="L11">
        <v>0</v>
      </c>
      <c r="M11">
        <v>0</v>
      </c>
      <c r="N11">
        <v>0</v>
      </c>
      <c r="O11">
        <v>-5.84587249755859E-2</v>
      </c>
      <c r="P11">
        <v>3.7235172271728498E-2</v>
      </c>
      <c r="Q11">
        <v>0</v>
      </c>
      <c r="R11">
        <v>161.62299999999999</v>
      </c>
      <c r="S11">
        <v>0.14699999999999999</v>
      </c>
      <c r="T11">
        <v>-0.28399999999999997</v>
      </c>
      <c r="U11">
        <v>0.71</v>
      </c>
      <c r="V11" t="b">
        <v>1</v>
      </c>
      <c r="W11" t="s">
        <v>49</v>
      </c>
    </row>
    <row r="12" spans="2:23" x14ac:dyDescent="0.3">
      <c r="B12" s="2">
        <f t="shared" si="0"/>
        <v>0.12134990000004109</v>
      </c>
      <c r="C12">
        <v>3221.7966474999998</v>
      </c>
      <c r="D12" t="s">
        <v>37</v>
      </c>
      <c r="E12" t="s">
        <v>37</v>
      </c>
      <c r="F12" t="s">
        <v>37</v>
      </c>
      <c r="G12" t="s">
        <v>37</v>
      </c>
      <c r="H12" t="s">
        <v>37</v>
      </c>
      <c r="I12" t="s">
        <v>37</v>
      </c>
      <c r="J12" t="s">
        <v>37</v>
      </c>
      <c r="K12">
        <v>0</v>
      </c>
      <c r="L12">
        <v>0</v>
      </c>
      <c r="M12">
        <v>0</v>
      </c>
      <c r="N12">
        <v>0</v>
      </c>
      <c r="O12">
        <v>-5.84587249755859E-2</v>
      </c>
      <c r="P12">
        <v>3.7235172271728498E-2</v>
      </c>
      <c r="Q12">
        <v>0</v>
      </c>
      <c r="R12">
        <v>161.62299999999999</v>
      </c>
      <c r="S12">
        <v>0.14699999999999999</v>
      </c>
      <c r="T12">
        <v>-0.28399999999999997</v>
      </c>
      <c r="U12">
        <v>0.71</v>
      </c>
      <c r="V12" t="b">
        <v>1</v>
      </c>
      <c r="W12" t="s">
        <v>49</v>
      </c>
    </row>
    <row r="13" spans="2:23" x14ac:dyDescent="0.3">
      <c r="B13" s="2">
        <f t="shared" si="0"/>
        <v>0.13719690000016271</v>
      </c>
      <c r="C13">
        <v>3221.8124945</v>
      </c>
      <c r="D13" t="s">
        <v>37</v>
      </c>
      <c r="E13" t="s">
        <v>37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>
        <v>0</v>
      </c>
      <c r="L13">
        <v>0</v>
      </c>
      <c r="M13">
        <v>0</v>
      </c>
      <c r="N13">
        <v>0</v>
      </c>
      <c r="O13">
        <v>-5.84587249755859E-2</v>
      </c>
      <c r="P13">
        <v>3.7235172271728498E-2</v>
      </c>
      <c r="Q13">
        <v>0</v>
      </c>
      <c r="R13">
        <v>161.62299999999999</v>
      </c>
      <c r="S13">
        <v>0.14699999999999999</v>
      </c>
      <c r="T13">
        <v>-0.28399999999999997</v>
      </c>
      <c r="U13">
        <v>0.71</v>
      </c>
      <c r="V13" t="b">
        <v>1</v>
      </c>
      <c r="W13" t="s">
        <v>49</v>
      </c>
    </row>
    <row r="14" spans="2:23" x14ac:dyDescent="0.3">
      <c r="B14" s="2">
        <f t="shared" si="0"/>
        <v>0.15306950000012876</v>
      </c>
      <c r="C14">
        <v>3221.8283670999999</v>
      </c>
      <c r="D14" t="s">
        <v>37</v>
      </c>
      <c r="E14" t="s">
        <v>37</v>
      </c>
      <c r="F14" t="s">
        <v>37</v>
      </c>
      <c r="G14" t="s">
        <v>37</v>
      </c>
      <c r="H14" t="s">
        <v>37</v>
      </c>
      <c r="I14" t="s">
        <v>37</v>
      </c>
      <c r="J14" t="s">
        <v>37</v>
      </c>
      <c r="K14">
        <v>0</v>
      </c>
      <c r="L14">
        <v>0</v>
      </c>
      <c r="M14">
        <v>0</v>
      </c>
      <c r="N14">
        <v>0</v>
      </c>
      <c r="O14">
        <v>-8.6154609680175701E-2</v>
      </c>
      <c r="P14">
        <v>3.8733119964599598E-2</v>
      </c>
      <c r="Q14">
        <v>0</v>
      </c>
      <c r="R14">
        <v>161.46799999999999</v>
      </c>
      <c r="S14">
        <v>0.46899999999999997</v>
      </c>
      <c r="T14">
        <v>0.442</v>
      </c>
      <c r="U14">
        <v>0.71099999999999997</v>
      </c>
      <c r="V14" t="b">
        <v>1</v>
      </c>
      <c r="W14" t="s">
        <v>49</v>
      </c>
    </row>
    <row r="15" spans="2:23" x14ac:dyDescent="0.3">
      <c r="B15" s="2">
        <f t="shared" si="0"/>
        <v>0.16923990000032063</v>
      </c>
      <c r="C15">
        <v>3221.8445375000001</v>
      </c>
      <c r="D15" t="s">
        <v>37</v>
      </c>
      <c r="E15" t="s">
        <v>37</v>
      </c>
      <c r="F15" t="s">
        <v>37</v>
      </c>
      <c r="G15" t="s">
        <v>37</v>
      </c>
      <c r="H15" t="s">
        <v>37</v>
      </c>
      <c r="I15" t="s">
        <v>37</v>
      </c>
      <c r="J15" t="s">
        <v>37</v>
      </c>
      <c r="K15">
        <v>0</v>
      </c>
      <c r="L15">
        <v>0</v>
      </c>
      <c r="M15">
        <v>0</v>
      </c>
      <c r="N15">
        <v>0</v>
      </c>
      <c r="O15">
        <v>-8.6154609680175701E-2</v>
      </c>
      <c r="P15">
        <v>3.8733119964599598E-2</v>
      </c>
      <c r="Q15">
        <v>0</v>
      </c>
      <c r="R15">
        <v>161.46799999999999</v>
      </c>
      <c r="S15">
        <v>0.46899999999999997</v>
      </c>
      <c r="T15">
        <v>0.442</v>
      </c>
      <c r="U15">
        <v>0.71099999999999997</v>
      </c>
      <c r="V15" t="b">
        <v>1</v>
      </c>
      <c r="W15" t="s">
        <v>49</v>
      </c>
    </row>
    <row r="16" spans="2:23" x14ac:dyDescent="0.3">
      <c r="B16" s="2">
        <f t="shared" si="0"/>
        <v>0.18482170000015685</v>
      </c>
      <c r="C16">
        <v>3221.8601193</v>
      </c>
      <c r="D16" t="s">
        <v>37</v>
      </c>
      <c r="E16" t="s">
        <v>37</v>
      </c>
      <c r="F16" t="s">
        <v>37</v>
      </c>
      <c r="G16" t="s">
        <v>37</v>
      </c>
      <c r="H16" t="s">
        <v>37</v>
      </c>
      <c r="I16" t="s">
        <v>37</v>
      </c>
      <c r="J16" t="s">
        <v>37</v>
      </c>
      <c r="K16">
        <v>0</v>
      </c>
      <c r="L16">
        <v>0</v>
      </c>
      <c r="M16">
        <v>0</v>
      </c>
      <c r="N16">
        <v>0</v>
      </c>
      <c r="O16">
        <v>-8.6154609680175701E-2</v>
      </c>
      <c r="P16">
        <v>3.8733119964599598E-2</v>
      </c>
      <c r="Q16">
        <v>0</v>
      </c>
      <c r="R16">
        <v>161.46799999999999</v>
      </c>
      <c r="S16">
        <v>0.46899999999999997</v>
      </c>
      <c r="T16">
        <v>0.442</v>
      </c>
      <c r="U16">
        <v>0.71099999999999997</v>
      </c>
      <c r="V16" t="b">
        <v>1</v>
      </c>
      <c r="W16" t="s">
        <v>49</v>
      </c>
    </row>
    <row r="17" spans="1:23" x14ac:dyDescent="0.3">
      <c r="B17" s="2">
        <f t="shared" si="0"/>
        <v>0.20079230000010284</v>
      </c>
      <c r="C17">
        <v>3221.8760898999999</v>
      </c>
      <c r="D17" t="s">
        <v>37</v>
      </c>
      <c r="E17" t="s">
        <v>37</v>
      </c>
      <c r="F17" t="s">
        <v>37</v>
      </c>
      <c r="G17" t="s">
        <v>37</v>
      </c>
      <c r="H17" t="s">
        <v>37</v>
      </c>
      <c r="I17" t="s">
        <v>37</v>
      </c>
      <c r="J17" t="s">
        <v>37</v>
      </c>
      <c r="K17">
        <v>0</v>
      </c>
      <c r="L17">
        <v>0</v>
      </c>
      <c r="M17">
        <v>0</v>
      </c>
      <c r="N17">
        <v>0</v>
      </c>
      <c r="O17">
        <v>-8.6154609680175701E-2</v>
      </c>
      <c r="P17">
        <v>3.8733119964599598E-2</v>
      </c>
      <c r="Q17">
        <v>0</v>
      </c>
      <c r="R17">
        <v>161.46799999999999</v>
      </c>
      <c r="S17">
        <v>0.46899999999999997</v>
      </c>
      <c r="T17">
        <v>0.442</v>
      </c>
      <c r="U17">
        <v>0.71099999999999997</v>
      </c>
      <c r="V17" t="b">
        <v>1</v>
      </c>
      <c r="W17" t="s">
        <v>49</v>
      </c>
    </row>
    <row r="18" spans="1:23" x14ac:dyDescent="0.3">
      <c r="B18" s="2">
        <f t="shared" si="0"/>
        <v>0.21585990000039601</v>
      </c>
      <c r="C18">
        <v>3221.8911575000002</v>
      </c>
      <c r="D18" t="s">
        <v>37</v>
      </c>
      <c r="E18" t="s">
        <v>37</v>
      </c>
      <c r="F18" t="s">
        <v>37</v>
      </c>
      <c r="G18" t="s">
        <v>37</v>
      </c>
      <c r="H18" t="s">
        <v>37</v>
      </c>
      <c r="I18" t="s">
        <v>37</v>
      </c>
      <c r="J18" t="s">
        <v>37</v>
      </c>
      <c r="K18">
        <v>0</v>
      </c>
      <c r="L18">
        <v>0</v>
      </c>
      <c r="M18">
        <v>0</v>
      </c>
      <c r="N18">
        <v>0</v>
      </c>
      <c r="O18">
        <v>-9.5610008239746094E-2</v>
      </c>
      <c r="P18">
        <v>5.3336387634277303E-2</v>
      </c>
      <c r="Q18">
        <v>0</v>
      </c>
      <c r="R18">
        <v>161.322</v>
      </c>
      <c r="S18">
        <v>0.64</v>
      </c>
      <c r="T18">
        <v>0.94699999999999995</v>
      </c>
      <c r="U18">
        <v>0.70799999999999996</v>
      </c>
      <c r="V18" t="b">
        <v>1</v>
      </c>
      <c r="W18" t="s">
        <v>49</v>
      </c>
    </row>
    <row r="19" spans="1:23" x14ac:dyDescent="0.3">
      <c r="A19">
        <f>0.4*0.12</f>
        <v>4.8000000000000001E-2</v>
      </c>
      <c r="B19" s="2">
        <f t="shared" si="0"/>
        <v>0.23115530000040962</v>
      </c>
      <c r="C19">
        <v>3221.9064529000002</v>
      </c>
      <c r="D19" t="s">
        <v>37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>
        <v>0</v>
      </c>
      <c r="L19">
        <v>0</v>
      </c>
      <c r="M19">
        <v>0</v>
      </c>
      <c r="N19">
        <v>0</v>
      </c>
      <c r="O19">
        <v>-9.5610008239746094E-2</v>
      </c>
      <c r="P19">
        <v>5.3336387634277303E-2</v>
      </c>
      <c r="Q19">
        <v>0</v>
      </c>
      <c r="R19">
        <v>161.322</v>
      </c>
      <c r="S19">
        <v>0.64</v>
      </c>
      <c r="T19">
        <v>0.94699999999999995</v>
      </c>
      <c r="U19">
        <v>0.70799999999999996</v>
      </c>
      <c r="V19" t="b">
        <v>1</v>
      </c>
      <c r="W19" t="s">
        <v>49</v>
      </c>
    </row>
    <row r="20" spans="1:23" x14ac:dyDescent="0.3">
      <c r="B20" s="2">
        <f t="shared" si="0"/>
        <v>0.24731440000005023</v>
      </c>
      <c r="C20">
        <v>3221.9226119999998</v>
      </c>
      <c r="D20" t="s">
        <v>37</v>
      </c>
      <c r="E20" t="s">
        <v>37</v>
      </c>
      <c r="F20" t="s">
        <v>37</v>
      </c>
      <c r="G20" t="s">
        <v>37</v>
      </c>
      <c r="H20" t="s">
        <v>37</v>
      </c>
      <c r="I20" t="s">
        <v>37</v>
      </c>
      <c r="J20" t="s">
        <v>37</v>
      </c>
      <c r="K20">
        <v>0</v>
      </c>
      <c r="L20">
        <v>0</v>
      </c>
      <c r="M20">
        <v>0</v>
      </c>
      <c r="N20">
        <v>0</v>
      </c>
      <c r="O20">
        <v>-9.5610008239746094E-2</v>
      </c>
      <c r="P20">
        <v>5.3336387634277303E-2</v>
      </c>
      <c r="Q20">
        <v>0</v>
      </c>
      <c r="R20">
        <v>161.322</v>
      </c>
      <c r="S20">
        <v>0.64</v>
      </c>
      <c r="T20">
        <v>0.94699999999999995</v>
      </c>
      <c r="U20">
        <v>0.70799999999999996</v>
      </c>
      <c r="V20" t="b">
        <v>1</v>
      </c>
      <c r="W20" t="s">
        <v>49</v>
      </c>
    </row>
    <row r="21" spans="1:23" x14ac:dyDescent="0.3">
      <c r="B21" s="2">
        <f t="shared" si="0"/>
        <v>0.26257580000037706</v>
      </c>
      <c r="C21">
        <v>3221.9378734000002</v>
      </c>
      <c r="D21" t="s">
        <v>37</v>
      </c>
      <c r="E21" t="s">
        <v>37</v>
      </c>
      <c r="F21" t="s">
        <v>37</v>
      </c>
      <c r="G21" t="s">
        <v>37</v>
      </c>
      <c r="H21" t="s">
        <v>37</v>
      </c>
      <c r="I21" t="s">
        <v>37</v>
      </c>
      <c r="J21" t="s">
        <v>37</v>
      </c>
      <c r="K21">
        <v>0</v>
      </c>
      <c r="L21">
        <v>0</v>
      </c>
      <c r="M21">
        <v>0</v>
      </c>
      <c r="N21">
        <v>0</v>
      </c>
      <c r="O21">
        <v>-9.5610008239746094E-2</v>
      </c>
      <c r="P21">
        <v>5.3336387634277303E-2</v>
      </c>
      <c r="Q21">
        <v>0</v>
      </c>
      <c r="R21">
        <v>161.322</v>
      </c>
      <c r="S21">
        <v>0.64</v>
      </c>
      <c r="T21">
        <v>0.94699999999999995</v>
      </c>
      <c r="U21">
        <v>0.70799999999999996</v>
      </c>
      <c r="V21" t="b">
        <v>1</v>
      </c>
      <c r="W21" t="s">
        <v>49</v>
      </c>
    </row>
    <row r="22" spans="1:23" x14ac:dyDescent="0.3">
      <c r="B22" s="2">
        <f t="shared" si="0"/>
        <v>0.2780137000004288</v>
      </c>
      <c r="C22">
        <v>3221.9533113000002</v>
      </c>
      <c r="D22" t="s">
        <v>37</v>
      </c>
      <c r="E22" t="s">
        <v>37</v>
      </c>
      <c r="F22" t="s">
        <v>37</v>
      </c>
      <c r="G22" t="s">
        <v>37</v>
      </c>
      <c r="H22" t="s">
        <v>37</v>
      </c>
      <c r="I22" t="s">
        <v>37</v>
      </c>
      <c r="J22" t="s">
        <v>37</v>
      </c>
      <c r="K22">
        <v>0</v>
      </c>
      <c r="L22">
        <v>0</v>
      </c>
      <c r="M22">
        <v>0</v>
      </c>
      <c r="N22">
        <v>0</v>
      </c>
      <c r="O22">
        <v>-9.5809143066406199E-2</v>
      </c>
      <c r="P22">
        <v>4.6923980712890598E-2</v>
      </c>
      <c r="Q22">
        <v>0</v>
      </c>
      <c r="R22">
        <v>161.244</v>
      </c>
      <c r="S22">
        <v>0.69799999999999995</v>
      </c>
      <c r="T22">
        <v>1.07</v>
      </c>
      <c r="U22">
        <v>0.70899999999999996</v>
      </c>
      <c r="V22" t="b">
        <v>1</v>
      </c>
      <c r="W22" t="s">
        <v>49</v>
      </c>
    </row>
    <row r="23" spans="1:23" x14ac:dyDescent="0.3">
      <c r="B23" s="2">
        <f t="shared" si="0"/>
        <v>0.2941795000001548</v>
      </c>
      <c r="C23">
        <v>3221.9694770999999</v>
      </c>
      <c r="D23" t="s">
        <v>37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>
        <v>0</v>
      </c>
      <c r="L23">
        <v>0</v>
      </c>
      <c r="M23">
        <v>0</v>
      </c>
      <c r="N23">
        <v>0</v>
      </c>
      <c r="O23">
        <v>-9.5809143066406199E-2</v>
      </c>
      <c r="P23">
        <v>4.6923980712890598E-2</v>
      </c>
      <c r="Q23">
        <v>0</v>
      </c>
      <c r="R23">
        <v>161.244</v>
      </c>
      <c r="S23">
        <v>0.69799999999999995</v>
      </c>
      <c r="T23">
        <v>1.07</v>
      </c>
      <c r="U23">
        <v>0.70899999999999996</v>
      </c>
      <c r="V23" t="b">
        <v>1</v>
      </c>
      <c r="W23" t="s">
        <v>49</v>
      </c>
    </row>
    <row r="24" spans="1:23" x14ac:dyDescent="0.3">
      <c r="B24" s="2">
        <f t="shared" si="0"/>
        <v>0.30981510000037815</v>
      </c>
      <c r="C24">
        <v>3221.9851127000002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  <c r="K24">
        <v>0</v>
      </c>
      <c r="L24">
        <v>0</v>
      </c>
      <c r="M24">
        <v>0</v>
      </c>
      <c r="N24">
        <v>0</v>
      </c>
      <c r="O24">
        <v>-9.5809143066406199E-2</v>
      </c>
      <c r="P24">
        <v>4.6923980712890598E-2</v>
      </c>
      <c r="Q24">
        <v>0</v>
      </c>
      <c r="R24">
        <v>161.244</v>
      </c>
      <c r="S24">
        <v>0.69799999999999995</v>
      </c>
      <c r="T24">
        <v>1.07</v>
      </c>
      <c r="U24">
        <v>0.70899999999999996</v>
      </c>
      <c r="V24" t="b">
        <v>1</v>
      </c>
      <c r="W24" t="s">
        <v>49</v>
      </c>
    </row>
    <row r="25" spans="1:23" x14ac:dyDescent="0.3">
      <c r="B25" s="2">
        <f t="shared" si="0"/>
        <v>0.32596110000031331</v>
      </c>
      <c r="C25">
        <v>3222.0012587000001</v>
      </c>
      <c r="D25" t="s">
        <v>37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  <c r="J25" t="s">
        <v>37</v>
      </c>
      <c r="K25">
        <v>0</v>
      </c>
      <c r="L25">
        <v>0</v>
      </c>
      <c r="M25">
        <v>0</v>
      </c>
      <c r="N25">
        <v>0</v>
      </c>
      <c r="O25">
        <v>-9.5809143066406199E-2</v>
      </c>
      <c r="P25">
        <v>4.6923980712890598E-2</v>
      </c>
      <c r="Q25">
        <v>0</v>
      </c>
      <c r="R25">
        <v>161.244</v>
      </c>
      <c r="S25">
        <v>0.69799999999999995</v>
      </c>
      <c r="T25">
        <v>1.07</v>
      </c>
      <c r="U25">
        <v>0.70899999999999996</v>
      </c>
      <c r="V25" t="b">
        <v>1</v>
      </c>
      <c r="W25" t="s">
        <v>49</v>
      </c>
    </row>
    <row r="26" spans="1:23" x14ac:dyDescent="0.3">
      <c r="B26" s="2">
        <f t="shared" si="0"/>
        <v>0.34174560000019483</v>
      </c>
      <c r="C26">
        <v>3222.0170432</v>
      </c>
      <c r="D26" t="s">
        <v>37</v>
      </c>
      <c r="E26" t="s">
        <v>37</v>
      </c>
      <c r="F26" t="s">
        <v>37</v>
      </c>
      <c r="G26" t="s">
        <v>37</v>
      </c>
      <c r="H26" t="s">
        <v>37</v>
      </c>
      <c r="I26" t="s">
        <v>37</v>
      </c>
      <c r="J26" t="s">
        <v>37</v>
      </c>
      <c r="K26">
        <v>0</v>
      </c>
      <c r="L26">
        <v>0</v>
      </c>
      <c r="M26">
        <v>0</v>
      </c>
      <c r="N26">
        <v>0</v>
      </c>
      <c r="O26">
        <v>-0.124998825073242</v>
      </c>
      <c r="P26">
        <v>7.06528549194336E-2</v>
      </c>
      <c r="Q26">
        <v>0</v>
      </c>
      <c r="R26">
        <v>161.113</v>
      </c>
      <c r="S26">
        <v>0.83899999999999997</v>
      </c>
      <c r="T26">
        <v>1.0880000000000001</v>
      </c>
      <c r="U26">
        <v>0.71099999999999997</v>
      </c>
      <c r="V26" t="b">
        <v>1</v>
      </c>
      <c r="W26" t="s">
        <v>49</v>
      </c>
    </row>
    <row r="27" spans="1:23" x14ac:dyDescent="0.3">
      <c r="B27" s="2">
        <f t="shared" si="0"/>
        <v>0.35752370000000155</v>
      </c>
      <c r="C27">
        <v>3222.0328212999998</v>
      </c>
      <c r="D27" t="s">
        <v>37</v>
      </c>
      <c r="E27" t="s">
        <v>37</v>
      </c>
      <c r="F27" t="s">
        <v>37</v>
      </c>
      <c r="G27" t="s">
        <v>37</v>
      </c>
      <c r="H27" t="s">
        <v>37</v>
      </c>
      <c r="I27" t="s">
        <v>37</v>
      </c>
      <c r="J27" t="s">
        <v>37</v>
      </c>
      <c r="K27">
        <v>0</v>
      </c>
      <c r="L27">
        <v>0</v>
      </c>
      <c r="M27">
        <v>0</v>
      </c>
      <c r="N27">
        <v>0</v>
      </c>
      <c r="O27">
        <v>-0.124998825073242</v>
      </c>
      <c r="P27">
        <v>7.06528549194336E-2</v>
      </c>
      <c r="Q27">
        <v>0</v>
      </c>
      <c r="R27">
        <v>161.113</v>
      </c>
      <c r="S27">
        <v>0.83899999999999997</v>
      </c>
      <c r="T27">
        <v>1.0880000000000001</v>
      </c>
      <c r="U27">
        <v>0.71099999999999997</v>
      </c>
      <c r="V27" t="b">
        <v>1</v>
      </c>
      <c r="W27" t="s">
        <v>49</v>
      </c>
    </row>
    <row r="28" spans="1:23" x14ac:dyDescent="0.3">
      <c r="B28" s="2">
        <f t="shared" si="0"/>
        <v>0.37302320000026157</v>
      </c>
      <c r="C28">
        <v>3222.0483208000001</v>
      </c>
      <c r="D28" t="s">
        <v>37</v>
      </c>
      <c r="E28" t="s">
        <v>37</v>
      </c>
      <c r="F28" t="s">
        <v>37</v>
      </c>
      <c r="G28" t="s">
        <v>37</v>
      </c>
      <c r="H28" t="s">
        <v>37</v>
      </c>
      <c r="I28" t="s">
        <v>37</v>
      </c>
      <c r="J28" t="s">
        <v>37</v>
      </c>
      <c r="K28">
        <v>0</v>
      </c>
      <c r="L28">
        <v>0</v>
      </c>
      <c r="M28">
        <v>0</v>
      </c>
      <c r="N28">
        <v>0</v>
      </c>
      <c r="O28">
        <v>-0.124998825073242</v>
      </c>
      <c r="P28">
        <v>7.06528549194336E-2</v>
      </c>
      <c r="Q28">
        <v>0</v>
      </c>
      <c r="R28">
        <v>161.113</v>
      </c>
      <c r="S28">
        <v>0.83899999999999997</v>
      </c>
      <c r="T28">
        <v>1.0880000000000001</v>
      </c>
      <c r="U28">
        <v>0.71099999999999997</v>
      </c>
      <c r="V28" t="b">
        <v>1</v>
      </c>
      <c r="W28" t="s">
        <v>49</v>
      </c>
    </row>
    <row r="29" spans="1:23" x14ac:dyDescent="0.3">
      <c r="B29" s="2">
        <f t="shared" si="0"/>
        <v>0.38870820000011008</v>
      </c>
      <c r="C29">
        <v>3222.0640057999999</v>
      </c>
      <c r="D29" t="s">
        <v>37</v>
      </c>
      <c r="E29" t="s">
        <v>37</v>
      </c>
      <c r="F29" t="s">
        <v>37</v>
      </c>
      <c r="G29" t="s">
        <v>37</v>
      </c>
      <c r="H29" t="s">
        <v>37</v>
      </c>
      <c r="I29" t="s">
        <v>37</v>
      </c>
      <c r="J29" t="s">
        <v>37</v>
      </c>
      <c r="K29">
        <v>0</v>
      </c>
      <c r="L29">
        <v>0</v>
      </c>
      <c r="M29">
        <v>0</v>
      </c>
      <c r="N29">
        <v>0</v>
      </c>
      <c r="O29">
        <v>-0.124998825073242</v>
      </c>
      <c r="P29">
        <v>7.06528549194336E-2</v>
      </c>
      <c r="Q29">
        <v>0</v>
      </c>
      <c r="R29">
        <v>161.113</v>
      </c>
      <c r="S29">
        <v>0.83899999999999997</v>
      </c>
      <c r="T29">
        <v>1.0880000000000001</v>
      </c>
      <c r="U29">
        <v>0.71099999999999997</v>
      </c>
      <c r="V29" t="b">
        <v>1</v>
      </c>
      <c r="W29" t="s">
        <v>49</v>
      </c>
    </row>
    <row r="30" spans="1:23" x14ac:dyDescent="0.3">
      <c r="B30" s="2">
        <f t="shared" si="0"/>
        <v>0.40394320000041262</v>
      </c>
      <c r="C30">
        <v>3222.0792408000002</v>
      </c>
      <c r="D30" t="s">
        <v>37</v>
      </c>
      <c r="E30" t="s">
        <v>37</v>
      </c>
      <c r="F30" t="s">
        <v>37</v>
      </c>
      <c r="G30" t="s">
        <v>37</v>
      </c>
      <c r="H30" t="s">
        <v>37</v>
      </c>
      <c r="I30" t="s">
        <v>37</v>
      </c>
      <c r="J30" t="s">
        <v>37</v>
      </c>
      <c r="K30">
        <v>0</v>
      </c>
      <c r="L30">
        <v>0</v>
      </c>
      <c r="M30">
        <v>0</v>
      </c>
      <c r="N30">
        <v>0</v>
      </c>
      <c r="O30">
        <v>-0.126741149902343</v>
      </c>
      <c r="P30">
        <v>7.9314468383789E-2</v>
      </c>
      <c r="Q30">
        <v>0</v>
      </c>
      <c r="R30">
        <v>160.96199999999999</v>
      </c>
      <c r="S30">
        <v>0.47199999999999998</v>
      </c>
      <c r="T30">
        <v>0.752</v>
      </c>
      <c r="U30">
        <v>0.71</v>
      </c>
      <c r="V30" t="b">
        <v>1</v>
      </c>
      <c r="W30" t="s">
        <v>49</v>
      </c>
    </row>
    <row r="31" spans="1:23" x14ac:dyDescent="0.3">
      <c r="B31" s="2">
        <f t="shared" si="0"/>
        <v>0.4197916000002806</v>
      </c>
      <c r="C31">
        <v>3222.0950892000001</v>
      </c>
      <c r="D31" t="s">
        <v>37</v>
      </c>
      <c r="E31" t="s">
        <v>37</v>
      </c>
      <c r="F31" t="s">
        <v>37</v>
      </c>
      <c r="G31" t="s">
        <v>37</v>
      </c>
      <c r="H31" t="s">
        <v>37</v>
      </c>
      <c r="I31" t="s">
        <v>37</v>
      </c>
      <c r="J31" t="s">
        <v>37</v>
      </c>
      <c r="K31">
        <v>0</v>
      </c>
      <c r="L31">
        <v>0</v>
      </c>
      <c r="M31">
        <v>0</v>
      </c>
      <c r="N31">
        <v>0</v>
      </c>
      <c r="O31">
        <v>-0.126741149902343</v>
      </c>
      <c r="P31">
        <v>7.9314468383789E-2</v>
      </c>
      <c r="Q31">
        <v>0</v>
      </c>
      <c r="R31">
        <v>160.96199999999999</v>
      </c>
      <c r="S31">
        <v>0.47199999999999998</v>
      </c>
      <c r="T31">
        <v>0.752</v>
      </c>
      <c r="U31">
        <v>0.71</v>
      </c>
      <c r="V31" t="b">
        <v>1</v>
      </c>
      <c r="W31" t="s">
        <v>49</v>
      </c>
    </row>
    <row r="32" spans="1:23" x14ac:dyDescent="0.3">
      <c r="B32" s="2">
        <f t="shared" si="0"/>
        <v>0.43575710000004619</v>
      </c>
      <c r="C32">
        <v>3222.1110546999998</v>
      </c>
      <c r="D32" t="s">
        <v>37</v>
      </c>
      <c r="E32" t="s">
        <v>37</v>
      </c>
      <c r="F32" t="s">
        <v>37</v>
      </c>
      <c r="G32" t="s">
        <v>37</v>
      </c>
      <c r="H32" t="s">
        <v>37</v>
      </c>
      <c r="I32" t="s">
        <v>37</v>
      </c>
      <c r="J32" t="s">
        <v>37</v>
      </c>
      <c r="K32">
        <v>0</v>
      </c>
      <c r="L32">
        <v>0</v>
      </c>
      <c r="M32">
        <v>0</v>
      </c>
      <c r="N32">
        <v>0</v>
      </c>
      <c r="O32">
        <v>-0.126741149902343</v>
      </c>
      <c r="P32">
        <v>7.9314468383789E-2</v>
      </c>
      <c r="Q32">
        <v>0</v>
      </c>
      <c r="R32">
        <v>160.96199999999999</v>
      </c>
      <c r="S32">
        <v>0.47199999999999998</v>
      </c>
      <c r="T32">
        <v>0.752</v>
      </c>
      <c r="U32">
        <v>0.71</v>
      </c>
      <c r="V32" t="b">
        <v>1</v>
      </c>
      <c r="W32" t="s">
        <v>49</v>
      </c>
    </row>
    <row r="33" spans="2:23" x14ac:dyDescent="0.3">
      <c r="B33" s="2">
        <f t="shared" si="0"/>
        <v>0.45149400000036621</v>
      </c>
      <c r="C33">
        <v>3222.1267916000002</v>
      </c>
      <c r="D33" t="s">
        <v>37</v>
      </c>
      <c r="E33" t="s">
        <v>37</v>
      </c>
      <c r="F33" t="s">
        <v>37</v>
      </c>
      <c r="G33" t="s">
        <v>37</v>
      </c>
      <c r="H33" t="s">
        <v>37</v>
      </c>
      <c r="I33" t="s">
        <v>37</v>
      </c>
      <c r="J33" t="s">
        <v>37</v>
      </c>
      <c r="K33">
        <v>0</v>
      </c>
      <c r="L33">
        <v>0</v>
      </c>
      <c r="M33">
        <v>0</v>
      </c>
      <c r="N33">
        <v>0</v>
      </c>
      <c r="O33">
        <v>-0.126741149902343</v>
      </c>
      <c r="P33">
        <v>7.9314468383789E-2</v>
      </c>
      <c r="Q33">
        <v>0</v>
      </c>
      <c r="R33">
        <v>160.96199999999999</v>
      </c>
      <c r="S33">
        <v>0.47199999999999998</v>
      </c>
      <c r="T33">
        <v>0.752</v>
      </c>
      <c r="U33">
        <v>0.71</v>
      </c>
      <c r="V33" t="b">
        <v>1</v>
      </c>
      <c r="W33" t="s">
        <v>49</v>
      </c>
    </row>
    <row r="34" spans="2:23" x14ac:dyDescent="0.3">
      <c r="B34" s="2">
        <f t="shared" si="0"/>
        <v>0.46699660000012955</v>
      </c>
      <c r="C34">
        <v>3222.1422941999999</v>
      </c>
      <c r="D34" t="s">
        <v>37</v>
      </c>
      <c r="E34" t="s">
        <v>37</v>
      </c>
      <c r="F34" t="s">
        <v>37</v>
      </c>
      <c r="G34" t="s">
        <v>37</v>
      </c>
      <c r="H34" t="s">
        <v>37</v>
      </c>
      <c r="I34" t="s">
        <v>37</v>
      </c>
      <c r="J34" t="s">
        <v>37</v>
      </c>
      <c r="K34">
        <v>0</v>
      </c>
      <c r="L34">
        <v>0</v>
      </c>
      <c r="M34">
        <v>0</v>
      </c>
      <c r="N34">
        <v>0</v>
      </c>
      <c r="O34">
        <v>-0.126741149902343</v>
      </c>
      <c r="P34">
        <v>7.9314468383789E-2</v>
      </c>
      <c r="Q34">
        <v>0</v>
      </c>
      <c r="R34">
        <v>160.96199999999999</v>
      </c>
      <c r="S34">
        <v>0.47199999999999998</v>
      </c>
      <c r="T34">
        <v>0.752</v>
      </c>
      <c r="U34">
        <v>0.71</v>
      </c>
      <c r="V34" t="b">
        <v>1</v>
      </c>
      <c r="W34" t="s">
        <v>49</v>
      </c>
    </row>
    <row r="35" spans="2:23" x14ac:dyDescent="0.3">
      <c r="B35" s="2">
        <f t="shared" si="0"/>
        <v>0.4830205000002934</v>
      </c>
      <c r="C35">
        <v>3222.1583181000001</v>
      </c>
      <c r="D35" t="s">
        <v>37</v>
      </c>
      <c r="E35" t="s">
        <v>37</v>
      </c>
      <c r="F35" t="s">
        <v>37</v>
      </c>
      <c r="G35" t="s">
        <v>37</v>
      </c>
      <c r="H35" t="s">
        <v>37</v>
      </c>
      <c r="I35" t="s">
        <v>37</v>
      </c>
      <c r="J35" t="s">
        <v>37</v>
      </c>
      <c r="K35">
        <v>0</v>
      </c>
      <c r="L35">
        <v>0</v>
      </c>
      <c r="M35">
        <v>0</v>
      </c>
      <c r="N35">
        <v>0</v>
      </c>
      <c r="O35">
        <v>-0.12982263183593701</v>
      </c>
      <c r="P35">
        <v>9.2769683837890596E-2</v>
      </c>
      <c r="Q35">
        <v>0</v>
      </c>
      <c r="R35">
        <v>160.94999999999999</v>
      </c>
      <c r="S35">
        <v>-0.17399999999999999</v>
      </c>
      <c r="T35">
        <v>0.151</v>
      </c>
      <c r="U35">
        <v>0.70799999999999996</v>
      </c>
      <c r="V35" t="b">
        <v>1</v>
      </c>
      <c r="W35" t="s">
        <v>49</v>
      </c>
    </row>
    <row r="36" spans="2:23" x14ac:dyDescent="0.3">
      <c r="B36" s="2">
        <f t="shared" si="0"/>
        <v>0.49845470000036585</v>
      </c>
      <c r="C36">
        <v>3222.1737523000002</v>
      </c>
      <c r="D36" t="s">
        <v>37</v>
      </c>
      <c r="E36" t="s">
        <v>37</v>
      </c>
      <c r="F36" t="s">
        <v>37</v>
      </c>
      <c r="G36" t="s">
        <v>37</v>
      </c>
      <c r="H36" t="s">
        <v>37</v>
      </c>
      <c r="I36" t="s">
        <v>37</v>
      </c>
      <c r="J36" t="s">
        <v>37</v>
      </c>
      <c r="K36">
        <v>0</v>
      </c>
      <c r="L36">
        <v>0</v>
      </c>
      <c r="M36">
        <v>0</v>
      </c>
      <c r="N36">
        <v>0</v>
      </c>
      <c r="O36">
        <v>-0.12982263183593701</v>
      </c>
      <c r="P36">
        <v>9.2769683837890596E-2</v>
      </c>
      <c r="Q36">
        <v>0</v>
      </c>
      <c r="R36">
        <v>160.94999999999999</v>
      </c>
      <c r="S36">
        <v>-0.17399999999999999</v>
      </c>
      <c r="T36">
        <v>0.151</v>
      </c>
      <c r="U36">
        <v>0.70799999999999996</v>
      </c>
      <c r="V36" t="b">
        <v>1</v>
      </c>
      <c r="W36" t="s">
        <v>49</v>
      </c>
    </row>
    <row r="37" spans="2:23" x14ac:dyDescent="0.3">
      <c r="B37" s="2">
        <f t="shared" si="0"/>
        <v>0.51411460000008447</v>
      </c>
      <c r="C37">
        <v>3222.1894121999999</v>
      </c>
      <c r="D37" t="s">
        <v>37</v>
      </c>
      <c r="E37" t="s">
        <v>37</v>
      </c>
      <c r="F37" t="s">
        <v>37</v>
      </c>
      <c r="G37" t="s">
        <v>37</v>
      </c>
      <c r="H37" t="s">
        <v>37</v>
      </c>
      <c r="I37" t="s">
        <v>37</v>
      </c>
      <c r="J37" t="s">
        <v>37</v>
      </c>
      <c r="K37">
        <v>0</v>
      </c>
      <c r="L37">
        <v>0</v>
      </c>
      <c r="M37">
        <v>0</v>
      </c>
      <c r="N37">
        <v>0</v>
      </c>
      <c r="O37">
        <v>-0.12982263183593701</v>
      </c>
      <c r="P37">
        <v>9.2769683837890596E-2</v>
      </c>
      <c r="Q37">
        <v>0</v>
      </c>
      <c r="R37">
        <v>160.94999999999999</v>
      </c>
      <c r="S37">
        <v>-0.17399999999999999</v>
      </c>
      <c r="T37">
        <v>0.151</v>
      </c>
      <c r="U37">
        <v>0.70799999999999996</v>
      </c>
      <c r="V37" t="b">
        <v>1</v>
      </c>
      <c r="W37" t="s">
        <v>49</v>
      </c>
    </row>
    <row r="38" spans="2:23" x14ac:dyDescent="0.3">
      <c r="B38" s="2">
        <f t="shared" si="0"/>
        <v>0.52958090000038283</v>
      </c>
      <c r="C38">
        <v>3222.2048785000002</v>
      </c>
      <c r="D38" t="s">
        <v>37</v>
      </c>
      <c r="E38" t="s">
        <v>37</v>
      </c>
      <c r="F38" t="s">
        <v>37</v>
      </c>
      <c r="G38" t="s">
        <v>37</v>
      </c>
      <c r="H38" t="s">
        <v>37</v>
      </c>
      <c r="I38" t="s">
        <v>37</v>
      </c>
      <c r="J38" t="s">
        <v>37</v>
      </c>
      <c r="K38">
        <v>0</v>
      </c>
      <c r="L38">
        <v>0</v>
      </c>
      <c r="M38">
        <v>0</v>
      </c>
      <c r="N38">
        <v>0</v>
      </c>
      <c r="O38">
        <v>-0.12982263183593701</v>
      </c>
      <c r="P38">
        <v>9.2769683837890596E-2</v>
      </c>
      <c r="Q38">
        <v>0</v>
      </c>
      <c r="R38">
        <v>160.94999999999999</v>
      </c>
      <c r="S38">
        <v>-0.17399999999999999</v>
      </c>
      <c r="T38">
        <v>0.151</v>
      </c>
      <c r="U38">
        <v>0.70799999999999996</v>
      </c>
      <c r="V38" t="b">
        <v>1</v>
      </c>
      <c r="W38" t="s">
        <v>49</v>
      </c>
    </row>
    <row r="39" spans="2:23" x14ac:dyDescent="0.3">
      <c r="B39" s="2">
        <f t="shared" si="0"/>
        <v>0.54471950000015568</v>
      </c>
      <c r="C39">
        <v>3222.2200171</v>
      </c>
      <c r="D39" t="s">
        <v>37</v>
      </c>
      <c r="E39" t="s">
        <v>37</v>
      </c>
      <c r="F39" t="s">
        <v>37</v>
      </c>
      <c r="G39" t="s">
        <v>37</v>
      </c>
      <c r="H39" t="s">
        <v>37</v>
      </c>
      <c r="I39" t="s">
        <v>37</v>
      </c>
      <c r="J39" t="s">
        <v>37</v>
      </c>
      <c r="K39">
        <v>0</v>
      </c>
      <c r="L39">
        <v>0</v>
      </c>
      <c r="M39">
        <v>0</v>
      </c>
      <c r="N39">
        <v>0</v>
      </c>
      <c r="O39">
        <v>-0.15519564819335899</v>
      </c>
      <c r="P39">
        <v>8.7004409790038997E-2</v>
      </c>
      <c r="Q39">
        <v>0</v>
      </c>
      <c r="R39">
        <v>160.875</v>
      </c>
      <c r="S39">
        <v>-0.84899999999999998</v>
      </c>
      <c r="T39">
        <v>-0.51400000000000001</v>
      </c>
      <c r="U39">
        <v>0.70899999999999996</v>
      </c>
      <c r="V39" t="b">
        <v>1</v>
      </c>
      <c r="W39" t="s">
        <v>49</v>
      </c>
    </row>
    <row r="40" spans="2:23" x14ac:dyDescent="0.3">
      <c r="B40" s="2">
        <f t="shared" si="0"/>
        <v>0.55994790000022476</v>
      </c>
      <c r="C40">
        <v>3222.2352455</v>
      </c>
      <c r="D40" t="s">
        <v>37</v>
      </c>
      <c r="E40" t="s">
        <v>37</v>
      </c>
      <c r="F40" t="s">
        <v>37</v>
      </c>
      <c r="G40" t="s">
        <v>37</v>
      </c>
      <c r="H40" t="s">
        <v>37</v>
      </c>
      <c r="I40" t="s">
        <v>37</v>
      </c>
      <c r="J40" t="s">
        <v>37</v>
      </c>
      <c r="K40">
        <v>0</v>
      </c>
      <c r="L40">
        <v>0</v>
      </c>
      <c r="M40">
        <v>0</v>
      </c>
      <c r="N40">
        <v>0</v>
      </c>
      <c r="O40">
        <v>-0.15519564819335899</v>
      </c>
      <c r="P40">
        <v>8.7004409790038997E-2</v>
      </c>
      <c r="Q40">
        <v>0</v>
      </c>
      <c r="R40">
        <v>160.875</v>
      </c>
      <c r="S40">
        <v>-0.84899999999999998</v>
      </c>
      <c r="T40">
        <v>-0.51400000000000001</v>
      </c>
      <c r="U40">
        <v>0.70899999999999996</v>
      </c>
      <c r="V40" t="b">
        <v>1</v>
      </c>
      <c r="W40" t="s">
        <v>49</v>
      </c>
    </row>
    <row r="41" spans="2:23" x14ac:dyDescent="0.3">
      <c r="B41" s="2">
        <f t="shared" si="0"/>
        <v>0.57620560000032128</v>
      </c>
      <c r="C41">
        <v>3222.2515032000001</v>
      </c>
      <c r="D41" t="s">
        <v>37</v>
      </c>
      <c r="E41" t="s">
        <v>37</v>
      </c>
      <c r="F41" t="s">
        <v>37</v>
      </c>
      <c r="G41" t="s">
        <v>37</v>
      </c>
      <c r="H41" t="s">
        <v>37</v>
      </c>
      <c r="I41" t="s">
        <v>37</v>
      </c>
      <c r="J41" t="s">
        <v>37</v>
      </c>
      <c r="K41">
        <v>0</v>
      </c>
      <c r="L41">
        <v>0</v>
      </c>
      <c r="M41">
        <v>0</v>
      </c>
      <c r="N41">
        <v>0</v>
      </c>
      <c r="O41">
        <v>-0.15519564819335899</v>
      </c>
      <c r="P41">
        <v>8.7004409790038997E-2</v>
      </c>
      <c r="Q41">
        <v>0</v>
      </c>
      <c r="R41">
        <v>160.875</v>
      </c>
      <c r="S41">
        <v>-0.84899999999999998</v>
      </c>
      <c r="T41">
        <v>-0.51400000000000001</v>
      </c>
      <c r="U41">
        <v>0.70899999999999996</v>
      </c>
      <c r="V41" t="b">
        <v>1</v>
      </c>
      <c r="W41" t="s">
        <v>49</v>
      </c>
    </row>
    <row r="42" spans="2:23" x14ac:dyDescent="0.3">
      <c r="B42" s="2">
        <f t="shared" si="0"/>
        <v>0.59083770000006552</v>
      </c>
      <c r="C42">
        <v>3222.2661352999999</v>
      </c>
      <c r="D42" t="s">
        <v>37</v>
      </c>
      <c r="E42" t="s">
        <v>37</v>
      </c>
      <c r="F42" t="s">
        <v>37</v>
      </c>
      <c r="G42" t="s">
        <v>37</v>
      </c>
      <c r="H42" t="s">
        <v>37</v>
      </c>
      <c r="I42" t="s">
        <v>37</v>
      </c>
      <c r="J42" t="s">
        <v>37</v>
      </c>
      <c r="K42">
        <v>0</v>
      </c>
      <c r="L42">
        <v>0</v>
      </c>
      <c r="M42">
        <v>0</v>
      </c>
      <c r="N42">
        <v>0</v>
      </c>
      <c r="O42">
        <v>-0.15519564819335899</v>
      </c>
      <c r="P42">
        <v>8.7004409790038997E-2</v>
      </c>
      <c r="Q42">
        <v>0</v>
      </c>
      <c r="R42">
        <v>160.875</v>
      </c>
      <c r="S42">
        <v>-0.84899999999999998</v>
      </c>
      <c r="T42">
        <v>-0.51400000000000001</v>
      </c>
      <c r="U42">
        <v>0.70899999999999996</v>
      </c>
      <c r="V42" t="b">
        <v>1</v>
      </c>
      <c r="W42" t="s">
        <v>49</v>
      </c>
    </row>
    <row r="43" spans="2:23" x14ac:dyDescent="0.3">
      <c r="B43" s="2">
        <f t="shared" si="0"/>
        <v>0.60626369999999952</v>
      </c>
      <c r="C43">
        <v>3222.2815612999998</v>
      </c>
      <c r="D43" t="s">
        <v>37</v>
      </c>
      <c r="E43" t="s">
        <v>37</v>
      </c>
      <c r="F43" t="s">
        <v>37</v>
      </c>
      <c r="G43" t="s">
        <v>37</v>
      </c>
      <c r="H43" t="s">
        <v>37</v>
      </c>
      <c r="I43" t="s">
        <v>37</v>
      </c>
      <c r="J43" t="s">
        <v>37</v>
      </c>
      <c r="K43">
        <v>0</v>
      </c>
      <c r="L43">
        <v>0</v>
      </c>
      <c r="M43">
        <v>0</v>
      </c>
      <c r="N43">
        <v>0</v>
      </c>
      <c r="O43">
        <v>-0.124083267211914</v>
      </c>
      <c r="P43">
        <v>6.7002876281738205E-2</v>
      </c>
      <c r="Q43">
        <v>0</v>
      </c>
      <c r="R43">
        <v>160.77699999999999</v>
      </c>
      <c r="S43">
        <v>-1.6419999999999999</v>
      </c>
      <c r="T43">
        <v>-0.98299999999999998</v>
      </c>
      <c r="U43">
        <v>0.70299999999999996</v>
      </c>
      <c r="V43" t="b">
        <v>1</v>
      </c>
      <c r="W43" t="s">
        <v>49</v>
      </c>
    </row>
    <row r="44" spans="2:23" x14ac:dyDescent="0.3">
      <c r="B44" s="2">
        <f t="shared" si="0"/>
        <v>0.6214124000002812</v>
      </c>
      <c r="C44">
        <v>3222.2967100000001</v>
      </c>
      <c r="D44" t="s">
        <v>37</v>
      </c>
      <c r="E44" t="s">
        <v>37</v>
      </c>
      <c r="F44" t="s">
        <v>37</v>
      </c>
      <c r="G44" t="s">
        <v>37</v>
      </c>
      <c r="H44" t="s">
        <v>37</v>
      </c>
      <c r="I44" t="s">
        <v>37</v>
      </c>
      <c r="J44" t="s">
        <v>37</v>
      </c>
      <c r="K44">
        <v>0</v>
      </c>
      <c r="L44">
        <v>0</v>
      </c>
      <c r="M44">
        <v>0</v>
      </c>
      <c r="N44">
        <v>0</v>
      </c>
      <c r="O44">
        <v>-0.124083267211914</v>
      </c>
      <c r="P44">
        <v>6.7002876281738205E-2</v>
      </c>
      <c r="Q44">
        <v>0</v>
      </c>
      <c r="R44">
        <v>160.77699999999999</v>
      </c>
      <c r="S44">
        <v>-1.6419999999999999</v>
      </c>
      <c r="T44">
        <v>-0.98299999999999998</v>
      </c>
      <c r="U44">
        <v>0.70299999999999996</v>
      </c>
      <c r="V44" t="b">
        <v>1</v>
      </c>
      <c r="W44" t="s">
        <v>49</v>
      </c>
    </row>
    <row r="45" spans="2:23" x14ac:dyDescent="0.3">
      <c r="B45" s="2">
        <f t="shared" si="0"/>
        <v>0.63753459999998086</v>
      </c>
      <c r="C45">
        <v>3222.3128321999998</v>
      </c>
      <c r="D45" t="s">
        <v>37</v>
      </c>
      <c r="E45" t="s">
        <v>37</v>
      </c>
      <c r="F45" t="s">
        <v>37</v>
      </c>
      <c r="G45" t="s">
        <v>37</v>
      </c>
      <c r="H45" t="s">
        <v>37</v>
      </c>
      <c r="I45" t="s">
        <v>37</v>
      </c>
      <c r="J45" t="s">
        <v>37</v>
      </c>
      <c r="K45">
        <v>0</v>
      </c>
      <c r="L45">
        <v>0</v>
      </c>
      <c r="M45">
        <v>0</v>
      </c>
      <c r="N45">
        <v>0</v>
      </c>
      <c r="O45">
        <v>-0.124083267211914</v>
      </c>
      <c r="P45">
        <v>6.7002876281738205E-2</v>
      </c>
      <c r="Q45">
        <v>0</v>
      </c>
      <c r="R45">
        <v>160.77699999999999</v>
      </c>
      <c r="S45">
        <v>-1.6419999999999999</v>
      </c>
      <c r="T45">
        <v>-0.98299999999999998</v>
      </c>
      <c r="U45">
        <v>0.70299999999999996</v>
      </c>
      <c r="V45" t="b">
        <v>1</v>
      </c>
      <c r="W45" t="s">
        <v>49</v>
      </c>
    </row>
    <row r="46" spans="2:23" x14ac:dyDescent="0.3">
      <c r="B46" s="2">
        <f t="shared" si="0"/>
        <v>0.65260699999998906</v>
      </c>
      <c r="C46">
        <v>3222.3279045999998</v>
      </c>
      <c r="D46" t="s">
        <v>37</v>
      </c>
      <c r="E46" t="s">
        <v>37</v>
      </c>
      <c r="F46" t="s">
        <v>37</v>
      </c>
      <c r="G46" t="s">
        <v>37</v>
      </c>
      <c r="H46" t="s">
        <v>37</v>
      </c>
      <c r="I46" t="s">
        <v>37</v>
      </c>
      <c r="J46" t="s">
        <v>37</v>
      </c>
      <c r="K46">
        <v>0</v>
      </c>
      <c r="L46">
        <v>0</v>
      </c>
      <c r="M46">
        <v>0</v>
      </c>
      <c r="N46">
        <v>0</v>
      </c>
      <c r="O46">
        <v>-0.124083267211914</v>
      </c>
      <c r="P46">
        <v>6.7002876281738205E-2</v>
      </c>
      <c r="Q46">
        <v>0</v>
      </c>
      <c r="R46">
        <v>160.77699999999999</v>
      </c>
      <c r="S46">
        <v>-1.6419999999999999</v>
      </c>
      <c r="T46">
        <v>-0.98299999999999998</v>
      </c>
      <c r="U46">
        <v>0.70299999999999996</v>
      </c>
      <c r="V46" t="b">
        <v>1</v>
      </c>
      <c r="W46" t="s">
        <v>49</v>
      </c>
    </row>
    <row r="47" spans="2:23" x14ac:dyDescent="0.3">
      <c r="B47" s="2">
        <f t="shared" si="0"/>
        <v>0.66794340000024022</v>
      </c>
      <c r="C47">
        <v>3222.343241</v>
      </c>
      <c r="D47" t="s">
        <v>37</v>
      </c>
      <c r="E47" t="s">
        <v>37</v>
      </c>
      <c r="F47" t="s">
        <v>37</v>
      </c>
      <c r="G47" t="s">
        <v>37</v>
      </c>
      <c r="H47" t="s">
        <v>37</v>
      </c>
      <c r="I47" t="s">
        <v>37</v>
      </c>
      <c r="J47" t="s">
        <v>37</v>
      </c>
      <c r="K47">
        <v>0</v>
      </c>
      <c r="L47">
        <v>0</v>
      </c>
      <c r="M47">
        <v>0</v>
      </c>
      <c r="N47">
        <v>0</v>
      </c>
      <c r="O47">
        <v>-9.8137031555175697E-2</v>
      </c>
      <c r="P47">
        <v>6.2318321228027301E-2</v>
      </c>
      <c r="Q47">
        <v>0</v>
      </c>
      <c r="R47">
        <v>160.75700000000001</v>
      </c>
      <c r="S47">
        <v>-2.1160000000000001</v>
      </c>
      <c r="T47">
        <v>-1.0469999999999999</v>
      </c>
      <c r="U47">
        <v>0.70199999999999996</v>
      </c>
      <c r="V47" t="b">
        <v>1</v>
      </c>
      <c r="W47" t="s">
        <v>49</v>
      </c>
    </row>
    <row r="48" spans="2:23" x14ac:dyDescent="0.3">
      <c r="B48" s="2">
        <f t="shared" si="0"/>
        <v>0.68331380000017816</v>
      </c>
      <c r="C48">
        <v>3222.3586114</v>
      </c>
      <c r="D48" t="s">
        <v>37</v>
      </c>
      <c r="E48" t="s">
        <v>37</v>
      </c>
      <c r="F48" t="s">
        <v>37</v>
      </c>
      <c r="G48" t="s">
        <v>37</v>
      </c>
      <c r="H48" t="s">
        <v>37</v>
      </c>
      <c r="I48" t="s">
        <v>37</v>
      </c>
      <c r="J48" t="s">
        <v>37</v>
      </c>
      <c r="K48">
        <v>0</v>
      </c>
      <c r="L48">
        <v>0</v>
      </c>
      <c r="M48">
        <v>0</v>
      </c>
      <c r="N48">
        <v>0</v>
      </c>
      <c r="O48">
        <v>-9.8137031555175697E-2</v>
      </c>
      <c r="P48">
        <v>6.2318321228027301E-2</v>
      </c>
      <c r="Q48">
        <v>0</v>
      </c>
      <c r="R48">
        <v>160.75700000000001</v>
      </c>
      <c r="S48">
        <v>-2.1160000000000001</v>
      </c>
      <c r="T48">
        <v>-1.0469999999999999</v>
      </c>
      <c r="U48">
        <v>0.70199999999999996</v>
      </c>
      <c r="V48" t="b">
        <v>1</v>
      </c>
      <c r="W48" t="s">
        <v>49</v>
      </c>
    </row>
    <row r="49" spans="2:23" x14ac:dyDescent="0.3">
      <c r="B49" s="2">
        <f t="shared" si="0"/>
        <v>0.69856420000041908</v>
      </c>
      <c r="C49">
        <v>3222.3738618000002</v>
      </c>
      <c r="D49" t="s">
        <v>37</v>
      </c>
      <c r="E49" t="s">
        <v>37</v>
      </c>
      <c r="F49" t="s">
        <v>37</v>
      </c>
      <c r="G49" t="s">
        <v>37</v>
      </c>
      <c r="H49" t="s">
        <v>37</v>
      </c>
      <c r="I49" t="s">
        <v>37</v>
      </c>
      <c r="J49" t="s">
        <v>37</v>
      </c>
      <c r="K49">
        <v>0</v>
      </c>
      <c r="L49">
        <v>0</v>
      </c>
      <c r="M49">
        <v>0</v>
      </c>
      <c r="N49">
        <v>0</v>
      </c>
      <c r="O49">
        <v>-9.8137031555175697E-2</v>
      </c>
      <c r="P49">
        <v>6.2318321228027301E-2</v>
      </c>
      <c r="Q49">
        <v>0</v>
      </c>
      <c r="R49">
        <v>160.75700000000001</v>
      </c>
      <c r="S49">
        <v>-2.1160000000000001</v>
      </c>
      <c r="T49">
        <v>-1.0469999999999999</v>
      </c>
      <c r="U49">
        <v>0.70199999999999996</v>
      </c>
      <c r="V49" t="b">
        <v>1</v>
      </c>
      <c r="W49" t="s">
        <v>49</v>
      </c>
    </row>
    <row r="50" spans="2:23" x14ac:dyDescent="0.3">
      <c r="B50" s="2">
        <f t="shared" si="0"/>
        <v>0.7138716000004024</v>
      </c>
      <c r="C50">
        <v>3222.3891692000002</v>
      </c>
      <c r="D50" t="s">
        <v>37</v>
      </c>
      <c r="E50" t="s">
        <v>37</v>
      </c>
      <c r="F50" t="s">
        <v>37</v>
      </c>
      <c r="G50" t="s">
        <v>37</v>
      </c>
      <c r="H50" t="s">
        <v>37</v>
      </c>
      <c r="I50" t="s">
        <v>37</v>
      </c>
      <c r="J50" t="s">
        <v>37</v>
      </c>
      <c r="K50">
        <v>0</v>
      </c>
      <c r="L50">
        <v>0</v>
      </c>
      <c r="M50">
        <v>0</v>
      </c>
      <c r="N50">
        <v>0</v>
      </c>
      <c r="O50">
        <v>-9.8137031555175697E-2</v>
      </c>
      <c r="P50">
        <v>6.2318321228027301E-2</v>
      </c>
      <c r="Q50">
        <v>0</v>
      </c>
      <c r="R50">
        <v>160.75700000000001</v>
      </c>
      <c r="S50">
        <v>-2.1160000000000001</v>
      </c>
      <c r="T50">
        <v>-1.0469999999999999</v>
      </c>
      <c r="U50">
        <v>0.70199999999999996</v>
      </c>
      <c r="V50" t="b">
        <v>1</v>
      </c>
      <c r="W50" t="s">
        <v>49</v>
      </c>
    </row>
    <row r="51" spans="2:23" x14ac:dyDescent="0.3">
      <c r="B51" s="2">
        <f t="shared" si="0"/>
        <v>0.73025120000011157</v>
      </c>
      <c r="C51">
        <v>3222.4055487999999</v>
      </c>
      <c r="D51" t="s">
        <v>37</v>
      </c>
      <c r="E51" t="s">
        <v>37</v>
      </c>
      <c r="F51" t="s">
        <v>37</v>
      </c>
      <c r="G51" t="s">
        <v>37</v>
      </c>
      <c r="H51" t="s">
        <v>37</v>
      </c>
      <c r="I51" t="s">
        <v>37</v>
      </c>
      <c r="J51" t="s">
        <v>37</v>
      </c>
      <c r="K51">
        <v>0</v>
      </c>
      <c r="L51">
        <v>0</v>
      </c>
      <c r="M51">
        <v>0</v>
      </c>
      <c r="N51">
        <v>0</v>
      </c>
      <c r="O51">
        <v>-9.8137031555175697E-2</v>
      </c>
      <c r="P51">
        <v>6.2318321228027301E-2</v>
      </c>
      <c r="Q51">
        <v>0</v>
      </c>
      <c r="R51">
        <v>160.75700000000001</v>
      </c>
      <c r="S51">
        <v>-2.1160000000000001</v>
      </c>
      <c r="T51">
        <v>-1.0469999999999999</v>
      </c>
      <c r="U51">
        <v>0.70199999999999996</v>
      </c>
      <c r="V51" t="b">
        <v>1</v>
      </c>
      <c r="W51" t="s">
        <v>49</v>
      </c>
    </row>
    <row r="52" spans="2:23" x14ac:dyDescent="0.3">
      <c r="B52" s="2">
        <f t="shared" si="0"/>
        <v>0.74559630000021571</v>
      </c>
      <c r="C52">
        <v>3222.4208939</v>
      </c>
      <c r="D52" t="s">
        <v>37</v>
      </c>
      <c r="E52" t="s">
        <v>37</v>
      </c>
      <c r="F52" t="s">
        <v>37</v>
      </c>
      <c r="G52" t="s">
        <v>37</v>
      </c>
      <c r="H52" t="s">
        <v>37</v>
      </c>
      <c r="I52" t="s">
        <v>37</v>
      </c>
      <c r="J52" t="s">
        <v>37</v>
      </c>
      <c r="K52">
        <v>0</v>
      </c>
      <c r="L52">
        <v>0</v>
      </c>
      <c r="M52">
        <v>0</v>
      </c>
      <c r="N52">
        <v>0</v>
      </c>
      <c r="O52">
        <v>-8.8592613220214805E-2</v>
      </c>
      <c r="P52">
        <v>7.7672790527343702E-2</v>
      </c>
      <c r="Q52">
        <v>0</v>
      </c>
      <c r="R52">
        <v>160.77600000000001</v>
      </c>
      <c r="S52">
        <v>-2.121</v>
      </c>
      <c r="T52">
        <v>-0.93500000000000005</v>
      </c>
      <c r="U52">
        <v>0.70399999999999996</v>
      </c>
      <c r="V52" t="b">
        <v>1</v>
      </c>
      <c r="W52" t="s">
        <v>49</v>
      </c>
    </row>
    <row r="53" spans="2:23" x14ac:dyDescent="0.3">
      <c r="B53" s="2">
        <f t="shared" si="0"/>
        <v>0.7610821000002943</v>
      </c>
      <c r="C53">
        <v>3222.4363797000001</v>
      </c>
      <c r="D53" t="s">
        <v>37</v>
      </c>
      <c r="E53" t="s">
        <v>37</v>
      </c>
      <c r="F53" t="s">
        <v>37</v>
      </c>
      <c r="G53" t="s">
        <v>37</v>
      </c>
      <c r="H53" t="s">
        <v>37</v>
      </c>
      <c r="I53" t="s">
        <v>37</v>
      </c>
      <c r="J53" t="s">
        <v>37</v>
      </c>
      <c r="K53">
        <v>0</v>
      </c>
      <c r="L53">
        <v>0</v>
      </c>
      <c r="M53">
        <v>0</v>
      </c>
      <c r="N53">
        <v>0</v>
      </c>
      <c r="O53">
        <v>-8.8592613220214805E-2</v>
      </c>
      <c r="P53">
        <v>7.7672790527343702E-2</v>
      </c>
      <c r="Q53">
        <v>0</v>
      </c>
      <c r="R53">
        <v>160.77600000000001</v>
      </c>
      <c r="S53">
        <v>-2.121</v>
      </c>
      <c r="T53">
        <v>-0.93500000000000005</v>
      </c>
      <c r="U53">
        <v>0.70399999999999996</v>
      </c>
      <c r="V53" t="b">
        <v>1</v>
      </c>
      <c r="W53" t="s">
        <v>49</v>
      </c>
    </row>
    <row r="54" spans="2:23" x14ac:dyDescent="0.3">
      <c r="B54" s="2">
        <f t="shared" si="0"/>
        <v>0.77641560000029131</v>
      </c>
      <c r="C54">
        <v>3222.4517132000001</v>
      </c>
      <c r="D54" t="s">
        <v>37</v>
      </c>
      <c r="E54" t="s">
        <v>37</v>
      </c>
      <c r="F54" t="s">
        <v>37</v>
      </c>
      <c r="G54" t="s">
        <v>37</v>
      </c>
      <c r="H54" t="s">
        <v>37</v>
      </c>
      <c r="I54" t="s">
        <v>37</v>
      </c>
      <c r="J54" t="s">
        <v>37</v>
      </c>
      <c r="K54">
        <v>0</v>
      </c>
      <c r="L54">
        <v>0</v>
      </c>
      <c r="M54">
        <v>0</v>
      </c>
      <c r="N54">
        <v>0</v>
      </c>
      <c r="O54">
        <v>-8.8592613220214805E-2</v>
      </c>
      <c r="P54">
        <v>7.7672790527343702E-2</v>
      </c>
      <c r="Q54">
        <v>0</v>
      </c>
      <c r="R54">
        <v>160.77600000000001</v>
      </c>
      <c r="S54">
        <v>-2.121</v>
      </c>
      <c r="T54">
        <v>-0.93500000000000005</v>
      </c>
      <c r="U54">
        <v>0.70399999999999996</v>
      </c>
      <c r="V54" t="b">
        <v>1</v>
      </c>
      <c r="W54" t="s">
        <v>49</v>
      </c>
    </row>
    <row r="55" spans="2:23" x14ac:dyDescent="0.3">
      <c r="B55" s="2">
        <f t="shared" si="0"/>
        <v>0.79153070000029402</v>
      </c>
      <c r="C55">
        <v>3222.4668283000001</v>
      </c>
      <c r="D55" t="s">
        <v>37</v>
      </c>
      <c r="E55" t="s">
        <v>37</v>
      </c>
      <c r="F55" t="s">
        <v>37</v>
      </c>
      <c r="G55" t="s">
        <v>37</v>
      </c>
      <c r="H55" t="s">
        <v>37</v>
      </c>
      <c r="I55" t="s">
        <v>37</v>
      </c>
      <c r="J55" t="s">
        <v>37</v>
      </c>
      <c r="K55">
        <v>0</v>
      </c>
      <c r="L55">
        <v>0</v>
      </c>
      <c r="M55">
        <v>0</v>
      </c>
      <c r="N55">
        <v>0</v>
      </c>
      <c r="O55">
        <v>-8.8592613220214805E-2</v>
      </c>
      <c r="P55">
        <v>7.7672790527343702E-2</v>
      </c>
      <c r="Q55">
        <v>0</v>
      </c>
      <c r="R55">
        <v>160.77600000000001</v>
      </c>
      <c r="S55">
        <v>-2.121</v>
      </c>
      <c r="T55">
        <v>-0.93500000000000005</v>
      </c>
      <c r="U55">
        <v>0.70399999999999996</v>
      </c>
      <c r="V55" t="b">
        <v>1</v>
      </c>
      <c r="W55" t="s">
        <v>49</v>
      </c>
    </row>
    <row r="56" spans="2:23" x14ac:dyDescent="0.3">
      <c r="B56" s="2">
        <f t="shared" si="0"/>
        <v>0.80748250000033295</v>
      </c>
      <c r="C56">
        <v>3222.4827801000001</v>
      </c>
      <c r="D56" t="s">
        <v>37</v>
      </c>
      <c r="E56" t="s">
        <v>37</v>
      </c>
      <c r="F56" t="s">
        <v>37</v>
      </c>
      <c r="G56" t="s">
        <v>37</v>
      </c>
      <c r="H56" t="s">
        <v>37</v>
      </c>
      <c r="I56" t="s">
        <v>37</v>
      </c>
      <c r="J56" t="s">
        <v>37</v>
      </c>
      <c r="K56">
        <v>0</v>
      </c>
      <c r="L56">
        <v>0</v>
      </c>
      <c r="M56">
        <v>0</v>
      </c>
      <c r="N56">
        <v>0</v>
      </c>
      <c r="O56">
        <v>-9.4532920837402307E-2</v>
      </c>
      <c r="P56">
        <v>6.8467155456542902E-2</v>
      </c>
      <c r="Q56">
        <v>0</v>
      </c>
      <c r="R56">
        <v>160.78899999999999</v>
      </c>
      <c r="S56">
        <v>-1.835</v>
      </c>
      <c r="T56">
        <v>-1.1779999999999999</v>
      </c>
      <c r="U56">
        <v>0.70199999999999996</v>
      </c>
      <c r="V56" t="b">
        <v>1</v>
      </c>
      <c r="W56" t="s">
        <v>49</v>
      </c>
    </row>
    <row r="57" spans="2:23" x14ac:dyDescent="0.3">
      <c r="B57" s="2">
        <f t="shared" si="0"/>
        <v>0.82297660000040196</v>
      </c>
      <c r="C57">
        <v>3222.4982742000002</v>
      </c>
      <c r="D57" t="s">
        <v>37</v>
      </c>
      <c r="E57" t="s">
        <v>37</v>
      </c>
      <c r="F57" t="s">
        <v>37</v>
      </c>
      <c r="G57" t="s">
        <v>37</v>
      </c>
      <c r="H57" t="s">
        <v>37</v>
      </c>
      <c r="I57" t="s">
        <v>37</v>
      </c>
      <c r="J57" t="s">
        <v>37</v>
      </c>
      <c r="K57">
        <v>0</v>
      </c>
      <c r="L57">
        <v>0</v>
      </c>
      <c r="M57">
        <v>0</v>
      </c>
      <c r="N57">
        <v>0</v>
      </c>
      <c r="O57">
        <v>-9.4532920837402307E-2</v>
      </c>
      <c r="P57">
        <v>6.8467155456542902E-2</v>
      </c>
      <c r="Q57">
        <v>0</v>
      </c>
      <c r="R57">
        <v>160.78899999999999</v>
      </c>
      <c r="S57">
        <v>-1.835</v>
      </c>
      <c r="T57">
        <v>-1.1779999999999999</v>
      </c>
      <c r="U57">
        <v>0.70199999999999996</v>
      </c>
      <c r="V57" t="b">
        <v>1</v>
      </c>
      <c r="W57" t="s">
        <v>49</v>
      </c>
    </row>
    <row r="58" spans="2:23" x14ac:dyDescent="0.3">
      <c r="B58" s="2">
        <f t="shared" si="0"/>
        <v>0.83904410000013741</v>
      </c>
      <c r="C58">
        <v>3222.5143416999999</v>
      </c>
      <c r="D58" t="s">
        <v>37</v>
      </c>
      <c r="E58" t="s">
        <v>37</v>
      </c>
      <c r="F58" t="s">
        <v>37</v>
      </c>
      <c r="G58" t="s">
        <v>37</v>
      </c>
      <c r="H58" t="s">
        <v>37</v>
      </c>
      <c r="I58" t="s">
        <v>37</v>
      </c>
      <c r="J58" t="s">
        <v>37</v>
      </c>
      <c r="K58">
        <v>0</v>
      </c>
      <c r="L58">
        <v>0</v>
      </c>
      <c r="M58">
        <v>0</v>
      </c>
      <c r="N58">
        <v>0</v>
      </c>
      <c r="O58">
        <v>-9.4532920837402307E-2</v>
      </c>
      <c r="P58">
        <v>6.8467155456542902E-2</v>
      </c>
      <c r="Q58">
        <v>0</v>
      </c>
      <c r="R58">
        <v>160.78899999999999</v>
      </c>
      <c r="S58">
        <v>-1.835</v>
      </c>
      <c r="T58">
        <v>-1.1779999999999999</v>
      </c>
      <c r="U58">
        <v>0.70199999999999996</v>
      </c>
      <c r="V58" t="b">
        <v>1</v>
      </c>
      <c r="W58" t="s">
        <v>49</v>
      </c>
    </row>
    <row r="59" spans="2:23" x14ac:dyDescent="0.3">
      <c r="B59" s="2">
        <f t="shared" si="0"/>
        <v>0.85417240000015227</v>
      </c>
      <c r="C59">
        <v>3222.5294699999999</v>
      </c>
      <c r="D59" t="s">
        <v>37</v>
      </c>
      <c r="E59" t="s">
        <v>37</v>
      </c>
      <c r="F59" t="s">
        <v>37</v>
      </c>
      <c r="G59" t="s">
        <v>37</v>
      </c>
      <c r="H59" t="s">
        <v>37</v>
      </c>
      <c r="I59" t="s">
        <v>37</v>
      </c>
      <c r="J59" t="s">
        <v>37</v>
      </c>
      <c r="K59">
        <v>0</v>
      </c>
      <c r="L59">
        <v>0</v>
      </c>
      <c r="M59">
        <v>0</v>
      </c>
      <c r="N59">
        <v>0</v>
      </c>
      <c r="O59">
        <v>-9.4532920837402307E-2</v>
      </c>
      <c r="P59">
        <v>6.8467155456542902E-2</v>
      </c>
      <c r="Q59">
        <v>0</v>
      </c>
      <c r="R59">
        <v>160.78899999999999</v>
      </c>
      <c r="S59">
        <v>-1.835</v>
      </c>
      <c r="T59">
        <v>-1.1779999999999999</v>
      </c>
      <c r="U59">
        <v>0.70199999999999996</v>
      </c>
      <c r="V59" t="b">
        <v>1</v>
      </c>
      <c r="W59" t="s">
        <v>49</v>
      </c>
    </row>
    <row r="60" spans="2:23" x14ac:dyDescent="0.3">
      <c r="B60" s="2">
        <f t="shared" si="0"/>
        <v>0.86972920000016529</v>
      </c>
      <c r="C60">
        <v>3222.5450268</v>
      </c>
      <c r="D60" t="s">
        <v>37</v>
      </c>
      <c r="E60" t="s">
        <v>37</v>
      </c>
      <c r="F60" t="s">
        <v>37</v>
      </c>
      <c r="G60" t="s">
        <v>37</v>
      </c>
      <c r="H60" t="s">
        <v>37</v>
      </c>
      <c r="I60" t="s">
        <v>37</v>
      </c>
      <c r="J60" t="s">
        <v>37</v>
      </c>
      <c r="K60">
        <v>0</v>
      </c>
      <c r="L60">
        <v>0</v>
      </c>
      <c r="M60">
        <v>0</v>
      </c>
      <c r="N60">
        <v>0</v>
      </c>
      <c r="O60">
        <v>-9.5098167419433596E-2</v>
      </c>
      <c r="P60">
        <v>-2.2404758930206201E-3</v>
      </c>
      <c r="Q60">
        <v>0</v>
      </c>
      <c r="R60">
        <v>160.55500000000001</v>
      </c>
      <c r="S60">
        <v>-1.5880000000000001</v>
      </c>
      <c r="T60">
        <v>-1.524</v>
      </c>
      <c r="U60">
        <v>0.70199999999999996</v>
      </c>
      <c r="V60" t="b">
        <v>1</v>
      </c>
      <c r="W60" t="s">
        <v>49</v>
      </c>
    </row>
    <row r="61" spans="2:23" x14ac:dyDescent="0.3">
      <c r="B61" s="2">
        <f t="shared" si="0"/>
        <v>0.88524850000021615</v>
      </c>
      <c r="C61">
        <v>3222.5605461</v>
      </c>
      <c r="D61" t="s">
        <v>37</v>
      </c>
      <c r="E61" t="s">
        <v>37</v>
      </c>
      <c r="F61" t="s">
        <v>37</v>
      </c>
      <c r="G61" t="s">
        <v>37</v>
      </c>
      <c r="H61" t="s">
        <v>37</v>
      </c>
      <c r="I61" t="s">
        <v>37</v>
      </c>
      <c r="J61" t="s">
        <v>37</v>
      </c>
      <c r="K61">
        <v>0</v>
      </c>
      <c r="L61">
        <v>0</v>
      </c>
      <c r="M61">
        <v>0</v>
      </c>
      <c r="N61">
        <v>0</v>
      </c>
      <c r="O61">
        <v>-9.5098167419433596E-2</v>
      </c>
      <c r="P61">
        <v>-2.2404758930206201E-3</v>
      </c>
      <c r="Q61">
        <v>0</v>
      </c>
      <c r="R61">
        <v>160.55500000000001</v>
      </c>
      <c r="S61">
        <v>-1.5880000000000001</v>
      </c>
      <c r="T61">
        <v>-1.524</v>
      </c>
      <c r="U61">
        <v>0.70199999999999996</v>
      </c>
      <c r="V61" t="b">
        <v>1</v>
      </c>
      <c r="W61" t="s">
        <v>49</v>
      </c>
    </row>
    <row r="62" spans="2:23" x14ac:dyDescent="0.3">
      <c r="B62" s="2">
        <f t="shared" si="0"/>
        <v>0.90091920000031678</v>
      </c>
      <c r="C62">
        <v>3222.5762168000001</v>
      </c>
      <c r="D62" t="s">
        <v>37</v>
      </c>
      <c r="E62" t="s">
        <v>37</v>
      </c>
      <c r="F62" t="s">
        <v>37</v>
      </c>
      <c r="G62" t="s">
        <v>37</v>
      </c>
      <c r="H62" t="s">
        <v>37</v>
      </c>
      <c r="I62" t="s">
        <v>37</v>
      </c>
      <c r="J62" t="s">
        <v>37</v>
      </c>
      <c r="K62">
        <v>0</v>
      </c>
      <c r="L62">
        <v>0</v>
      </c>
      <c r="M62">
        <v>0</v>
      </c>
      <c r="N62">
        <v>0</v>
      </c>
      <c r="O62">
        <v>-9.5098167419433596E-2</v>
      </c>
      <c r="P62">
        <v>-2.2404758930206201E-3</v>
      </c>
      <c r="Q62">
        <v>0</v>
      </c>
      <c r="R62">
        <v>160.55500000000001</v>
      </c>
      <c r="S62">
        <v>-1.5880000000000001</v>
      </c>
      <c r="T62">
        <v>-1.524</v>
      </c>
      <c r="U62">
        <v>0.70199999999999996</v>
      </c>
      <c r="V62" t="b">
        <v>1</v>
      </c>
      <c r="W62" t="s">
        <v>49</v>
      </c>
    </row>
    <row r="63" spans="2:23" x14ac:dyDescent="0.3">
      <c r="B63" s="2">
        <f t="shared" si="0"/>
        <v>0.90367850000029648</v>
      </c>
      <c r="C63">
        <v>3222.5789761000001</v>
      </c>
      <c r="D63" t="s">
        <v>37</v>
      </c>
      <c r="E63" t="s">
        <v>37</v>
      </c>
      <c r="F63" t="s">
        <v>37</v>
      </c>
      <c r="G63" t="s">
        <v>37</v>
      </c>
      <c r="H63" t="s">
        <v>37</v>
      </c>
      <c r="I63" t="s">
        <v>37</v>
      </c>
      <c r="J63" t="s">
        <v>37</v>
      </c>
      <c r="K63">
        <v>0</v>
      </c>
      <c r="L63">
        <v>0</v>
      </c>
      <c r="M63">
        <v>0</v>
      </c>
      <c r="N63">
        <v>0</v>
      </c>
      <c r="O63">
        <v>-9.5098167419433596E-2</v>
      </c>
      <c r="P63">
        <v>-2.2404758930206201E-3</v>
      </c>
      <c r="Q63">
        <v>0</v>
      </c>
      <c r="R63">
        <v>160.55500000000001</v>
      </c>
      <c r="S63">
        <v>-1.5880000000000001</v>
      </c>
      <c r="T63">
        <v>-1.524</v>
      </c>
      <c r="U63">
        <v>0.70199999999999996</v>
      </c>
      <c r="V63" t="b">
        <v>1</v>
      </c>
      <c r="W63" t="s">
        <v>49</v>
      </c>
    </row>
    <row r="64" spans="2:23" x14ac:dyDescent="0.3">
      <c r="B64" s="2">
        <f t="shared" si="0"/>
        <v>0.91670670000030441</v>
      </c>
      <c r="C64">
        <v>3222.5920043000001</v>
      </c>
      <c r="D64" t="s">
        <v>37</v>
      </c>
      <c r="E64" t="s">
        <v>37</v>
      </c>
      <c r="F64" t="s">
        <v>37</v>
      </c>
      <c r="G64" t="s">
        <v>37</v>
      </c>
      <c r="H64" t="s">
        <v>37</v>
      </c>
      <c r="I64" t="s">
        <v>37</v>
      </c>
      <c r="J64" t="s">
        <v>37</v>
      </c>
      <c r="K64">
        <v>0</v>
      </c>
      <c r="L64">
        <v>0</v>
      </c>
      <c r="M64">
        <v>0</v>
      </c>
      <c r="N64">
        <v>0</v>
      </c>
      <c r="O64">
        <v>-9.5098167419433596E-2</v>
      </c>
      <c r="P64">
        <v>-2.2404758930206201E-3</v>
      </c>
      <c r="Q64">
        <v>0</v>
      </c>
      <c r="R64">
        <v>160.55500000000001</v>
      </c>
      <c r="S64">
        <v>-1.5880000000000001</v>
      </c>
      <c r="T64">
        <v>-1.524</v>
      </c>
      <c r="U64">
        <v>0.70199999999999996</v>
      </c>
      <c r="V64" t="b">
        <v>1</v>
      </c>
      <c r="W64" t="s">
        <v>49</v>
      </c>
    </row>
    <row r="65" spans="2:23" x14ac:dyDescent="0.3">
      <c r="B65" s="2">
        <f t="shared" si="0"/>
        <v>0.93219020000015007</v>
      </c>
      <c r="C65">
        <v>3222.6074877999999</v>
      </c>
      <c r="D65" t="s">
        <v>37</v>
      </c>
      <c r="E65" t="s">
        <v>37</v>
      </c>
      <c r="F65" t="s">
        <v>37</v>
      </c>
      <c r="G65" t="s">
        <v>37</v>
      </c>
      <c r="H65" t="s">
        <v>37</v>
      </c>
      <c r="I65" t="s">
        <v>37</v>
      </c>
      <c r="J65" t="s">
        <v>37</v>
      </c>
      <c r="K65">
        <v>0</v>
      </c>
      <c r="L65">
        <v>0</v>
      </c>
      <c r="M65">
        <v>0</v>
      </c>
      <c r="N65">
        <v>0</v>
      </c>
      <c r="O65">
        <v>-8.3087768554687497E-2</v>
      </c>
      <c r="P65">
        <v>-1.74467163085937E-2</v>
      </c>
      <c r="Q65">
        <v>0</v>
      </c>
      <c r="R65">
        <v>160.62799999999999</v>
      </c>
      <c r="S65">
        <v>-1.5069999999999999</v>
      </c>
      <c r="T65">
        <v>-0.91700000000000004</v>
      </c>
      <c r="U65">
        <v>0.7</v>
      </c>
      <c r="V65" t="b">
        <v>1</v>
      </c>
      <c r="W65" t="s">
        <v>49</v>
      </c>
    </row>
    <row r="66" spans="2:23" x14ac:dyDescent="0.3">
      <c r="B66" s="2">
        <f t="shared" si="0"/>
        <v>0.94763220000004367</v>
      </c>
      <c r="C66">
        <v>3222.6229297999998</v>
      </c>
      <c r="D66" t="s">
        <v>37</v>
      </c>
      <c r="E66" t="s">
        <v>37</v>
      </c>
      <c r="F66" t="s">
        <v>37</v>
      </c>
      <c r="G66" t="s">
        <v>37</v>
      </c>
      <c r="H66" t="s">
        <v>37</v>
      </c>
      <c r="I66" t="s">
        <v>37</v>
      </c>
      <c r="J66" t="s">
        <v>37</v>
      </c>
      <c r="K66">
        <v>0</v>
      </c>
      <c r="L66">
        <v>0</v>
      </c>
      <c r="M66">
        <v>0</v>
      </c>
      <c r="N66">
        <v>0</v>
      </c>
      <c r="O66">
        <v>-8.3087768554687497E-2</v>
      </c>
      <c r="P66">
        <v>-1.74467163085937E-2</v>
      </c>
      <c r="Q66">
        <v>0</v>
      </c>
      <c r="R66">
        <v>160.62799999999999</v>
      </c>
      <c r="S66">
        <v>-1.5069999999999999</v>
      </c>
      <c r="T66">
        <v>-0.91700000000000004</v>
      </c>
      <c r="U66">
        <v>0.7</v>
      </c>
      <c r="V66" t="b">
        <v>1</v>
      </c>
      <c r="W66" t="s">
        <v>49</v>
      </c>
    </row>
    <row r="67" spans="2:23" x14ac:dyDescent="0.3">
      <c r="B67" s="2">
        <f t="shared" si="0"/>
        <v>0.96272680000038235</v>
      </c>
      <c r="C67">
        <v>3222.6380244000002</v>
      </c>
      <c r="D67" t="s">
        <v>37</v>
      </c>
      <c r="E67" t="s">
        <v>37</v>
      </c>
      <c r="F67" t="s">
        <v>37</v>
      </c>
      <c r="G67" t="s">
        <v>37</v>
      </c>
      <c r="H67" t="s">
        <v>37</v>
      </c>
      <c r="I67" t="s">
        <v>37</v>
      </c>
      <c r="J67" t="s">
        <v>37</v>
      </c>
      <c r="K67">
        <v>0</v>
      </c>
      <c r="L67">
        <v>0</v>
      </c>
      <c r="M67">
        <v>0</v>
      </c>
      <c r="N67">
        <v>0</v>
      </c>
      <c r="O67">
        <v>-8.3087768554687497E-2</v>
      </c>
      <c r="P67">
        <v>-1.74467163085937E-2</v>
      </c>
      <c r="Q67">
        <v>0</v>
      </c>
      <c r="R67">
        <v>160.62799999999999</v>
      </c>
      <c r="S67">
        <v>-1.5069999999999999</v>
      </c>
      <c r="T67">
        <v>-0.91700000000000004</v>
      </c>
      <c r="U67">
        <v>0.7</v>
      </c>
      <c r="V67" t="b">
        <v>1</v>
      </c>
      <c r="W67" t="s">
        <v>49</v>
      </c>
    </row>
    <row r="68" spans="2:23" x14ac:dyDescent="0.3">
      <c r="B68" s="2">
        <f t="shared" ref="B68:B131" si="1">C68-$C$3</f>
        <v>0.97808190000023387</v>
      </c>
      <c r="C68">
        <v>3222.6533795</v>
      </c>
      <c r="D68" t="s">
        <v>37</v>
      </c>
      <c r="E68" t="s">
        <v>37</v>
      </c>
      <c r="F68" t="s">
        <v>37</v>
      </c>
      <c r="G68" t="s">
        <v>37</v>
      </c>
      <c r="H68" t="s">
        <v>37</v>
      </c>
      <c r="I68" t="s">
        <v>37</v>
      </c>
      <c r="J68" t="s">
        <v>37</v>
      </c>
      <c r="K68">
        <v>0</v>
      </c>
      <c r="L68">
        <v>0</v>
      </c>
      <c r="M68">
        <v>0</v>
      </c>
      <c r="N68">
        <v>0</v>
      </c>
      <c r="O68">
        <v>-8.3087768554687497E-2</v>
      </c>
      <c r="P68">
        <v>-1.74467163085937E-2</v>
      </c>
      <c r="Q68">
        <v>0</v>
      </c>
      <c r="R68">
        <v>160.62799999999999</v>
      </c>
      <c r="S68">
        <v>-1.5069999999999999</v>
      </c>
      <c r="T68">
        <v>-0.91700000000000004</v>
      </c>
      <c r="U68">
        <v>0.7</v>
      </c>
      <c r="V68" t="b">
        <v>1</v>
      </c>
      <c r="W68" t="s">
        <v>49</v>
      </c>
    </row>
    <row r="69" spans="2:23" x14ac:dyDescent="0.3">
      <c r="B69" s="2">
        <f t="shared" si="1"/>
        <v>0.9934240000002319</v>
      </c>
      <c r="C69">
        <v>3222.6687216</v>
      </c>
      <c r="D69" t="s">
        <v>37</v>
      </c>
      <c r="E69" t="s">
        <v>37</v>
      </c>
      <c r="F69" t="s">
        <v>37</v>
      </c>
      <c r="G69" t="s">
        <v>37</v>
      </c>
      <c r="H69" t="s">
        <v>37</v>
      </c>
      <c r="I69" t="s">
        <v>37</v>
      </c>
      <c r="J69" t="s">
        <v>37</v>
      </c>
      <c r="K69">
        <v>0</v>
      </c>
      <c r="L69">
        <v>0</v>
      </c>
      <c r="M69">
        <v>0</v>
      </c>
      <c r="N69">
        <v>0</v>
      </c>
      <c r="O69">
        <v>-5.4534168243408197E-2</v>
      </c>
      <c r="P69">
        <v>-1.43649253845214E-2</v>
      </c>
      <c r="Q69">
        <v>0</v>
      </c>
      <c r="R69">
        <v>160.52799999999999</v>
      </c>
      <c r="S69">
        <v>-1.5680000000000001</v>
      </c>
      <c r="T69">
        <v>-0.218</v>
      </c>
      <c r="U69">
        <v>0.69699999999999995</v>
      </c>
      <c r="V69" t="b">
        <v>1</v>
      </c>
      <c r="W69" t="s">
        <v>49</v>
      </c>
    </row>
    <row r="70" spans="2:23" x14ac:dyDescent="0.3">
      <c r="B70" s="2">
        <f t="shared" si="1"/>
        <v>1.0095186000003196</v>
      </c>
      <c r="C70">
        <v>3222.6848162000001</v>
      </c>
      <c r="D70" t="s">
        <v>37</v>
      </c>
      <c r="E70" t="s">
        <v>37</v>
      </c>
      <c r="F70" t="s">
        <v>37</v>
      </c>
      <c r="G70" t="s">
        <v>37</v>
      </c>
      <c r="H70" t="s">
        <v>37</v>
      </c>
      <c r="I70" t="s">
        <v>37</v>
      </c>
      <c r="J70" t="s">
        <v>37</v>
      </c>
      <c r="K70">
        <v>0</v>
      </c>
      <c r="L70">
        <v>0</v>
      </c>
      <c r="M70">
        <v>0</v>
      </c>
      <c r="N70">
        <v>0</v>
      </c>
      <c r="O70">
        <v>-5.4534168243408197E-2</v>
      </c>
      <c r="P70">
        <v>-1.43649253845214E-2</v>
      </c>
      <c r="Q70">
        <v>0</v>
      </c>
      <c r="R70">
        <v>160.52799999999999</v>
      </c>
      <c r="S70">
        <v>-1.5680000000000001</v>
      </c>
      <c r="T70">
        <v>-0.218</v>
      </c>
      <c r="U70">
        <v>0.69699999999999995</v>
      </c>
      <c r="V70" t="b">
        <v>1</v>
      </c>
      <c r="W70" t="s">
        <v>49</v>
      </c>
    </row>
    <row r="71" spans="2:23" x14ac:dyDescent="0.3">
      <c r="B71" s="2">
        <f t="shared" si="1"/>
        <v>1.0249522000003708</v>
      </c>
      <c r="C71">
        <v>3222.7002498000002</v>
      </c>
      <c r="D71" t="s">
        <v>37</v>
      </c>
      <c r="E71" t="s">
        <v>37</v>
      </c>
      <c r="F71" t="s">
        <v>37</v>
      </c>
      <c r="G71" t="s">
        <v>37</v>
      </c>
      <c r="H71" t="s">
        <v>37</v>
      </c>
      <c r="I71" t="s">
        <v>37</v>
      </c>
      <c r="J71" t="s">
        <v>37</v>
      </c>
      <c r="K71">
        <v>0</v>
      </c>
      <c r="L71">
        <v>0</v>
      </c>
      <c r="M71">
        <v>0</v>
      </c>
      <c r="N71">
        <v>0</v>
      </c>
      <c r="O71">
        <v>-5.4534168243408197E-2</v>
      </c>
      <c r="P71">
        <v>-1.43649253845214E-2</v>
      </c>
      <c r="Q71">
        <v>0</v>
      </c>
      <c r="R71">
        <v>160.52799999999999</v>
      </c>
      <c r="S71">
        <v>-1.5680000000000001</v>
      </c>
      <c r="T71">
        <v>-0.218</v>
      </c>
      <c r="U71">
        <v>0.69699999999999995</v>
      </c>
      <c r="V71" t="b">
        <v>1</v>
      </c>
      <c r="W71" t="s">
        <v>49</v>
      </c>
    </row>
    <row r="72" spans="2:23" x14ac:dyDescent="0.3">
      <c r="B72" s="2">
        <f t="shared" si="1"/>
        <v>1.0401796000001013</v>
      </c>
      <c r="C72">
        <v>3222.7154771999999</v>
      </c>
      <c r="D72" t="s">
        <v>37</v>
      </c>
      <c r="E72" t="s">
        <v>37</v>
      </c>
      <c r="F72" t="s">
        <v>37</v>
      </c>
      <c r="G72" t="s">
        <v>37</v>
      </c>
      <c r="H72" t="s">
        <v>37</v>
      </c>
      <c r="I72" t="s">
        <v>37</v>
      </c>
      <c r="J72" t="s">
        <v>37</v>
      </c>
      <c r="K72">
        <v>0</v>
      </c>
      <c r="L72">
        <v>0</v>
      </c>
      <c r="M72">
        <v>0</v>
      </c>
      <c r="N72">
        <v>0</v>
      </c>
      <c r="O72">
        <v>-5.4534168243408197E-2</v>
      </c>
      <c r="P72">
        <v>-1.43649253845214E-2</v>
      </c>
      <c r="Q72">
        <v>0</v>
      </c>
      <c r="R72">
        <v>160.52799999999999</v>
      </c>
      <c r="S72">
        <v>-1.5680000000000001</v>
      </c>
      <c r="T72">
        <v>-0.218</v>
      </c>
      <c r="U72">
        <v>0.69699999999999995</v>
      </c>
      <c r="V72" t="b">
        <v>1</v>
      </c>
      <c r="W72" t="s">
        <v>49</v>
      </c>
    </row>
    <row r="73" spans="2:23" x14ac:dyDescent="0.3">
      <c r="B73" s="2">
        <f t="shared" si="1"/>
        <v>1.055965400000332</v>
      </c>
      <c r="C73">
        <v>3222.7312630000001</v>
      </c>
      <c r="D73" t="s">
        <v>37</v>
      </c>
      <c r="E73" t="s">
        <v>37</v>
      </c>
      <c r="F73" t="s">
        <v>37</v>
      </c>
      <c r="G73" t="s">
        <v>37</v>
      </c>
      <c r="H73" t="s">
        <v>37</v>
      </c>
      <c r="I73" t="s">
        <v>37</v>
      </c>
      <c r="J73" t="s">
        <v>37</v>
      </c>
      <c r="K73">
        <v>0</v>
      </c>
      <c r="L73">
        <v>0</v>
      </c>
      <c r="M73">
        <v>0</v>
      </c>
      <c r="N73">
        <v>0</v>
      </c>
      <c r="O73">
        <v>-5.4534168243408197E-2</v>
      </c>
      <c r="P73">
        <v>-1.43649253845214E-2</v>
      </c>
      <c r="Q73">
        <v>0</v>
      </c>
      <c r="R73">
        <v>160.52799999999999</v>
      </c>
      <c r="S73">
        <v>-1.5680000000000001</v>
      </c>
      <c r="T73">
        <v>-0.218</v>
      </c>
      <c r="U73">
        <v>0.69699999999999995</v>
      </c>
      <c r="V73" t="b">
        <v>1</v>
      </c>
      <c r="W73" t="s">
        <v>49</v>
      </c>
    </row>
    <row r="74" spans="2:23" x14ac:dyDescent="0.3">
      <c r="B74" s="2">
        <f t="shared" si="1"/>
        <v>1.0718302000000222</v>
      </c>
      <c r="C74">
        <v>3222.7471277999998</v>
      </c>
      <c r="D74" t="s">
        <v>37</v>
      </c>
      <c r="E74" t="s">
        <v>37</v>
      </c>
      <c r="F74" t="s">
        <v>37</v>
      </c>
      <c r="G74" t="s">
        <v>37</v>
      </c>
      <c r="H74" t="s">
        <v>37</v>
      </c>
      <c r="I74" t="s">
        <v>37</v>
      </c>
      <c r="J74" t="s">
        <v>37</v>
      </c>
      <c r="K74">
        <v>0</v>
      </c>
      <c r="L74">
        <v>0</v>
      </c>
      <c r="M74">
        <v>0</v>
      </c>
      <c r="N74">
        <v>0</v>
      </c>
      <c r="O74">
        <v>-4.79116134643554E-2</v>
      </c>
      <c r="P74">
        <v>-2.3709489822387599E-2</v>
      </c>
      <c r="Q74">
        <v>0</v>
      </c>
      <c r="R74">
        <v>160.50399999999999</v>
      </c>
      <c r="S74">
        <v>-1.345</v>
      </c>
      <c r="T74">
        <v>0.23200000000000001</v>
      </c>
      <c r="U74">
        <v>0.69299999999999995</v>
      </c>
      <c r="V74" t="b">
        <v>1</v>
      </c>
      <c r="W74" t="s">
        <v>49</v>
      </c>
    </row>
    <row r="75" spans="2:23" x14ac:dyDescent="0.3">
      <c r="B75" s="2">
        <f t="shared" si="1"/>
        <v>1.0875557000003937</v>
      </c>
      <c r="C75">
        <v>3222.7628533000002</v>
      </c>
      <c r="D75" t="s">
        <v>37</v>
      </c>
      <c r="E75" t="s">
        <v>37</v>
      </c>
      <c r="F75" t="s">
        <v>37</v>
      </c>
      <c r="G75" t="s">
        <v>37</v>
      </c>
      <c r="H75" t="s">
        <v>37</v>
      </c>
      <c r="I75" t="s">
        <v>37</v>
      </c>
      <c r="J75" t="s">
        <v>37</v>
      </c>
      <c r="K75">
        <v>0</v>
      </c>
      <c r="L75">
        <v>0</v>
      </c>
      <c r="M75">
        <v>0</v>
      </c>
      <c r="N75">
        <v>0</v>
      </c>
      <c r="O75">
        <v>-4.79116134643554E-2</v>
      </c>
      <c r="P75">
        <v>-2.3709489822387599E-2</v>
      </c>
      <c r="Q75">
        <v>0</v>
      </c>
      <c r="R75">
        <v>160.50399999999999</v>
      </c>
      <c r="S75">
        <v>-1.345</v>
      </c>
      <c r="T75">
        <v>0.23200000000000001</v>
      </c>
      <c r="U75">
        <v>0.69299999999999995</v>
      </c>
      <c r="V75" t="b">
        <v>1</v>
      </c>
      <c r="W75" t="s">
        <v>49</v>
      </c>
    </row>
    <row r="76" spans="2:23" x14ac:dyDescent="0.3">
      <c r="B76" s="2">
        <f t="shared" si="1"/>
        <v>1.1028458000000683</v>
      </c>
      <c r="C76">
        <v>3222.7781433999999</v>
      </c>
      <c r="D76" t="s">
        <v>37</v>
      </c>
      <c r="E76" t="s">
        <v>37</v>
      </c>
      <c r="F76" t="s">
        <v>37</v>
      </c>
      <c r="G76" t="s">
        <v>37</v>
      </c>
      <c r="H76" t="s">
        <v>37</v>
      </c>
      <c r="I76" t="s">
        <v>37</v>
      </c>
      <c r="J76" t="s">
        <v>37</v>
      </c>
      <c r="K76">
        <v>0</v>
      </c>
      <c r="L76">
        <v>0</v>
      </c>
      <c r="M76">
        <v>0</v>
      </c>
      <c r="N76">
        <v>0</v>
      </c>
      <c r="O76">
        <v>-4.79116134643554E-2</v>
      </c>
      <c r="P76">
        <v>-2.3709489822387599E-2</v>
      </c>
      <c r="Q76">
        <v>0</v>
      </c>
      <c r="R76">
        <v>160.50399999999999</v>
      </c>
      <c r="S76">
        <v>-1.345</v>
      </c>
      <c r="T76">
        <v>0.23200000000000001</v>
      </c>
      <c r="U76">
        <v>0.69299999999999995</v>
      </c>
      <c r="V76" t="b">
        <v>1</v>
      </c>
      <c r="W76" t="s">
        <v>49</v>
      </c>
    </row>
    <row r="77" spans="2:23" x14ac:dyDescent="0.3">
      <c r="B77" s="2">
        <f t="shared" si="1"/>
        <v>1.1188025999999809</v>
      </c>
      <c r="C77">
        <v>3222.7941001999998</v>
      </c>
      <c r="D77" t="s">
        <v>37</v>
      </c>
      <c r="E77" t="s">
        <v>37</v>
      </c>
      <c r="F77" t="s">
        <v>37</v>
      </c>
      <c r="G77" t="s">
        <v>37</v>
      </c>
      <c r="H77" t="s">
        <v>37</v>
      </c>
      <c r="I77" t="s">
        <v>37</v>
      </c>
      <c r="J77" t="s">
        <v>37</v>
      </c>
      <c r="K77">
        <v>0</v>
      </c>
      <c r="L77">
        <v>0</v>
      </c>
      <c r="M77">
        <v>0</v>
      </c>
      <c r="N77">
        <v>0</v>
      </c>
      <c r="O77">
        <v>-4.79116134643554E-2</v>
      </c>
      <c r="P77">
        <v>-2.3709489822387599E-2</v>
      </c>
      <c r="Q77">
        <v>0</v>
      </c>
      <c r="R77">
        <v>160.50399999999999</v>
      </c>
      <c r="S77">
        <v>-1.345</v>
      </c>
      <c r="T77">
        <v>0.23200000000000001</v>
      </c>
      <c r="U77">
        <v>0.69299999999999995</v>
      </c>
      <c r="V77" t="b">
        <v>1</v>
      </c>
      <c r="W77" t="s">
        <v>49</v>
      </c>
    </row>
    <row r="78" spans="2:23" x14ac:dyDescent="0.3">
      <c r="B78" s="2">
        <f t="shared" si="1"/>
        <v>1.1348634000000857</v>
      </c>
      <c r="C78">
        <v>3222.8101609999999</v>
      </c>
      <c r="D78" t="s">
        <v>37</v>
      </c>
      <c r="E78" t="s">
        <v>37</v>
      </c>
      <c r="F78" t="s">
        <v>37</v>
      </c>
      <c r="G78" t="s">
        <v>37</v>
      </c>
      <c r="H78" t="s">
        <v>37</v>
      </c>
      <c r="I78" t="s">
        <v>37</v>
      </c>
      <c r="J78" t="s">
        <v>37</v>
      </c>
      <c r="K78">
        <v>0</v>
      </c>
      <c r="L78">
        <v>0</v>
      </c>
      <c r="M78">
        <v>0</v>
      </c>
      <c r="N78">
        <v>0</v>
      </c>
      <c r="O78">
        <v>-5.0565231323242102E-2</v>
      </c>
      <c r="P78">
        <v>-1.51272478103637E-2</v>
      </c>
      <c r="Q78">
        <v>0</v>
      </c>
      <c r="R78">
        <v>160.43799999999999</v>
      </c>
      <c r="S78">
        <v>-1.0780000000000001</v>
      </c>
      <c r="T78">
        <v>0.59099999999999997</v>
      </c>
      <c r="U78">
        <v>0.68799999999999994</v>
      </c>
      <c r="V78" t="b">
        <v>1</v>
      </c>
      <c r="W78" t="s">
        <v>49</v>
      </c>
    </row>
    <row r="79" spans="2:23" x14ac:dyDescent="0.3">
      <c r="B79" s="2">
        <f t="shared" si="1"/>
        <v>1.1506616000001486</v>
      </c>
      <c r="C79">
        <v>3222.8259591999999</v>
      </c>
      <c r="D79" t="s">
        <v>37</v>
      </c>
      <c r="E79" t="s">
        <v>37</v>
      </c>
      <c r="F79" t="s">
        <v>37</v>
      </c>
      <c r="G79" t="s">
        <v>37</v>
      </c>
      <c r="H79" t="s">
        <v>37</v>
      </c>
      <c r="I79" t="s">
        <v>37</v>
      </c>
      <c r="J79" t="s">
        <v>37</v>
      </c>
      <c r="K79">
        <v>0</v>
      </c>
      <c r="L79">
        <v>0</v>
      </c>
      <c r="M79">
        <v>0</v>
      </c>
      <c r="N79">
        <v>0</v>
      </c>
      <c r="O79">
        <v>-5.0565231323242102E-2</v>
      </c>
      <c r="P79">
        <v>-1.51272478103637E-2</v>
      </c>
      <c r="Q79">
        <v>0</v>
      </c>
      <c r="R79">
        <v>160.43799999999999</v>
      </c>
      <c r="S79">
        <v>-1.0780000000000001</v>
      </c>
      <c r="T79">
        <v>0.59099999999999997</v>
      </c>
      <c r="U79">
        <v>0.68799999999999994</v>
      </c>
      <c r="V79" t="b">
        <v>1</v>
      </c>
      <c r="W79" t="s">
        <v>49</v>
      </c>
    </row>
    <row r="80" spans="2:23" x14ac:dyDescent="0.3">
      <c r="B80" s="2">
        <f t="shared" si="1"/>
        <v>1.1660625000004075</v>
      </c>
      <c r="C80">
        <v>3222.8413601000002</v>
      </c>
      <c r="D80" t="s">
        <v>37</v>
      </c>
      <c r="E80" t="s">
        <v>37</v>
      </c>
      <c r="F80" t="s">
        <v>37</v>
      </c>
      <c r="G80" t="s">
        <v>37</v>
      </c>
      <c r="H80" t="s">
        <v>37</v>
      </c>
      <c r="I80" t="s">
        <v>37</v>
      </c>
      <c r="J80" t="s">
        <v>37</v>
      </c>
      <c r="K80">
        <v>0</v>
      </c>
      <c r="L80">
        <v>0</v>
      </c>
      <c r="M80">
        <v>0</v>
      </c>
      <c r="N80">
        <v>0</v>
      </c>
      <c r="O80">
        <v>-5.0565231323242102E-2</v>
      </c>
      <c r="P80">
        <v>-1.51272478103637E-2</v>
      </c>
      <c r="Q80">
        <v>0</v>
      </c>
      <c r="R80">
        <v>160.43799999999999</v>
      </c>
      <c r="S80">
        <v>-1.0780000000000001</v>
      </c>
      <c r="T80">
        <v>0.59099999999999997</v>
      </c>
      <c r="U80">
        <v>0.68799999999999994</v>
      </c>
      <c r="V80" t="b">
        <v>1</v>
      </c>
      <c r="W80" t="s">
        <v>49</v>
      </c>
    </row>
    <row r="81" spans="2:23" x14ac:dyDescent="0.3">
      <c r="B81" s="2">
        <f t="shared" si="1"/>
        <v>1.1819746000001032</v>
      </c>
      <c r="C81">
        <v>3222.8572721999999</v>
      </c>
      <c r="D81" t="s">
        <v>37</v>
      </c>
      <c r="E81" t="s">
        <v>37</v>
      </c>
      <c r="F81" t="s">
        <v>37</v>
      </c>
      <c r="G81" t="s">
        <v>37</v>
      </c>
      <c r="H81" t="s">
        <v>37</v>
      </c>
      <c r="I81" t="s">
        <v>37</v>
      </c>
      <c r="J81" t="s">
        <v>37</v>
      </c>
      <c r="K81">
        <v>0</v>
      </c>
      <c r="L81">
        <v>0</v>
      </c>
      <c r="M81">
        <v>0</v>
      </c>
      <c r="N81">
        <v>0</v>
      </c>
      <c r="O81">
        <v>-5.0565231323242102E-2</v>
      </c>
      <c r="P81">
        <v>-1.51272478103637E-2</v>
      </c>
      <c r="Q81">
        <v>0</v>
      </c>
      <c r="R81">
        <v>160.43799999999999</v>
      </c>
      <c r="S81">
        <v>-1.0780000000000001</v>
      </c>
      <c r="T81">
        <v>0.59099999999999997</v>
      </c>
      <c r="U81">
        <v>0.68799999999999994</v>
      </c>
      <c r="V81" t="b">
        <v>1</v>
      </c>
      <c r="W81" t="s">
        <v>49</v>
      </c>
    </row>
    <row r="82" spans="2:23" x14ac:dyDescent="0.3">
      <c r="B82" s="2">
        <f t="shared" si="1"/>
        <v>1.197920300000078</v>
      </c>
      <c r="C82">
        <v>3222.8732178999999</v>
      </c>
      <c r="D82" t="s">
        <v>37</v>
      </c>
      <c r="E82" t="s">
        <v>37</v>
      </c>
      <c r="F82" t="s">
        <v>37</v>
      </c>
      <c r="G82" t="s">
        <v>37</v>
      </c>
      <c r="H82" t="s">
        <v>37</v>
      </c>
      <c r="I82" t="s">
        <v>37</v>
      </c>
      <c r="J82" t="s">
        <v>37</v>
      </c>
      <c r="K82">
        <v>0</v>
      </c>
      <c r="L82">
        <v>0</v>
      </c>
      <c r="M82">
        <v>0</v>
      </c>
      <c r="N82">
        <v>0</v>
      </c>
      <c r="O82">
        <v>-5.0565231323242102E-2</v>
      </c>
      <c r="P82">
        <v>-1.51272478103637E-2</v>
      </c>
      <c r="Q82">
        <v>0</v>
      </c>
      <c r="R82">
        <v>160.43799999999999</v>
      </c>
      <c r="S82">
        <v>-1.0780000000000001</v>
      </c>
      <c r="T82">
        <v>0.59099999999999997</v>
      </c>
      <c r="U82">
        <v>0.68799999999999994</v>
      </c>
      <c r="V82" t="b">
        <v>1</v>
      </c>
      <c r="W82" t="s">
        <v>49</v>
      </c>
    </row>
    <row r="83" spans="2:23" x14ac:dyDescent="0.3">
      <c r="B83" s="2">
        <f t="shared" si="1"/>
        <v>1.2132191000000603</v>
      </c>
      <c r="C83">
        <v>3222.8885166999999</v>
      </c>
      <c r="D83" t="s">
        <v>37</v>
      </c>
      <c r="E83" t="s">
        <v>37</v>
      </c>
      <c r="F83" t="s">
        <v>37</v>
      </c>
      <c r="G83" t="s">
        <v>37</v>
      </c>
      <c r="H83" t="s">
        <v>37</v>
      </c>
      <c r="I83" t="s">
        <v>37</v>
      </c>
      <c r="J83" t="s">
        <v>37</v>
      </c>
      <c r="K83">
        <v>0</v>
      </c>
      <c r="L83">
        <v>0</v>
      </c>
      <c r="M83">
        <v>0</v>
      </c>
      <c r="N83">
        <v>0</v>
      </c>
      <c r="O83">
        <v>-3.3754535675048797E-2</v>
      </c>
      <c r="P83">
        <v>-1.0417707443237299E-2</v>
      </c>
      <c r="Q83">
        <v>0</v>
      </c>
      <c r="R83">
        <v>160.52099999999999</v>
      </c>
      <c r="S83">
        <v>-0.93</v>
      </c>
      <c r="T83">
        <v>0.75900000000000001</v>
      </c>
      <c r="U83">
        <v>0.68400000000000005</v>
      </c>
      <c r="V83" t="b">
        <v>1</v>
      </c>
      <c r="W83" t="s">
        <v>49</v>
      </c>
    </row>
    <row r="84" spans="2:23" x14ac:dyDescent="0.3">
      <c r="B84" s="2">
        <f t="shared" si="1"/>
        <v>1.2292172000002211</v>
      </c>
      <c r="C84">
        <v>3222.9045148</v>
      </c>
      <c r="D84" t="s">
        <v>37</v>
      </c>
      <c r="E84" t="s">
        <v>37</v>
      </c>
      <c r="F84" t="s">
        <v>37</v>
      </c>
      <c r="G84" t="s">
        <v>37</v>
      </c>
      <c r="H84" t="s">
        <v>37</v>
      </c>
      <c r="I84" t="s">
        <v>37</v>
      </c>
      <c r="J84" t="s">
        <v>37</v>
      </c>
      <c r="K84">
        <v>0</v>
      </c>
      <c r="L84">
        <v>0</v>
      </c>
      <c r="M84">
        <v>0</v>
      </c>
      <c r="N84">
        <v>0</v>
      </c>
      <c r="O84">
        <v>-3.3754535675048797E-2</v>
      </c>
      <c r="P84">
        <v>-1.0417707443237299E-2</v>
      </c>
      <c r="Q84">
        <v>0</v>
      </c>
      <c r="R84">
        <v>160.52099999999999</v>
      </c>
      <c r="S84">
        <v>-0.93</v>
      </c>
      <c r="T84">
        <v>0.75900000000000001</v>
      </c>
      <c r="U84">
        <v>0.68400000000000005</v>
      </c>
      <c r="V84" t="b">
        <v>1</v>
      </c>
      <c r="W84" t="s">
        <v>49</v>
      </c>
    </row>
    <row r="85" spans="2:23" x14ac:dyDescent="0.3">
      <c r="B85" s="2">
        <f t="shared" si="1"/>
        <v>1.2446591000002627</v>
      </c>
      <c r="C85">
        <v>3222.9199567000001</v>
      </c>
      <c r="D85" t="s">
        <v>37</v>
      </c>
      <c r="E85" t="s">
        <v>37</v>
      </c>
      <c r="F85" t="s">
        <v>37</v>
      </c>
      <c r="G85" t="s">
        <v>37</v>
      </c>
      <c r="H85" t="s">
        <v>37</v>
      </c>
      <c r="I85" t="s">
        <v>37</v>
      </c>
      <c r="J85" t="s">
        <v>37</v>
      </c>
      <c r="K85">
        <v>0</v>
      </c>
      <c r="L85">
        <v>0</v>
      </c>
      <c r="M85">
        <v>0</v>
      </c>
      <c r="N85">
        <v>0</v>
      </c>
      <c r="O85">
        <v>-3.3754535675048797E-2</v>
      </c>
      <c r="P85">
        <v>-1.0417707443237299E-2</v>
      </c>
      <c r="Q85">
        <v>0</v>
      </c>
      <c r="R85">
        <v>160.52099999999999</v>
      </c>
      <c r="S85">
        <v>-0.93</v>
      </c>
      <c r="T85">
        <v>0.75900000000000001</v>
      </c>
      <c r="U85">
        <v>0.68400000000000005</v>
      </c>
      <c r="V85" t="b">
        <v>1</v>
      </c>
      <c r="W85" t="s">
        <v>49</v>
      </c>
    </row>
    <row r="86" spans="2:23" x14ac:dyDescent="0.3">
      <c r="B86" s="2">
        <f t="shared" si="1"/>
        <v>1.2601951999999983</v>
      </c>
      <c r="C86">
        <v>3222.9354927999998</v>
      </c>
      <c r="D86" t="s">
        <v>37</v>
      </c>
      <c r="E86" t="s">
        <v>37</v>
      </c>
      <c r="F86" t="s">
        <v>37</v>
      </c>
      <c r="G86" t="s">
        <v>37</v>
      </c>
      <c r="H86" t="s">
        <v>37</v>
      </c>
      <c r="I86" t="s">
        <v>37</v>
      </c>
      <c r="J86" t="s">
        <v>37</v>
      </c>
      <c r="K86">
        <v>0</v>
      </c>
      <c r="L86">
        <v>0</v>
      </c>
      <c r="M86">
        <v>0</v>
      </c>
      <c r="N86">
        <v>0</v>
      </c>
      <c r="O86">
        <v>-5.0919387817382797E-2</v>
      </c>
      <c r="P86">
        <v>-2.8961833953857399E-2</v>
      </c>
      <c r="Q86">
        <v>0</v>
      </c>
      <c r="R86">
        <v>160.48599999999999</v>
      </c>
      <c r="S86">
        <v>-0.69199999999999995</v>
      </c>
      <c r="T86">
        <v>0.72</v>
      </c>
      <c r="U86">
        <v>0.68</v>
      </c>
      <c r="V86" t="b">
        <v>1</v>
      </c>
      <c r="W86" t="s">
        <v>49</v>
      </c>
    </row>
    <row r="87" spans="2:23" x14ac:dyDescent="0.3">
      <c r="B87" s="2">
        <f t="shared" si="1"/>
        <v>1.2756392000001142</v>
      </c>
      <c r="C87">
        <v>3222.9509367999999</v>
      </c>
      <c r="D87" t="s">
        <v>37</v>
      </c>
      <c r="E87" t="s">
        <v>37</v>
      </c>
      <c r="F87" t="s">
        <v>37</v>
      </c>
      <c r="G87" t="s">
        <v>37</v>
      </c>
      <c r="H87" t="s">
        <v>37</v>
      </c>
      <c r="I87" t="s">
        <v>37</v>
      </c>
      <c r="J87" t="s">
        <v>37</v>
      </c>
      <c r="K87">
        <v>0</v>
      </c>
      <c r="L87">
        <v>0</v>
      </c>
      <c r="M87">
        <v>0</v>
      </c>
      <c r="N87">
        <v>0</v>
      </c>
      <c r="O87">
        <v>-5.0919387817382797E-2</v>
      </c>
      <c r="P87">
        <v>-2.8961833953857399E-2</v>
      </c>
      <c r="Q87">
        <v>0</v>
      </c>
      <c r="R87">
        <v>160.48599999999999</v>
      </c>
      <c r="S87">
        <v>-0.69199999999999995</v>
      </c>
      <c r="T87">
        <v>0.72</v>
      </c>
      <c r="U87">
        <v>0.68</v>
      </c>
      <c r="V87" t="b">
        <v>1</v>
      </c>
      <c r="W87" t="s">
        <v>49</v>
      </c>
    </row>
    <row r="88" spans="2:23" x14ac:dyDescent="0.3">
      <c r="B88" s="2">
        <f t="shared" si="1"/>
        <v>1.2915996000001542</v>
      </c>
      <c r="C88">
        <v>3222.9668971999999</v>
      </c>
      <c r="D88" t="s">
        <v>37</v>
      </c>
      <c r="E88" t="s">
        <v>37</v>
      </c>
      <c r="F88" t="s">
        <v>37</v>
      </c>
      <c r="G88" t="s">
        <v>37</v>
      </c>
      <c r="H88" t="s">
        <v>37</v>
      </c>
      <c r="I88" t="s">
        <v>37</v>
      </c>
      <c r="J88" t="s">
        <v>37</v>
      </c>
      <c r="K88">
        <v>0</v>
      </c>
      <c r="L88">
        <v>0</v>
      </c>
      <c r="M88">
        <v>0</v>
      </c>
      <c r="N88">
        <v>0</v>
      </c>
      <c r="O88">
        <v>-5.0919387817382797E-2</v>
      </c>
      <c r="P88">
        <v>-2.8961833953857399E-2</v>
      </c>
      <c r="Q88">
        <v>0</v>
      </c>
      <c r="R88">
        <v>160.48599999999999</v>
      </c>
      <c r="S88">
        <v>-0.69199999999999995</v>
      </c>
      <c r="T88">
        <v>0.72</v>
      </c>
      <c r="U88">
        <v>0.68</v>
      </c>
      <c r="V88" t="b">
        <v>1</v>
      </c>
      <c r="W88" t="s">
        <v>49</v>
      </c>
    </row>
    <row r="89" spans="2:23" x14ac:dyDescent="0.3">
      <c r="B89" s="2">
        <f t="shared" si="1"/>
        <v>1.3068004000001565</v>
      </c>
      <c r="C89">
        <v>3222.982098</v>
      </c>
      <c r="D89" t="s">
        <v>37</v>
      </c>
      <c r="E89" t="s">
        <v>37</v>
      </c>
      <c r="F89" t="s">
        <v>37</v>
      </c>
      <c r="G89" t="s">
        <v>37</v>
      </c>
      <c r="H89" t="s">
        <v>37</v>
      </c>
      <c r="I89" t="s">
        <v>37</v>
      </c>
      <c r="J89" t="s">
        <v>37</v>
      </c>
      <c r="K89">
        <v>0</v>
      </c>
      <c r="L89">
        <v>0</v>
      </c>
      <c r="M89">
        <v>0</v>
      </c>
      <c r="N89">
        <v>0</v>
      </c>
      <c r="O89">
        <v>-5.0919387817382797E-2</v>
      </c>
      <c r="P89">
        <v>-2.8961833953857399E-2</v>
      </c>
      <c r="Q89">
        <v>0</v>
      </c>
      <c r="R89">
        <v>160.48599999999999</v>
      </c>
      <c r="S89">
        <v>-0.69199999999999995</v>
      </c>
      <c r="T89">
        <v>0.72</v>
      </c>
      <c r="U89">
        <v>0.68</v>
      </c>
      <c r="V89" t="b">
        <v>1</v>
      </c>
      <c r="W89" t="s">
        <v>49</v>
      </c>
    </row>
    <row r="90" spans="2:23" x14ac:dyDescent="0.3">
      <c r="B90" s="2">
        <f t="shared" si="1"/>
        <v>1.3228144000004249</v>
      </c>
      <c r="C90">
        <v>3222.9981120000002</v>
      </c>
      <c r="D90" t="s">
        <v>37</v>
      </c>
      <c r="E90" t="s">
        <v>37</v>
      </c>
      <c r="F90" t="s">
        <v>37</v>
      </c>
      <c r="G90" t="s">
        <v>37</v>
      </c>
      <c r="H90" t="s">
        <v>37</v>
      </c>
      <c r="I90" t="s">
        <v>37</v>
      </c>
      <c r="J90" t="s">
        <v>37</v>
      </c>
      <c r="K90">
        <v>0</v>
      </c>
      <c r="L90">
        <v>0</v>
      </c>
      <c r="M90">
        <v>0</v>
      </c>
      <c r="N90">
        <v>0</v>
      </c>
      <c r="O90">
        <v>-5.34933242797851E-2</v>
      </c>
      <c r="P90">
        <v>-2.0834201812744101E-2</v>
      </c>
      <c r="Q90">
        <v>0</v>
      </c>
      <c r="R90">
        <v>160.40899999999999</v>
      </c>
      <c r="S90">
        <v>-0.76</v>
      </c>
      <c r="T90">
        <v>0.91100000000000003</v>
      </c>
      <c r="U90">
        <v>0.67600000000000005</v>
      </c>
      <c r="V90" t="b">
        <v>1</v>
      </c>
      <c r="W90" t="s">
        <v>49</v>
      </c>
    </row>
    <row r="91" spans="2:23" x14ac:dyDescent="0.3">
      <c r="B91" s="2">
        <f t="shared" si="1"/>
        <v>1.338255300000128</v>
      </c>
      <c r="C91">
        <v>3223.0135528999999</v>
      </c>
      <c r="D91" t="s">
        <v>37</v>
      </c>
      <c r="E91" t="s">
        <v>37</v>
      </c>
      <c r="F91" t="s">
        <v>37</v>
      </c>
      <c r="G91" t="s">
        <v>37</v>
      </c>
      <c r="H91" t="s">
        <v>37</v>
      </c>
      <c r="I91" t="s">
        <v>37</v>
      </c>
      <c r="J91" t="s">
        <v>37</v>
      </c>
      <c r="K91">
        <v>0</v>
      </c>
      <c r="L91">
        <v>0</v>
      </c>
      <c r="M91">
        <v>0</v>
      </c>
      <c r="N91">
        <v>0</v>
      </c>
      <c r="O91">
        <v>-5.34933242797851E-2</v>
      </c>
      <c r="P91">
        <v>-2.0834201812744101E-2</v>
      </c>
      <c r="Q91">
        <v>0</v>
      </c>
      <c r="R91">
        <v>160.40899999999999</v>
      </c>
      <c r="S91">
        <v>-0.76</v>
      </c>
      <c r="T91">
        <v>0.91100000000000003</v>
      </c>
      <c r="U91">
        <v>0.67600000000000005</v>
      </c>
      <c r="V91" t="b">
        <v>1</v>
      </c>
      <c r="W91" t="s">
        <v>49</v>
      </c>
    </row>
    <row r="92" spans="2:23" x14ac:dyDescent="0.3">
      <c r="B92" s="2">
        <f t="shared" si="1"/>
        <v>1.3536158000001706</v>
      </c>
      <c r="C92">
        <v>3223.0289134</v>
      </c>
      <c r="D92" t="s">
        <v>37</v>
      </c>
      <c r="E92" t="s">
        <v>37</v>
      </c>
      <c r="F92" t="s">
        <v>37</v>
      </c>
      <c r="G92" t="s">
        <v>37</v>
      </c>
      <c r="H92" t="s">
        <v>37</v>
      </c>
      <c r="I92" t="s">
        <v>37</v>
      </c>
      <c r="J92" t="s">
        <v>37</v>
      </c>
      <c r="K92">
        <v>0</v>
      </c>
      <c r="L92">
        <v>0</v>
      </c>
      <c r="M92">
        <v>0</v>
      </c>
      <c r="N92">
        <v>0</v>
      </c>
      <c r="O92">
        <v>-5.34933242797851E-2</v>
      </c>
      <c r="P92">
        <v>-2.0834201812744101E-2</v>
      </c>
      <c r="Q92">
        <v>0</v>
      </c>
      <c r="R92">
        <v>160.40899999999999</v>
      </c>
      <c r="S92">
        <v>-0.76</v>
      </c>
      <c r="T92">
        <v>0.91100000000000003</v>
      </c>
      <c r="U92">
        <v>0.67600000000000005</v>
      </c>
      <c r="V92" t="b">
        <v>1</v>
      </c>
      <c r="W92" t="s">
        <v>49</v>
      </c>
    </row>
    <row r="93" spans="2:23" x14ac:dyDescent="0.3">
      <c r="B93" s="2">
        <f t="shared" si="1"/>
        <v>1.3692170000003898</v>
      </c>
      <c r="C93">
        <v>3223.0445146000002</v>
      </c>
      <c r="D93" t="s">
        <v>37</v>
      </c>
      <c r="E93" t="s">
        <v>37</v>
      </c>
      <c r="F93" t="s">
        <v>37</v>
      </c>
      <c r="G93" t="s">
        <v>37</v>
      </c>
      <c r="H93" t="s">
        <v>37</v>
      </c>
      <c r="I93" t="s">
        <v>37</v>
      </c>
      <c r="J93" t="s">
        <v>37</v>
      </c>
      <c r="K93">
        <v>0</v>
      </c>
      <c r="L93">
        <v>0</v>
      </c>
      <c r="M93">
        <v>0</v>
      </c>
      <c r="N93">
        <v>0</v>
      </c>
      <c r="O93">
        <v>-5.34933242797851E-2</v>
      </c>
      <c r="P93">
        <v>-2.0834201812744101E-2</v>
      </c>
      <c r="Q93">
        <v>0</v>
      </c>
      <c r="R93">
        <v>160.40899999999999</v>
      </c>
      <c r="S93">
        <v>-0.76</v>
      </c>
      <c r="T93">
        <v>0.91100000000000003</v>
      </c>
      <c r="U93">
        <v>0.67600000000000005</v>
      </c>
      <c r="V93" t="b">
        <v>1</v>
      </c>
      <c r="W93" t="s">
        <v>49</v>
      </c>
    </row>
    <row r="94" spans="2:23" x14ac:dyDescent="0.3">
      <c r="B94" s="2">
        <f t="shared" si="1"/>
        <v>1.3851982000001044</v>
      </c>
      <c r="C94">
        <v>3223.0604957999999</v>
      </c>
      <c r="D94" t="s">
        <v>37</v>
      </c>
      <c r="E94" t="s">
        <v>37</v>
      </c>
      <c r="F94" t="s">
        <v>37</v>
      </c>
      <c r="G94" t="s">
        <v>37</v>
      </c>
      <c r="H94" t="s">
        <v>37</v>
      </c>
      <c r="I94" t="s">
        <v>37</v>
      </c>
      <c r="J94" t="s">
        <v>37</v>
      </c>
      <c r="K94">
        <v>0</v>
      </c>
      <c r="L94">
        <v>0</v>
      </c>
      <c r="M94">
        <v>0</v>
      </c>
      <c r="N94">
        <v>0</v>
      </c>
      <c r="O94">
        <v>-5.34933242797851E-2</v>
      </c>
      <c r="P94">
        <v>-2.0834201812744101E-2</v>
      </c>
      <c r="Q94">
        <v>0</v>
      </c>
      <c r="R94">
        <v>160.40899999999999</v>
      </c>
      <c r="S94">
        <v>-0.76</v>
      </c>
      <c r="T94">
        <v>0.91100000000000003</v>
      </c>
      <c r="U94">
        <v>0.67600000000000005</v>
      </c>
      <c r="V94" t="b">
        <v>1</v>
      </c>
      <c r="W94" t="s">
        <v>49</v>
      </c>
    </row>
    <row r="95" spans="2:23" x14ac:dyDescent="0.3">
      <c r="B95" s="2">
        <f t="shared" si="1"/>
        <v>1.4013238000002275</v>
      </c>
      <c r="C95">
        <v>3223.0766214</v>
      </c>
      <c r="D95" t="s">
        <v>37</v>
      </c>
      <c r="E95" t="s">
        <v>37</v>
      </c>
      <c r="F95" t="s">
        <v>37</v>
      </c>
      <c r="G95" t="s">
        <v>37</v>
      </c>
      <c r="H95" t="s">
        <v>37</v>
      </c>
      <c r="I95" t="s">
        <v>37</v>
      </c>
      <c r="J95" t="s">
        <v>37</v>
      </c>
      <c r="K95">
        <v>0</v>
      </c>
      <c r="L95">
        <v>0</v>
      </c>
      <c r="M95">
        <v>0</v>
      </c>
      <c r="N95">
        <v>0</v>
      </c>
      <c r="O95">
        <v>-4.60030059814453E-2</v>
      </c>
      <c r="P95">
        <v>-4.6773738861083901E-3</v>
      </c>
      <c r="Q95">
        <v>0</v>
      </c>
      <c r="R95">
        <v>160.375</v>
      </c>
      <c r="S95">
        <v>-0.94899999999999995</v>
      </c>
      <c r="T95">
        <v>1.0569999999999999</v>
      </c>
      <c r="U95">
        <v>0.67200000000000004</v>
      </c>
      <c r="V95" t="b">
        <v>1</v>
      </c>
      <c r="W95" t="s">
        <v>49</v>
      </c>
    </row>
    <row r="96" spans="2:23" x14ac:dyDescent="0.3">
      <c r="B96" s="2">
        <f t="shared" si="1"/>
        <v>1.4175716000004286</v>
      </c>
      <c r="C96">
        <v>3223.0928692000002</v>
      </c>
      <c r="D96" t="s">
        <v>37</v>
      </c>
      <c r="E96" t="s">
        <v>37</v>
      </c>
      <c r="F96" t="s">
        <v>37</v>
      </c>
      <c r="G96" t="s">
        <v>37</v>
      </c>
      <c r="H96" t="s">
        <v>37</v>
      </c>
      <c r="I96" t="s">
        <v>37</v>
      </c>
      <c r="J96" t="s">
        <v>37</v>
      </c>
      <c r="K96">
        <v>0</v>
      </c>
      <c r="L96">
        <v>0</v>
      </c>
      <c r="M96">
        <v>0</v>
      </c>
      <c r="N96">
        <v>0</v>
      </c>
      <c r="O96">
        <v>-4.60030059814453E-2</v>
      </c>
      <c r="P96">
        <v>-4.6773738861083901E-3</v>
      </c>
      <c r="Q96">
        <v>0</v>
      </c>
      <c r="R96">
        <v>160.375</v>
      </c>
      <c r="S96">
        <v>-0.94899999999999995</v>
      </c>
      <c r="T96">
        <v>1.0569999999999999</v>
      </c>
      <c r="U96">
        <v>0.67200000000000004</v>
      </c>
      <c r="V96" t="b">
        <v>1</v>
      </c>
      <c r="W96" t="s">
        <v>49</v>
      </c>
    </row>
    <row r="97" spans="2:23" x14ac:dyDescent="0.3">
      <c r="B97" s="2">
        <f t="shared" si="1"/>
        <v>1.433107000000291</v>
      </c>
      <c r="C97">
        <v>3223.1084046000001</v>
      </c>
      <c r="D97" t="s">
        <v>37</v>
      </c>
      <c r="E97" t="s">
        <v>37</v>
      </c>
      <c r="F97" t="s">
        <v>37</v>
      </c>
      <c r="G97" t="s">
        <v>37</v>
      </c>
      <c r="H97" t="s">
        <v>37</v>
      </c>
      <c r="I97" t="s">
        <v>37</v>
      </c>
      <c r="J97" t="s">
        <v>37</v>
      </c>
      <c r="K97">
        <v>0</v>
      </c>
      <c r="L97">
        <v>0</v>
      </c>
      <c r="M97">
        <v>0</v>
      </c>
      <c r="N97">
        <v>0</v>
      </c>
      <c r="O97">
        <v>-4.60030059814453E-2</v>
      </c>
      <c r="P97">
        <v>-4.6773738861083901E-3</v>
      </c>
      <c r="Q97">
        <v>0</v>
      </c>
      <c r="R97">
        <v>160.375</v>
      </c>
      <c r="S97">
        <v>-0.94899999999999995</v>
      </c>
      <c r="T97">
        <v>1.0569999999999999</v>
      </c>
      <c r="U97">
        <v>0.67200000000000004</v>
      </c>
      <c r="V97" t="b">
        <v>1</v>
      </c>
      <c r="W97" t="s">
        <v>49</v>
      </c>
    </row>
    <row r="98" spans="2:23" x14ac:dyDescent="0.3">
      <c r="B98" s="2">
        <f t="shared" si="1"/>
        <v>1.4486382000000049</v>
      </c>
      <c r="C98">
        <v>3223.1239357999998</v>
      </c>
      <c r="D98" t="s">
        <v>37</v>
      </c>
      <c r="E98" t="s">
        <v>37</v>
      </c>
      <c r="F98" t="s">
        <v>37</v>
      </c>
      <c r="G98" t="s">
        <v>37</v>
      </c>
      <c r="H98" t="s">
        <v>37</v>
      </c>
      <c r="I98" t="s">
        <v>37</v>
      </c>
      <c r="J98" t="s">
        <v>37</v>
      </c>
      <c r="K98">
        <v>0</v>
      </c>
      <c r="L98">
        <v>0</v>
      </c>
      <c r="M98">
        <v>0</v>
      </c>
      <c r="N98">
        <v>0</v>
      </c>
      <c r="O98">
        <v>-4.60030059814453E-2</v>
      </c>
      <c r="P98">
        <v>-4.6773738861083901E-3</v>
      </c>
      <c r="Q98">
        <v>0</v>
      </c>
      <c r="R98">
        <v>160.375</v>
      </c>
      <c r="S98">
        <v>-0.94899999999999995</v>
      </c>
      <c r="T98">
        <v>1.0569999999999999</v>
      </c>
      <c r="U98">
        <v>0.67200000000000004</v>
      </c>
      <c r="V98" t="b">
        <v>1</v>
      </c>
      <c r="W98" t="s">
        <v>49</v>
      </c>
    </row>
    <row r="99" spans="2:23" x14ac:dyDescent="0.3">
      <c r="B99" s="2">
        <f t="shared" si="1"/>
        <v>1.464110900000378</v>
      </c>
      <c r="C99">
        <v>3223.1394085000002</v>
      </c>
      <c r="D99" t="s">
        <v>37</v>
      </c>
      <c r="E99" t="s">
        <v>37</v>
      </c>
      <c r="F99" t="s">
        <v>37</v>
      </c>
      <c r="G99" t="s">
        <v>37</v>
      </c>
      <c r="H99" t="s">
        <v>37</v>
      </c>
      <c r="I99" t="s">
        <v>37</v>
      </c>
      <c r="J99" t="s">
        <v>37</v>
      </c>
      <c r="K99">
        <v>0</v>
      </c>
      <c r="L99">
        <v>0</v>
      </c>
      <c r="M99">
        <v>0</v>
      </c>
      <c r="N99">
        <v>0</v>
      </c>
      <c r="O99">
        <v>-4.0395118713378898E-2</v>
      </c>
      <c r="P99">
        <v>4.8211236000060996E-3</v>
      </c>
      <c r="Q99">
        <v>0</v>
      </c>
      <c r="R99">
        <v>160.34200000000001</v>
      </c>
      <c r="S99">
        <v>-1.1819999999999999</v>
      </c>
      <c r="T99">
        <v>1.012</v>
      </c>
      <c r="U99">
        <v>0.66700000000000004</v>
      </c>
      <c r="V99" t="b">
        <v>1</v>
      </c>
      <c r="W99" t="s">
        <v>49</v>
      </c>
    </row>
    <row r="100" spans="2:23" x14ac:dyDescent="0.3">
      <c r="B100" s="2">
        <f t="shared" si="1"/>
        <v>1.4797096000002057</v>
      </c>
      <c r="C100">
        <v>3223.1550072</v>
      </c>
      <c r="D100" t="s">
        <v>37</v>
      </c>
      <c r="E100" t="s">
        <v>37</v>
      </c>
      <c r="F100" t="s">
        <v>37</v>
      </c>
      <c r="G100" t="s">
        <v>37</v>
      </c>
      <c r="H100" t="s">
        <v>37</v>
      </c>
      <c r="I100" t="s">
        <v>37</v>
      </c>
      <c r="J100" t="s">
        <v>37</v>
      </c>
      <c r="K100">
        <v>0</v>
      </c>
      <c r="L100">
        <v>0</v>
      </c>
      <c r="M100">
        <v>0</v>
      </c>
      <c r="N100">
        <v>0</v>
      </c>
      <c r="O100">
        <v>-4.0395118713378898E-2</v>
      </c>
      <c r="P100">
        <v>4.8211236000060996E-3</v>
      </c>
      <c r="Q100">
        <v>0</v>
      </c>
      <c r="R100">
        <v>160.34200000000001</v>
      </c>
      <c r="S100">
        <v>-1.1819999999999999</v>
      </c>
      <c r="T100">
        <v>1.012</v>
      </c>
      <c r="U100">
        <v>0.66700000000000004</v>
      </c>
      <c r="V100" t="b">
        <v>1</v>
      </c>
      <c r="W100" t="s">
        <v>49</v>
      </c>
    </row>
    <row r="101" spans="2:23" x14ac:dyDescent="0.3">
      <c r="B101" s="2">
        <f t="shared" si="1"/>
        <v>1.4950284000001375</v>
      </c>
      <c r="C101">
        <v>3223.1703259999999</v>
      </c>
      <c r="D101" t="s">
        <v>37</v>
      </c>
      <c r="E101" t="s">
        <v>37</v>
      </c>
      <c r="F101" t="s">
        <v>37</v>
      </c>
      <c r="G101" t="s">
        <v>37</v>
      </c>
      <c r="H101" t="s">
        <v>37</v>
      </c>
      <c r="I101" t="s">
        <v>37</v>
      </c>
      <c r="J101" t="s">
        <v>37</v>
      </c>
      <c r="K101">
        <v>0</v>
      </c>
      <c r="L101">
        <v>0</v>
      </c>
      <c r="M101">
        <v>0</v>
      </c>
      <c r="N101">
        <v>0</v>
      </c>
      <c r="O101">
        <v>-4.0395118713378898E-2</v>
      </c>
      <c r="P101">
        <v>4.8211236000060996E-3</v>
      </c>
      <c r="Q101">
        <v>0</v>
      </c>
      <c r="R101">
        <v>160.34200000000001</v>
      </c>
      <c r="S101">
        <v>-1.1819999999999999</v>
      </c>
      <c r="T101">
        <v>1.012</v>
      </c>
      <c r="U101">
        <v>0.66700000000000004</v>
      </c>
      <c r="V101" t="b">
        <v>1</v>
      </c>
      <c r="W101" t="s">
        <v>49</v>
      </c>
    </row>
    <row r="102" spans="2:23" x14ac:dyDescent="0.3">
      <c r="B102" s="2">
        <f t="shared" si="1"/>
        <v>1.511221100000057</v>
      </c>
      <c r="C102">
        <v>3223.1865186999999</v>
      </c>
      <c r="D102" t="s">
        <v>37</v>
      </c>
      <c r="E102" t="s">
        <v>37</v>
      </c>
      <c r="F102" t="s">
        <v>37</v>
      </c>
      <c r="G102" t="s">
        <v>37</v>
      </c>
      <c r="H102" t="s">
        <v>37</v>
      </c>
      <c r="I102" t="s">
        <v>37</v>
      </c>
      <c r="J102" t="s">
        <v>37</v>
      </c>
      <c r="K102">
        <v>0</v>
      </c>
      <c r="L102">
        <v>0</v>
      </c>
      <c r="M102">
        <v>0</v>
      </c>
      <c r="N102">
        <v>0</v>
      </c>
      <c r="O102">
        <v>-4.0395118713378898E-2</v>
      </c>
      <c r="P102">
        <v>4.8211236000060996E-3</v>
      </c>
      <c r="Q102">
        <v>0</v>
      </c>
      <c r="R102">
        <v>160.34200000000001</v>
      </c>
      <c r="S102">
        <v>-1.1819999999999999</v>
      </c>
      <c r="T102">
        <v>1.012</v>
      </c>
      <c r="U102">
        <v>0.66700000000000004</v>
      </c>
      <c r="V102" t="b">
        <v>1</v>
      </c>
      <c r="W102" t="s">
        <v>49</v>
      </c>
    </row>
    <row r="103" spans="2:23" x14ac:dyDescent="0.3">
      <c r="B103" s="2">
        <f t="shared" si="1"/>
        <v>1.5267674000001534</v>
      </c>
      <c r="C103">
        <v>3223.2020649999999</v>
      </c>
      <c r="D103" t="s">
        <v>37</v>
      </c>
      <c r="E103" t="s">
        <v>37</v>
      </c>
      <c r="F103" t="s">
        <v>37</v>
      </c>
      <c r="G103" t="s">
        <v>37</v>
      </c>
      <c r="H103" t="s">
        <v>37</v>
      </c>
      <c r="I103" t="s">
        <v>37</v>
      </c>
      <c r="J103" t="s">
        <v>37</v>
      </c>
      <c r="K103">
        <v>0</v>
      </c>
      <c r="L103">
        <v>0</v>
      </c>
      <c r="M103">
        <v>0</v>
      </c>
      <c r="N103">
        <v>0</v>
      </c>
      <c r="O103">
        <v>-6.9509086608886697E-3</v>
      </c>
      <c r="P103">
        <v>6.0779118537902799E-3</v>
      </c>
      <c r="Q103">
        <v>0</v>
      </c>
      <c r="R103">
        <v>160.405</v>
      </c>
      <c r="S103">
        <v>-1.347</v>
      </c>
      <c r="T103">
        <v>0.65300000000000002</v>
      </c>
      <c r="U103">
        <v>0.66200000000000003</v>
      </c>
      <c r="V103" t="b">
        <v>1</v>
      </c>
      <c r="W103" t="s">
        <v>49</v>
      </c>
    </row>
    <row r="104" spans="2:23" x14ac:dyDescent="0.3">
      <c r="B104" s="2">
        <f t="shared" si="1"/>
        <v>1.542782200000147</v>
      </c>
      <c r="C104">
        <v>3223.2180797999999</v>
      </c>
      <c r="D104" t="s">
        <v>37</v>
      </c>
      <c r="E104" t="s">
        <v>37</v>
      </c>
      <c r="F104" t="s">
        <v>37</v>
      </c>
      <c r="G104" t="s">
        <v>37</v>
      </c>
      <c r="H104" t="s">
        <v>37</v>
      </c>
      <c r="I104" t="s">
        <v>37</v>
      </c>
      <c r="J104" t="s">
        <v>37</v>
      </c>
      <c r="K104">
        <v>0</v>
      </c>
      <c r="L104">
        <v>0</v>
      </c>
      <c r="M104">
        <v>0</v>
      </c>
      <c r="N104">
        <v>0</v>
      </c>
      <c r="O104">
        <v>-6.9509086608886697E-3</v>
      </c>
      <c r="P104">
        <v>6.0779118537902799E-3</v>
      </c>
      <c r="Q104">
        <v>0</v>
      </c>
      <c r="R104">
        <v>160.405</v>
      </c>
      <c r="S104">
        <v>-1.347</v>
      </c>
      <c r="T104">
        <v>0.65300000000000002</v>
      </c>
      <c r="U104">
        <v>0.66200000000000003</v>
      </c>
      <c r="V104" t="b">
        <v>1</v>
      </c>
      <c r="W104" t="s">
        <v>49</v>
      </c>
    </row>
    <row r="105" spans="2:23" x14ac:dyDescent="0.3">
      <c r="B105" s="2">
        <f t="shared" si="1"/>
        <v>1.5579615000001468</v>
      </c>
      <c r="C105">
        <v>3223.2332590999999</v>
      </c>
      <c r="D105" t="s">
        <v>37</v>
      </c>
      <c r="E105" t="s">
        <v>37</v>
      </c>
      <c r="F105" t="s">
        <v>37</v>
      </c>
      <c r="G105" t="s">
        <v>37</v>
      </c>
      <c r="H105" t="s">
        <v>37</v>
      </c>
      <c r="I105" t="s">
        <v>37</v>
      </c>
      <c r="J105" t="s">
        <v>37</v>
      </c>
      <c r="K105">
        <v>0</v>
      </c>
      <c r="L105">
        <v>0</v>
      </c>
      <c r="M105">
        <v>0</v>
      </c>
      <c r="N105">
        <v>0</v>
      </c>
      <c r="O105">
        <v>-6.9509086608886697E-3</v>
      </c>
      <c r="P105">
        <v>6.0779118537902799E-3</v>
      </c>
      <c r="Q105">
        <v>0</v>
      </c>
      <c r="R105">
        <v>160.405</v>
      </c>
      <c r="S105">
        <v>-1.347</v>
      </c>
      <c r="T105">
        <v>0.65300000000000002</v>
      </c>
      <c r="U105">
        <v>0.66200000000000003</v>
      </c>
      <c r="V105" t="b">
        <v>1</v>
      </c>
      <c r="W105" t="s">
        <v>49</v>
      </c>
    </row>
    <row r="106" spans="2:23" x14ac:dyDescent="0.3">
      <c r="B106" s="2">
        <f t="shared" si="1"/>
        <v>1.573585400000411</v>
      </c>
      <c r="C106">
        <v>3223.2488830000002</v>
      </c>
      <c r="D106" t="s">
        <v>37</v>
      </c>
      <c r="E106" t="s">
        <v>37</v>
      </c>
      <c r="F106" t="s">
        <v>37</v>
      </c>
      <c r="G106" t="s">
        <v>37</v>
      </c>
      <c r="H106" t="s">
        <v>37</v>
      </c>
      <c r="I106" t="s">
        <v>37</v>
      </c>
      <c r="J106" t="s">
        <v>37</v>
      </c>
      <c r="K106">
        <v>0</v>
      </c>
      <c r="L106">
        <v>0</v>
      </c>
      <c r="M106">
        <v>0</v>
      </c>
      <c r="N106">
        <v>0</v>
      </c>
      <c r="O106">
        <v>-6.9509086608886697E-3</v>
      </c>
      <c r="P106">
        <v>6.0779118537902799E-3</v>
      </c>
      <c r="Q106">
        <v>0</v>
      </c>
      <c r="R106">
        <v>160.405</v>
      </c>
      <c r="S106">
        <v>-1.347</v>
      </c>
      <c r="T106">
        <v>0.65300000000000002</v>
      </c>
      <c r="U106">
        <v>0.66200000000000003</v>
      </c>
      <c r="V106" t="b">
        <v>1</v>
      </c>
      <c r="W106" t="s">
        <v>49</v>
      </c>
    </row>
    <row r="107" spans="2:23" x14ac:dyDescent="0.3">
      <c r="B107" s="2">
        <f t="shared" si="1"/>
        <v>1.589252000000215</v>
      </c>
      <c r="C107">
        <v>3223.2645496</v>
      </c>
      <c r="D107" t="s">
        <v>37</v>
      </c>
      <c r="E107" t="s">
        <v>37</v>
      </c>
      <c r="F107" t="s">
        <v>37</v>
      </c>
      <c r="G107" t="s">
        <v>37</v>
      </c>
      <c r="H107" t="s">
        <v>37</v>
      </c>
      <c r="I107" t="s">
        <v>37</v>
      </c>
      <c r="J107" t="s">
        <v>37</v>
      </c>
      <c r="K107">
        <v>0</v>
      </c>
      <c r="L107">
        <v>0</v>
      </c>
      <c r="M107">
        <v>0</v>
      </c>
      <c r="N107">
        <v>0</v>
      </c>
      <c r="O107">
        <v>2.3579235076904199E-2</v>
      </c>
      <c r="P107">
        <v>2.0811573028564401E-2</v>
      </c>
      <c r="Q107">
        <v>0</v>
      </c>
      <c r="R107">
        <v>160.52099999999999</v>
      </c>
      <c r="S107">
        <v>-1.347</v>
      </c>
      <c r="T107">
        <v>0.32500000000000001</v>
      </c>
      <c r="U107">
        <v>0.65700000000000003</v>
      </c>
      <c r="V107" t="b">
        <v>1</v>
      </c>
      <c r="W107" t="s">
        <v>49</v>
      </c>
    </row>
    <row r="108" spans="2:23" x14ac:dyDescent="0.3">
      <c r="B108" s="2">
        <f t="shared" si="1"/>
        <v>1.603999400000248</v>
      </c>
      <c r="C108">
        <v>3223.279297</v>
      </c>
      <c r="D108" t="s">
        <v>37</v>
      </c>
      <c r="E108" t="s">
        <v>37</v>
      </c>
      <c r="F108" t="s">
        <v>37</v>
      </c>
      <c r="G108" t="s">
        <v>37</v>
      </c>
      <c r="H108" t="s">
        <v>37</v>
      </c>
      <c r="I108" t="s">
        <v>37</v>
      </c>
      <c r="J108" t="s">
        <v>37</v>
      </c>
      <c r="K108">
        <v>0</v>
      </c>
      <c r="L108">
        <v>0</v>
      </c>
      <c r="M108">
        <v>0</v>
      </c>
      <c r="N108">
        <v>0</v>
      </c>
      <c r="O108">
        <v>2.3579235076904199E-2</v>
      </c>
      <c r="P108">
        <v>2.0811573028564401E-2</v>
      </c>
      <c r="Q108">
        <v>0</v>
      </c>
      <c r="R108">
        <v>160.52099999999999</v>
      </c>
      <c r="S108">
        <v>-1.347</v>
      </c>
      <c r="T108">
        <v>0.32500000000000001</v>
      </c>
      <c r="U108">
        <v>0.65700000000000003</v>
      </c>
      <c r="V108" t="b">
        <v>1</v>
      </c>
      <c r="W108" t="s">
        <v>49</v>
      </c>
    </row>
    <row r="109" spans="2:23" x14ac:dyDescent="0.3">
      <c r="B109" s="2">
        <f t="shared" si="1"/>
        <v>1.6198876000003111</v>
      </c>
      <c r="C109">
        <v>3223.2951852000001</v>
      </c>
      <c r="D109" t="s">
        <v>37</v>
      </c>
      <c r="E109" t="s">
        <v>37</v>
      </c>
      <c r="F109" t="s">
        <v>37</v>
      </c>
      <c r="G109" t="s">
        <v>37</v>
      </c>
      <c r="H109" t="s">
        <v>37</v>
      </c>
      <c r="I109" t="s">
        <v>37</v>
      </c>
      <c r="J109" t="s">
        <v>37</v>
      </c>
      <c r="K109">
        <v>0</v>
      </c>
      <c r="L109">
        <v>0</v>
      </c>
      <c r="M109">
        <v>0</v>
      </c>
      <c r="N109">
        <v>0</v>
      </c>
      <c r="O109">
        <v>2.3579235076904199E-2</v>
      </c>
      <c r="P109">
        <v>2.0811573028564401E-2</v>
      </c>
      <c r="Q109">
        <v>0</v>
      </c>
      <c r="R109">
        <v>160.52099999999999</v>
      </c>
      <c r="S109">
        <v>-1.347</v>
      </c>
      <c r="T109">
        <v>0.32500000000000001</v>
      </c>
      <c r="U109">
        <v>0.65700000000000003</v>
      </c>
      <c r="V109" t="b">
        <v>1</v>
      </c>
      <c r="W109" t="s">
        <v>49</v>
      </c>
    </row>
    <row r="110" spans="2:23" x14ac:dyDescent="0.3">
      <c r="B110" s="2">
        <f t="shared" si="1"/>
        <v>1.6361267000002044</v>
      </c>
      <c r="C110">
        <v>3223.3114243</v>
      </c>
      <c r="D110" t="s">
        <v>37</v>
      </c>
      <c r="E110" t="s">
        <v>37</v>
      </c>
      <c r="F110" t="s">
        <v>37</v>
      </c>
      <c r="G110" t="s">
        <v>37</v>
      </c>
      <c r="H110" t="s">
        <v>37</v>
      </c>
      <c r="I110" t="s">
        <v>37</v>
      </c>
      <c r="J110" t="s">
        <v>37</v>
      </c>
      <c r="K110">
        <v>0</v>
      </c>
      <c r="L110">
        <v>0</v>
      </c>
      <c r="M110">
        <v>0</v>
      </c>
      <c r="N110">
        <v>0</v>
      </c>
      <c r="O110">
        <v>2.3579235076904199E-2</v>
      </c>
      <c r="P110">
        <v>2.0811573028564401E-2</v>
      </c>
      <c r="Q110">
        <v>0</v>
      </c>
      <c r="R110">
        <v>160.52099999999999</v>
      </c>
      <c r="S110">
        <v>-1.347</v>
      </c>
      <c r="T110">
        <v>0.32500000000000001</v>
      </c>
      <c r="U110">
        <v>0.65700000000000003</v>
      </c>
      <c r="V110" t="b">
        <v>1</v>
      </c>
      <c r="W110" t="s">
        <v>49</v>
      </c>
    </row>
    <row r="111" spans="2:23" x14ac:dyDescent="0.3">
      <c r="B111" s="2">
        <f t="shared" si="1"/>
        <v>1.6512564000004204</v>
      </c>
      <c r="C111">
        <v>3223.3265540000002</v>
      </c>
      <c r="D111" t="s">
        <v>37</v>
      </c>
      <c r="E111" t="s">
        <v>37</v>
      </c>
      <c r="F111" t="s">
        <v>37</v>
      </c>
      <c r="G111" t="s">
        <v>37</v>
      </c>
      <c r="H111" t="s">
        <v>37</v>
      </c>
      <c r="I111" t="s">
        <v>37</v>
      </c>
      <c r="J111" t="s">
        <v>37</v>
      </c>
      <c r="K111">
        <v>0</v>
      </c>
      <c r="L111">
        <v>0</v>
      </c>
      <c r="M111">
        <v>0</v>
      </c>
      <c r="N111">
        <v>0</v>
      </c>
      <c r="O111">
        <v>2.3579235076904199E-2</v>
      </c>
      <c r="P111">
        <v>2.0811573028564401E-2</v>
      </c>
      <c r="Q111">
        <v>0</v>
      </c>
      <c r="R111">
        <v>160.52099999999999</v>
      </c>
      <c r="S111">
        <v>-1.347</v>
      </c>
      <c r="T111">
        <v>0.32500000000000001</v>
      </c>
      <c r="U111">
        <v>0.65700000000000003</v>
      </c>
      <c r="V111" t="b">
        <v>1</v>
      </c>
      <c r="W111" t="s">
        <v>49</v>
      </c>
    </row>
    <row r="112" spans="2:23" x14ac:dyDescent="0.3">
      <c r="B112" s="2">
        <f t="shared" si="1"/>
        <v>1.6663169000003109</v>
      </c>
      <c r="C112">
        <v>3223.3416145000001</v>
      </c>
      <c r="D112" t="s">
        <v>37</v>
      </c>
      <c r="E112" t="s">
        <v>37</v>
      </c>
      <c r="F112" t="s">
        <v>37</v>
      </c>
      <c r="G112" t="s">
        <v>37</v>
      </c>
      <c r="H112" t="s">
        <v>37</v>
      </c>
      <c r="I112" t="s">
        <v>37</v>
      </c>
      <c r="J112" t="s">
        <v>37</v>
      </c>
      <c r="K112">
        <v>0</v>
      </c>
      <c r="L112">
        <v>0</v>
      </c>
      <c r="M112">
        <v>0</v>
      </c>
      <c r="N112">
        <v>0</v>
      </c>
      <c r="O112">
        <v>5.8673553466796799E-2</v>
      </c>
      <c r="P112">
        <v>1.9395898818969699E-2</v>
      </c>
      <c r="Q112">
        <v>0</v>
      </c>
      <c r="R112">
        <v>160.518</v>
      </c>
      <c r="S112">
        <v>-1.0880000000000001</v>
      </c>
      <c r="T112">
        <v>-5.8000000000000003E-2</v>
      </c>
      <c r="U112">
        <v>0.65200000000000002</v>
      </c>
      <c r="V112" t="b">
        <v>1</v>
      </c>
      <c r="W112" t="s">
        <v>49</v>
      </c>
    </row>
    <row r="113" spans="2:23" x14ac:dyDescent="0.3">
      <c r="B113" s="2">
        <f t="shared" si="1"/>
        <v>1.6817897000000812</v>
      </c>
      <c r="C113">
        <v>3223.3570872999999</v>
      </c>
      <c r="D113" t="s">
        <v>37</v>
      </c>
      <c r="E113" t="s">
        <v>37</v>
      </c>
      <c r="F113" t="s">
        <v>37</v>
      </c>
      <c r="G113" t="s">
        <v>37</v>
      </c>
      <c r="H113" t="s">
        <v>37</v>
      </c>
      <c r="I113" t="s">
        <v>37</v>
      </c>
      <c r="J113" t="s">
        <v>37</v>
      </c>
      <c r="K113">
        <v>0</v>
      </c>
      <c r="L113">
        <v>0</v>
      </c>
      <c r="M113">
        <v>0</v>
      </c>
      <c r="N113">
        <v>0</v>
      </c>
      <c r="O113">
        <v>5.8673553466796799E-2</v>
      </c>
      <c r="P113">
        <v>1.9395898818969699E-2</v>
      </c>
      <c r="Q113">
        <v>0</v>
      </c>
      <c r="R113">
        <v>160.518</v>
      </c>
      <c r="S113">
        <v>-1.0880000000000001</v>
      </c>
      <c r="T113">
        <v>-5.8000000000000003E-2</v>
      </c>
      <c r="U113">
        <v>0.65200000000000002</v>
      </c>
      <c r="V113" t="b">
        <v>1</v>
      </c>
      <c r="W113" t="s">
        <v>49</v>
      </c>
    </row>
    <row r="114" spans="2:23" x14ac:dyDescent="0.3">
      <c r="B114" s="2">
        <f t="shared" si="1"/>
        <v>1.6973350000002938</v>
      </c>
      <c r="C114">
        <v>3223.3726326000001</v>
      </c>
      <c r="D114" t="s">
        <v>37</v>
      </c>
      <c r="E114" t="s">
        <v>37</v>
      </c>
      <c r="F114" t="s">
        <v>37</v>
      </c>
      <c r="G114" t="s">
        <v>37</v>
      </c>
      <c r="H114" t="s">
        <v>37</v>
      </c>
      <c r="I114" t="s">
        <v>37</v>
      </c>
      <c r="J114" t="s">
        <v>37</v>
      </c>
      <c r="K114">
        <v>0</v>
      </c>
      <c r="L114">
        <v>0</v>
      </c>
      <c r="M114">
        <v>0</v>
      </c>
      <c r="N114">
        <v>0</v>
      </c>
      <c r="O114">
        <v>5.8673553466796799E-2</v>
      </c>
      <c r="P114">
        <v>1.9395898818969699E-2</v>
      </c>
      <c r="Q114">
        <v>0</v>
      </c>
      <c r="R114">
        <v>160.518</v>
      </c>
      <c r="S114">
        <v>-1.0880000000000001</v>
      </c>
      <c r="T114">
        <v>-5.8000000000000003E-2</v>
      </c>
      <c r="U114">
        <v>0.65200000000000002</v>
      </c>
      <c r="V114" t="b">
        <v>1</v>
      </c>
      <c r="W114" t="s">
        <v>49</v>
      </c>
    </row>
    <row r="115" spans="2:23" x14ac:dyDescent="0.3">
      <c r="B115" s="2">
        <f t="shared" si="1"/>
        <v>1.7125753000000259</v>
      </c>
      <c r="C115">
        <v>3223.3878728999998</v>
      </c>
      <c r="D115" t="s">
        <v>37</v>
      </c>
      <c r="E115" t="s">
        <v>37</v>
      </c>
      <c r="F115" t="s">
        <v>37</v>
      </c>
      <c r="G115" t="s">
        <v>37</v>
      </c>
      <c r="H115" t="s">
        <v>37</v>
      </c>
      <c r="I115" t="s">
        <v>37</v>
      </c>
      <c r="J115" t="s">
        <v>37</v>
      </c>
      <c r="K115">
        <v>0</v>
      </c>
      <c r="L115">
        <v>0</v>
      </c>
      <c r="M115">
        <v>0</v>
      </c>
      <c r="N115">
        <v>0</v>
      </c>
      <c r="O115">
        <v>7.2471214294433595E-2</v>
      </c>
      <c r="P115">
        <v>2.9232196807861301E-3</v>
      </c>
      <c r="Q115">
        <v>0</v>
      </c>
      <c r="R115">
        <v>160.52500000000001</v>
      </c>
      <c r="S115">
        <v>-0.66700000000000004</v>
      </c>
      <c r="T115">
        <v>-0.35299999999999998</v>
      </c>
      <c r="U115">
        <v>0.64900000000000002</v>
      </c>
      <c r="V115" t="b">
        <v>1</v>
      </c>
      <c r="W115" t="s">
        <v>49</v>
      </c>
    </row>
    <row r="116" spans="2:23" x14ac:dyDescent="0.3">
      <c r="B116" s="2">
        <f t="shared" si="1"/>
        <v>1.7276518000003307</v>
      </c>
      <c r="C116">
        <v>3223.4029494000001</v>
      </c>
      <c r="D116" t="s">
        <v>37</v>
      </c>
      <c r="E116" t="s">
        <v>37</v>
      </c>
      <c r="F116" t="s">
        <v>37</v>
      </c>
      <c r="G116" t="s">
        <v>37</v>
      </c>
      <c r="H116" t="s">
        <v>37</v>
      </c>
      <c r="I116" t="s">
        <v>37</v>
      </c>
      <c r="J116" t="s">
        <v>37</v>
      </c>
      <c r="K116">
        <v>0</v>
      </c>
      <c r="L116">
        <v>0</v>
      </c>
      <c r="M116">
        <v>0</v>
      </c>
      <c r="N116">
        <v>0</v>
      </c>
      <c r="O116">
        <v>7.2471214294433595E-2</v>
      </c>
      <c r="P116">
        <v>2.9232196807861301E-3</v>
      </c>
      <c r="Q116">
        <v>0</v>
      </c>
      <c r="R116">
        <v>160.52500000000001</v>
      </c>
      <c r="S116">
        <v>-0.66700000000000004</v>
      </c>
      <c r="T116">
        <v>-0.35299999999999998</v>
      </c>
      <c r="U116">
        <v>0.64900000000000002</v>
      </c>
      <c r="V116" t="b">
        <v>1</v>
      </c>
      <c r="W116" t="s">
        <v>49</v>
      </c>
    </row>
    <row r="117" spans="2:23" x14ac:dyDescent="0.3">
      <c r="B117" s="2">
        <f t="shared" si="1"/>
        <v>1.7429422000000159</v>
      </c>
      <c r="C117">
        <v>3223.4182397999998</v>
      </c>
      <c r="D117" t="s">
        <v>37</v>
      </c>
      <c r="E117" t="s">
        <v>37</v>
      </c>
      <c r="F117" t="s">
        <v>37</v>
      </c>
      <c r="G117" t="s">
        <v>37</v>
      </c>
      <c r="H117" t="s">
        <v>37</v>
      </c>
      <c r="I117" t="s">
        <v>37</v>
      </c>
      <c r="J117" t="s">
        <v>37</v>
      </c>
      <c r="K117">
        <v>0</v>
      </c>
      <c r="L117">
        <v>0</v>
      </c>
      <c r="M117">
        <v>0</v>
      </c>
      <c r="N117">
        <v>0</v>
      </c>
      <c r="O117">
        <v>7.2471214294433595E-2</v>
      </c>
      <c r="P117">
        <v>2.9232196807861301E-3</v>
      </c>
      <c r="Q117">
        <v>0</v>
      </c>
      <c r="R117">
        <v>160.52500000000001</v>
      </c>
      <c r="S117">
        <v>-0.66700000000000004</v>
      </c>
      <c r="T117">
        <v>-0.35299999999999998</v>
      </c>
      <c r="U117">
        <v>0.64900000000000002</v>
      </c>
      <c r="V117" t="b">
        <v>1</v>
      </c>
      <c r="W117" t="s">
        <v>49</v>
      </c>
    </row>
    <row r="118" spans="2:23" x14ac:dyDescent="0.3">
      <c r="B118" s="2">
        <f t="shared" si="1"/>
        <v>1.7582855000000563</v>
      </c>
      <c r="C118">
        <v>3223.4335830999999</v>
      </c>
      <c r="D118" t="s">
        <v>37</v>
      </c>
      <c r="E118" t="s">
        <v>37</v>
      </c>
      <c r="F118" t="s">
        <v>37</v>
      </c>
      <c r="G118" t="s">
        <v>37</v>
      </c>
      <c r="H118" t="s">
        <v>37</v>
      </c>
      <c r="I118" t="s">
        <v>37</v>
      </c>
      <c r="J118" t="s">
        <v>37</v>
      </c>
      <c r="K118">
        <v>0</v>
      </c>
      <c r="L118">
        <v>0</v>
      </c>
      <c r="M118">
        <v>0</v>
      </c>
      <c r="N118">
        <v>0</v>
      </c>
      <c r="O118">
        <v>7.2471214294433595E-2</v>
      </c>
      <c r="P118">
        <v>2.9232196807861301E-3</v>
      </c>
      <c r="Q118">
        <v>0</v>
      </c>
      <c r="R118">
        <v>160.52500000000001</v>
      </c>
      <c r="S118">
        <v>-0.66700000000000004</v>
      </c>
      <c r="T118">
        <v>-0.35299999999999998</v>
      </c>
      <c r="U118">
        <v>0.64900000000000002</v>
      </c>
      <c r="V118" t="b">
        <v>1</v>
      </c>
      <c r="W118" t="s">
        <v>49</v>
      </c>
    </row>
    <row r="119" spans="2:23" x14ac:dyDescent="0.3">
      <c r="B119" s="2">
        <f t="shared" si="1"/>
        <v>1.773996200000056</v>
      </c>
      <c r="C119">
        <v>3223.4492937999999</v>
      </c>
      <c r="D119" t="s">
        <v>37</v>
      </c>
      <c r="E119" t="s">
        <v>37</v>
      </c>
      <c r="F119" t="s">
        <v>37</v>
      </c>
      <c r="G119" t="s">
        <v>37</v>
      </c>
      <c r="H119" t="s">
        <v>37</v>
      </c>
      <c r="I119" t="s">
        <v>37</v>
      </c>
      <c r="J119" t="s">
        <v>37</v>
      </c>
      <c r="K119">
        <v>0</v>
      </c>
      <c r="L119">
        <v>0</v>
      </c>
      <c r="M119">
        <v>0</v>
      </c>
      <c r="N119">
        <v>0</v>
      </c>
      <c r="O119">
        <v>7.2471214294433595E-2</v>
      </c>
      <c r="P119">
        <v>2.9232196807861301E-3</v>
      </c>
      <c r="Q119">
        <v>0</v>
      </c>
      <c r="R119">
        <v>160.52500000000001</v>
      </c>
      <c r="S119">
        <v>-0.66700000000000004</v>
      </c>
      <c r="T119">
        <v>-0.35299999999999998</v>
      </c>
      <c r="U119">
        <v>0.64900000000000002</v>
      </c>
      <c r="V119" t="b">
        <v>1</v>
      </c>
      <c r="W119" t="s">
        <v>49</v>
      </c>
    </row>
    <row r="120" spans="2:23" x14ac:dyDescent="0.3">
      <c r="B120" s="2">
        <f t="shared" si="1"/>
        <v>1.7897581000001992</v>
      </c>
      <c r="C120">
        <v>3223.4650557</v>
      </c>
      <c r="D120" t="s">
        <v>37</v>
      </c>
      <c r="E120" t="s">
        <v>37</v>
      </c>
      <c r="F120" t="s">
        <v>37</v>
      </c>
      <c r="G120" t="s">
        <v>37</v>
      </c>
      <c r="H120" t="s">
        <v>37</v>
      </c>
      <c r="I120" t="s">
        <v>37</v>
      </c>
      <c r="J120" t="s">
        <v>37</v>
      </c>
      <c r="K120">
        <v>0</v>
      </c>
      <c r="L120">
        <v>0</v>
      </c>
      <c r="M120">
        <v>0</v>
      </c>
      <c r="N120">
        <v>0</v>
      </c>
      <c r="O120">
        <v>0.103549057006835</v>
      </c>
      <c r="P120">
        <v>-4.6982784271240204E-3</v>
      </c>
      <c r="Q120">
        <v>0</v>
      </c>
      <c r="R120">
        <v>160.49</v>
      </c>
      <c r="S120">
        <v>-0.36399999999999999</v>
      </c>
      <c r="T120">
        <v>-0.27200000000000002</v>
      </c>
      <c r="U120">
        <v>0.64400000000000002</v>
      </c>
      <c r="V120" t="b">
        <v>1</v>
      </c>
      <c r="W120" t="s">
        <v>49</v>
      </c>
    </row>
    <row r="121" spans="2:23" x14ac:dyDescent="0.3">
      <c r="B121" s="2">
        <f t="shared" si="1"/>
        <v>1.8050165000004199</v>
      </c>
      <c r="C121">
        <v>3223.4803141000002</v>
      </c>
      <c r="D121" t="s">
        <v>37</v>
      </c>
      <c r="E121" t="s">
        <v>37</v>
      </c>
      <c r="F121" t="s">
        <v>37</v>
      </c>
      <c r="G121" t="s">
        <v>37</v>
      </c>
      <c r="H121" t="s">
        <v>37</v>
      </c>
      <c r="I121" t="s">
        <v>37</v>
      </c>
      <c r="J121" t="s">
        <v>37</v>
      </c>
      <c r="K121">
        <v>0</v>
      </c>
      <c r="L121">
        <v>0</v>
      </c>
      <c r="M121">
        <v>0</v>
      </c>
      <c r="N121">
        <v>0</v>
      </c>
      <c r="O121">
        <v>0.103549057006835</v>
      </c>
      <c r="P121">
        <v>-4.6982784271240204E-3</v>
      </c>
      <c r="Q121">
        <v>0</v>
      </c>
      <c r="R121">
        <v>160.49</v>
      </c>
      <c r="S121">
        <v>-0.36399999999999999</v>
      </c>
      <c r="T121">
        <v>-0.27200000000000002</v>
      </c>
      <c r="U121">
        <v>0.64400000000000002</v>
      </c>
      <c r="V121" t="b">
        <v>1</v>
      </c>
      <c r="W121" t="s">
        <v>49</v>
      </c>
    </row>
    <row r="122" spans="2:23" x14ac:dyDescent="0.3">
      <c r="B122" s="2">
        <f t="shared" si="1"/>
        <v>1.8200581000000966</v>
      </c>
      <c r="C122">
        <v>3223.4953556999999</v>
      </c>
      <c r="D122" t="s">
        <v>37</v>
      </c>
      <c r="E122" t="s">
        <v>37</v>
      </c>
      <c r="F122" t="s">
        <v>37</v>
      </c>
      <c r="G122" t="s">
        <v>37</v>
      </c>
      <c r="H122" t="s">
        <v>37</v>
      </c>
      <c r="I122" t="s">
        <v>37</v>
      </c>
      <c r="J122" t="s">
        <v>37</v>
      </c>
      <c r="K122">
        <v>0</v>
      </c>
      <c r="L122">
        <v>0</v>
      </c>
      <c r="M122">
        <v>0</v>
      </c>
      <c r="N122">
        <v>0</v>
      </c>
      <c r="O122">
        <v>0.103549057006835</v>
      </c>
      <c r="P122">
        <v>-4.6982784271240204E-3</v>
      </c>
      <c r="Q122">
        <v>0</v>
      </c>
      <c r="R122">
        <v>160.49</v>
      </c>
      <c r="S122">
        <v>-0.36399999999999999</v>
      </c>
      <c r="T122">
        <v>-0.27200000000000002</v>
      </c>
      <c r="U122">
        <v>0.64400000000000002</v>
      </c>
      <c r="V122" t="b">
        <v>1</v>
      </c>
      <c r="W122" t="s">
        <v>49</v>
      </c>
    </row>
    <row r="123" spans="2:23" x14ac:dyDescent="0.3">
      <c r="B123" s="2">
        <f t="shared" si="1"/>
        <v>1.8358427000002848</v>
      </c>
      <c r="C123">
        <v>3223.5111403000001</v>
      </c>
      <c r="D123" t="s">
        <v>37</v>
      </c>
      <c r="E123" t="s">
        <v>37</v>
      </c>
      <c r="F123" t="s">
        <v>37</v>
      </c>
      <c r="G123" t="s">
        <v>37</v>
      </c>
      <c r="H123" t="s">
        <v>37</v>
      </c>
      <c r="I123" t="s">
        <v>37</v>
      </c>
      <c r="J123" t="s">
        <v>37</v>
      </c>
      <c r="K123">
        <v>0</v>
      </c>
      <c r="L123">
        <v>0</v>
      </c>
      <c r="M123">
        <v>0</v>
      </c>
      <c r="N123">
        <v>0</v>
      </c>
      <c r="O123">
        <v>0.103549057006835</v>
      </c>
      <c r="P123">
        <v>-4.6982784271240204E-3</v>
      </c>
      <c r="Q123">
        <v>0</v>
      </c>
      <c r="R123">
        <v>160.49</v>
      </c>
      <c r="S123">
        <v>-0.36399999999999999</v>
      </c>
      <c r="T123">
        <v>-0.27200000000000002</v>
      </c>
      <c r="U123">
        <v>0.64400000000000002</v>
      </c>
      <c r="V123" t="b">
        <v>1</v>
      </c>
      <c r="W123" t="s">
        <v>49</v>
      </c>
    </row>
    <row r="124" spans="2:23" x14ac:dyDescent="0.3">
      <c r="B124" s="2">
        <f t="shared" si="1"/>
        <v>1.8507931000003737</v>
      </c>
      <c r="C124">
        <v>3223.5260907000002</v>
      </c>
      <c r="D124" t="s">
        <v>37</v>
      </c>
      <c r="E124" t="s">
        <v>37</v>
      </c>
      <c r="F124" t="s">
        <v>37</v>
      </c>
      <c r="G124" t="s">
        <v>37</v>
      </c>
      <c r="H124" t="s">
        <v>37</v>
      </c>
      <c r="I124" t="s">
        <v>37</v>
      </c>
      <c r="J124" t="s">
        <v>37</v>
      </c>
      <c r="K124">
        <v>0</v>
      </c>
      <c r="L124">
        <v>0</v>
      </c>
      <c r="M124">
        <v>0</v>
      </c>
      <c r="N124">
        <v>0</v>
      </c>
      <c r="O124">
        <v>0.14323474121093699</v>
      </c>
      <c r="P124">
        <v>6.9930620193481398E-3</v>
      </c>
      <c r="Q124">
        <v>0</v>
      </c>
      <c r="R124">
        <v>160.52699999999999</v>
      </c>
      <c r="S124">
        <v>3.0000000000000001E-3</v>
      </c>
      <c r="T124">
        <v>7.4999999999999997E-2</v>
      </c>
      <c r="U124">
        <v>0.64</v>
      </c>
      <c r="V124" t="b">
        <v>1</v>
      </c>
      <c r="W124" t="s">
        <v>49</v>
      </c>
    </row>
    <row r="125" spans="2:23" x14ac:dyDescent="0.3">
      <c r="B125" s="2">
        <f t="shared" si="1"/>
        <v>1.8669764000001123</v>
      </c>
      <c r="C125">
        <v>3223.5422739999999</v>
      </c>
      <c r="D125" t="s">
        <v>37</v>
      </c>
      <c r="E125" t="s">
        <v>37</v>
      </c>
      <c r="F125" t="s">
        <v>37</v>
      </c>
      <c r="G125" t="s">
        <v>37</v>
      </c>
      <c r="H125" t="s">
        <v>37</v>
      </c>
      <c r="I125" t="s">
        <v>37</v>
      </c>
      <c r="J125" t="s">
        <v>37</v>
      </c>
      <c r="K125">
        <v>0</v>
      </c>
      <c r="L125">
        <v>0</v>
      </c>
      <c r="M125">
        <v>0</v>
      </c>
      <c r="N125">
        <v>0</v>
      </c>
      <c r="O125">
        <v>0.14323474121093699</v>
      </c>
      <c r="P125">
        <v>6.9930620193481398E-3</v>
      </c>
      <c r="Q125">
        <v>0</v>
      </c>
      <c r="R125">
        <v>160.52699999999999</v>
      </c>
      <c r="S125">
        <v>3.0000000000000001E-3</v>
      </c>
      <c r="T125">
        <v>7.4999999999999997E-2</v>
      </c>
      <c r="U125">
        <v>0.64</v>
      </c>
      <c r="V125" t="b">
        <v>1</v>
      </c>
      <c r="W125" t="s">
        <v>49</v>
      </c>
    </row>
    <row r="126" spans="2:23" x14ac:dyDescent="0.3">
      <c r="B126" s="2">
        <f t="shared" si="1"/>
        <v>1.8826533000001291</v>
      </c>
      <c r="C126">
        <v>3223.5579508999999</v>
      </c>
      <c r="D126" t="s">
        <v>37</v>
      </c>
      <c r="E126" t="s">
        <v>37</v>
      </c>
      <c r="F126" t="s">
        <v>37</v>
      </c>
      <c r="G126" t="s">
        <v>37</v>
      </c>
      <c r="H126" t="s">
        <v>37</v>
      </c>
      <c r="I126" t="s">
        <v>37</v>
      </c>
      <c r="J126" t="s">
        <v>37</v>
      </c>
      <c r="K126">
        <v>0</v>
      </c>
      <c r="L126">
        <v>0</v>
      </c>
      <c r="M126">
        <v>0</v>
      </c>
      <c r="N126">
        <v>0</v>
      </c>
      <c r="O126">
        <v>0.14323474121093699</v>
      </c>
      <c r="P126">
        <v>6.9930620193481398E-3</v>
      </c>
      <c r="Q126">
        <v>0</v>
      </c>
      <c r="R126">
        <v>160.52699999999999</v>
      </c>
      <c r="S126">
        <v>3.0000000000000001E-3</v>
      </c>
      <c r="T126">
        <v>7.4999999999999997E-2</v>
      </c>
      <c r="U126">
        <v>0.64</v>
      </c>
      <c r="V126" t="b">
        <v>1</v>
      </c>
      <c r="W126" t="s">
        <v>49</v>
      </c>
    </row>
    <row r="127" spans="2:23" x14ac:dyDescent="0.3">
      <c r="B127" s="2">
        <f t="shared" si="1"/>
        <v>1.8972933000000012</v>
      </c>
      <c r="C127">
        <v>3223.5725908999998</v>
      </c>
      <c r="D127" t="s">
        <v>37</v>
      </c>
      <c r="E127" t="s">
        <v>37</v>
      </c>
      <c r="F127" t="s">
        <v>37</v>
      </c>
      <c r="G127" t="s">
        <v>37</v>
      </c>
      <c r="H127" t="s">
        <v>37</v>
      </c>
      <c r="I127" t="s">
        <v>37</v>
      </c>
      <c r="J127" t="s">
        <v>37</v>
      </c>
      <c r="K127">
        <v>0</v>
      </c>
      <c r="L127">
        <v>0</v>
      </c>
      <c r="M127">
        <v>0</v>
      </c>
      <c r="N127">
        <v>0</v>
      </c>
      <c r="O127">
        <v>0.14323474121093699</v>
      </c>
      <c r="P127">
        <v>6.9930620193481398E-3</v>
      </c>
      <c r="Q127">
        <v>0</v>
      </c>
      <c r="R127">
        <v>160.52699999999999</v>
      </c>
      <c r="S127">
        <v>3.0000000000000001E-3</v>
      </c>
      <c r="T127">
        <v>7.4999999999999997E-2</v>
      </c>
      <c r="U127">
        <v>0.64</v>
      </c>
      <c r="V127" t="b">
        <v>1</v>
      </c>
      <c r="W127" t="s">
        <v>49</v>
      </c>
    </row>
    <row r="128" spans="2:23" x14ac:dyDescent="0.3">
      <c r="B128" s="2">
        <f t="shared" si="1"/>
        <v>1.9133269000003565</v>
      </c>
      <c r="C128">
        <v>3223.5886245000002</v>
      </c>
      <c r="D128" t="s">
        <v>37</v>
      </c>
      <c r="E128" t="s">
        <v>37</v>
      </c>
      <c r="F128" t="s">
        <v>37</v>
      </c>
      <c r="G128" t="s">
        <v>37</v>
      </c>
      <c r="H128" t="s">
        <v>37</v>
      </c>
      <c r="I128" t="s">
        <v>37</v>
      </c>
      <c r="J128" t="s">
        <v>37</v>
      </c>
      <c r="K128">
        <v>0</v>
      </c>
      <c r="L128">
        <v>0</v>
      </c>
      <c r="M128">
        <v>0</v>
      </c>
      <c r="N128">
        <v>0</v>
      </c>
      <c r="O128">
        <v>0.14323474121093699</v>
      </c>
      <c r="P128">
        <v>6.9930620193481398E-3</v>
      </c>
      <c r="Q128">
        <v>0</v>
      </c>
      <c r="R128">
        <v>160.52699999999999</v>
      </c>
      <c r="S128">
        <v>3.0000000000000001E-3</v>
      </c>
      <c r="T128">
        <v>7.4999999999999997E-2</v>
      </c>
      <c r="U128">
        <v>0.64</v>
      </c>
      <c r="V128" t="b">
        <v>1</v>
      </c>
      <c r="W128" t="s">
        <v>49</v>
      </c>
    </row>
    <row r="129" spans="2:23" x14ac:dyDescent="0.3">
      <c r="B129" s="2">
        <f t="shared" si="1"/>
        <v>1.9296000000003914</v>
      </c>
      <c r="C129">
        <v>3223.6048976000002</v>
      </c>
      <c r="D129" t="s">
        <v>37</v>
      </c>
      <c r="E129" t="s">
        <v>37</v>
      </c>
      <c r="F129" t="s">
        <v>37</v>
      </c>
      <c r="G129" t="s">
        <v>37</v>
      </c>
      <c r="H129" t="s">
        <v>37</v>
      </c>
      <c r="I129" t="s">
        <v>37</v>
      </c>
      <c r="J129" t="s">
        <v>37</v>
      </c>
      <c r="K129">
        <v>0</v>
      </c>
      <c r="L129">
        <v>0</v>
      </c>
      <c r="M129">
        <v>0</v>
      </c>
      <c r="N129">
        <v>0</v>
      </c>
      <c r="O129">
        <v>0.151130340576171</v>
      </c>
      <c r="P129">
        <v>2.4142173767089801E-2</v>
      </c>
      <c r="Q129">
        <v>0</v>
      </c>
      <c r="R129">
        <v>160.72999999999999</v>
      </c>
      <c r="S129">
        <v>0.48599999999999999</v>
      </c>
      <c r="T129">
        <v>0.217</v>
      </c>
      <c r="U129">
        <v>0.63900000000000001</v>
      </c>
      <c r="V129" t="b">
        <v>1</v>
      </c>
      <c r="W129" t="s">
        <v>49</v>
      </c>
    </row>
    <row r="130" spans="2:23" x14ac:dyDescent="0.3">
      <c r="B130" s="2">
        <f t="shared" si="1"/>
        <v>1.9452049000001352</v>
      </c>
      <c r="C130">
        <v>3223.6205024999999</v>
      </c>
      <c r="D130" t="s">
        <v>37</v>
      </c>
      <c r="E130" t="s">
        <v>37</v>
      </c>
      <c r="F130" t="s">
        <v>37</v>
      </c>
      <c r="G130" t="s">
        <v>37</v>
      </c>
      <c r="H130" t="s">
        <v>37</v>
      </c>
      <c r="I130" t="s">
        <v>37</v>
      </c>
      <c r="J130" t="s">
        <v>37</v>
      </c>
      <c r="K130">
        <v>0</v>
      </c>
      <c r="L130">
        <v>0</v>
      </c>
      <c r="M130">
        <v>0</v>
      </c>
      <c r="N130">
        <v>0</v>
      </c>
      <c r="O130">
        <v>0.151130340576171</v>
      </c>
      <c r="P130">
        <v>2.4142173767089801E-2</v>
      </c>
      <c r="Q130">
        <v>0</v>
      </c>
      <c r="R130">
        <v>160.72999999999999</v>
      </c>
      <c r="S130">
        <v>0.48599999999999999</v>
      </c>
      <c r="T130">
        <v>0.217</v>
      </c>
      <c r="U130">
        <v>0.63900000000000001</v>
      </c>
      <c r="V130" t="b">
        <v>1</v>
      </c>
      <c r="W130" t="s">
        <v>49</v>
      </c>
    </row>
    <row r="131" spans="2:23" x14ac:dyDescent="0.3">
      <c r="B131" s="2">
        <f t="shared" si="1"/>
        <v>1.9606398000000809</v>
      </c>
      <c r="C131">
        <v>3223.6359373999999</v>
      </c>
      <c r="D131" t="s">
        <v>37</v>
      </c>
      <c r="E131" t="s">
        <v>37</v>
      </c>
      <c r="F131" t="s">
        <v>37</v>
      </c>
      <c r="G131" t="s">
        <v>37</v>
      </c>
      <c r="H131" t="s">
        <v>37</v>
      </c>
      <c r="I131" t="s">
        <v>37</v>
      </c>
      <c r="J131" t="s">
        <v>37</v>
      </c>
      <c r="K131">
        <v>0</v>
      </c>
      <c r="L131">
        <v>0</v>
      </c>
      <c r="M131">
        <v>0</v>
      </c>
      <c r="N131">
        <v>0</v>
      </c>
      <c r="O131">
        <v>0.151130340576171</v>
      </c>
      <c r="P131">
        <v>2.4142173767089801E-2</v>
      </c>
      <c r="Q131">
        <v>0</v>
      </c>
      <c r="R131">
        <v>160.72999999999999</v>
      </c>
      <c r="S131">
        <v>0.48599999999999999</v>
      </c>
      <c r="T131">
        <v>0.217</v>
      </c>
      <c r="U131">
        <v>0.63900000000000001</v>
      </c>
      <c r="V131" t="b">
        <v>1</v>
      </c>
      <c r="W131" t="s">
        <v>49</v>
      </c>
    </row>
    <row r="132" spans="2:23" x14ac:dyDescent="0.3">
      <c r="B132" s="2">
        <f t="shared" ref="B132:B195" si="2">C132-$C$3</f>
        <v>1.9759725000003527</v>
      </c>
      <c r="C132">
        <v>3223.6512701000001</v>
      </c>
      <c r="D132" t="s">
        <v>37</v>
      </c>
      <c r="E132" t="s">
        <v>37</v>
      </c>
      <c r="F132" t="s">
        <v>37</v>
      </c>
      <c r="G132" t="s">
        <v>37</v>
      </c>
      <c r="H132" t="s">
        <v>37</v>
      </c>
      <c r="I132" t="s">
        <v>37</v>
      </c>
      <c r="J132" t="s">
        <v>37</v>
      </c>
      <c r="K132">
        <v>0</v>
      </c>
      <c r="L132">
        <v>0</v>
      </c>
      <c r="M132">
        <v>0</v>
      </c>
      <c r="N132">
        <v>0</v>
      </c>
      <c r="O132">
        <v>0.151130340576171</v>
      </c>
      <c r="P132">
        <v>2.4142173767089801E-2</v>
      </c>
      <c r="Q132">
        <v>0</v>
      </c>
      <c r="R132">
        <v>160.72999999999999</v>
      </c>
      <c r="S132">
        <v>0.48599999999999999</v>
      </c>
      <c r="T132">
        <v>0.217</v>
      </c>
      <c r="U132">
        <v>0.63900000000000001</v>
      </c>
      <c r="V132" t="b">
        <v>1</v>
      </c>
      <c r="W132" t="s">
        <v>49</v>
      </c>
    </row>
    <row r="133" spans="2:23" x14ac:dyDescent="0.3">
      <c r="B133" s="2">
        <f t="shared" si="2"/>
        <v>1.9914278000001104</v>
      </c>
      <c r="C133">
        <v>3223.6667253999999</v>
      </c>
      <c r="D133" t="s">
        <v>37</v>
      </c>
      <c r="E133" t="s">
        <v>37</v>
      </c>
      <c r="F133" t="s">
        <v>37</v>
      </c>
      <c r="G133" t="s">
        <v>37</v>
      </c>
      <c r="H133" t="s">
        <v>37</v>
      </c>
      <c r="I133" t="s">
        <v>37</v>
      </c>
      <c r="J133" t="s">
        <v>37</v>
      </c>
      <c r="K133">
        <v>0</v>
      </c>
      <c r="L133">
        <v>0</v>
      </c>
      <c r="M133">
        <v>0</v>
      </c>
      <c r="N133">
        <v>0</v>
      </c>
      <c r="O133">
        <v>0.122195846557617</v>
      </c>
      <c r="P133">
        <v>2.1064065933227499E-2</v>
      </c>
      <c r="Q133">
        <v>0</v>
      </c>
      <c r="R133">
        <v>160.89099999999999</v>
      </c>
      <c r="S133">
        <v>1.147</v>
      </c>
      <c r="T133">
        <v>5.5E-2</v>
      </c>
      <c r="U133">
        <v>0.63900000000000001</v>
      </c>
      <c r="V133" t="b">
        <v>1</v>
      </c>
      <c r="W133" t="s">
        <v>49</v>
      </c>
    </row>
    <row r="134" spans="2:23" x14ac:dyDescent="0.3">
      <c r="B134" s="2">
        <f t="shared" si="2"/>
        <v>2.0069760000001224</v>
      </c>
      <c r="C134">
        <v>3223.6822735999999</v>
      </c>
      <c r="D134" t="s">
        <v>37</v>
      </c>
      <c r="E134" t="s">
        <v>37</v>
      </c>
      <c r="F134" t="s">
        <v>37</v>
      </c>
      <c r="G134" t="s">
        <v>37</v>
      </c>
      <c r="H134" t="s">
        <v>37</v>
      </c>
      <c r="I134" t="s">
        <v>37</v>
      </c>
      <c r="J134" t="s">
        <v>37</v>
      </c>
      <c r="K134">
        <v>0</v>
      </c>
      <c r="L134">
        <v>0</v>
      </c>
      <c r="M134">
        <v>0</v>
      </c>
      <c r="N134">
        <v>0</v>
      </c>
      <c r="O134">
        <v>0.122195846557617</v>
      </c>
      <c r="P134">
        <v>2.1064065933227499E-2</v>
      </c>
      <c r="Q134">
        <v>0</v>
      </c>
      <c r="R134">
        <v>160.89099999999999</v>
      </c>
      <c r="S134">
        <v>1.147</v>
      </c>
      <c r="T134">
        <v>5.5E-2</v>
      </c>
      <c r="U134">
        <v>0.63900000000000001</v>
      </c>
      <c r="V134" t="b">
        <v>1</v>
      </c>
      <c r="W134" t="s">
        <v>49</v>
      </c>
    </row>
    <row r="135" spans="2:23" x14ac:dyDescent="0.3">
      <c r="B135" s="2">
        <f t="shared" si="2"/>
        <v>2.0227060000001984</v>
      </c>
      <c r="C135">
        <v>3223.6980036</v>
      </c>
      <c r="D135" t="s">
        <v>37</v>
      </c>
      <c r="E135" t="s">
        <v>37</v>
      </c>
      <c r="F135" t="s">
        <v>37</v>
      </c>
      <c r="G135" t="s">
        <v>37</v>
      </c>
      <c r="H135" t="s">
        <v>37</v>
      </c>
      <c r="I135" t="s">
        <v>37</v>
      </c>
      <c r="J135" t="s">
        <v>37</v>
      </c>
      <c r="K135">
        <v>0</v>
      </c>
      <c r="L135">
        <v>0</v>
      </c>
      <c r="M135">
        <v>0</v>
      </c>
      <c r="N135">
        <v>0</v>
      </c>
      <c r="O135">
        <v>0.122195846557617</v>
      </c>
      <c r="P135">
        <v>2.1064065933227499E-2</v>
      </c>
      <c r="Q135">
        <v>0</v>
      </c>
      <c r="R135">
        <v>160.89099999999999</v>
      </c>
      <c r="S135">
        <v>1.147</v>
      </c>
      <c r="T135">
        <v>5.5E-2</v>
      </c>
      <c r="U135">
        <v>0.63900000000000001</v>
      </c>
      <c r="V135" t="b">
        <v>1</v>
      </c>
      <c r="W135" t="s">
        <v>49</v>
      </c>
    </row>
    <row r="136" spans="2:23" x14ac:dyDescent="0.3">
      <c r="B136" s="2">
        <f t="shared" si="2"/>
        <v>2.0380438000001959</v>
      </c>
      <c r="C136">
        <v>3223.7133414</v>
      </c>
      <c r="D136" t="s">
        <v>37</v>
      </c>
      <c r="E136" t="s">
        <v>37</v>
      </c>
      <c r="F136" t="s">
        <v>37</v>
      </c>
      <c r="G136" t="s">
        <v>37</v>
      </c>
      <c r="H136" t="s">
        <v>37</v>
      </c>
      <c r="I136" t="s">
        <v>37</v>
      </c>
      <c r="J136" t="s">
        <v>37</v>
      </c>
      <c r="K136">
        <v>0</v>
      </c>
      <c r="L136">
        <v>0</v>
      </c>
      <c r="M136">
        <v>0</v>
      </c>
      <c r="N136">
        <v>0</v>
      </c>
      <c r="O136">
        <v>0.122195846557617</v>
      </c>
      <c r="P136">
        <v>2.1064065933227499E-2</v>
      </c>
      <c r="Q136">
        <v>0</v>
      </c>
      <c r="R136">
        <v>160.89099999999999</v>
      </c>
      <c r="S136">
        <v>1.147</v>
      </c>
      <c r="T136">
        <v>5.5E-2</v>
      </c>
      <c r="U136">
        <v>0.63900000000000001</v>
      </c>
      <c r="V136" t="b">
        <v>1</v>
      </c>
      <c r="W136" t="s">
        <v>49</v>
      </c>
    </row>
    <row r="137" spans="2:23" x14ac:dyDescent="0.3">
      <c r="B137" s="2">
        <f t="shared" si="2"/>
        <v>2.0530307000003631</v>
      </c>
      <c r="C137">
        <v>3223.7283283000002</v>
      </c>
      <c r="D137" t="s">
        <v>37</v>
      </c>
      <c r="E137" t="s">
        <v>37</v>
      </c>
      <c r="F137" t="s">
        <v>37</v>
      </c>
      <c r="G137" t="s">
        <v>37</v>
      </c>
      <c r="H137" t="s">
        <v>37</v>
      </c>
      <c r="I137" t="s">
        <v>37</v>
      </c>
      <c r="J137" t="s">
        <v>37</v>
      </c>
      <c r="K137">
        <v>0</v>
      </c>
      <c r="L137">
        <v>0</v>
      </c>
      <c r="M137">
        <v>0</v>
      </c>
      <c r="N137">
        <v>0</v>
      </c>
      <c r="O137">
        <v>8.62357711791992E-2</v>
      </c>
      <c r="P137">
        <v>2.1158702850341798E-2</v>
      </c>
      <c r="Q137">
        <v>0</v>
      </c>
      <c r="R137">
        <v>160.74600000000001</v>
      </c>
      <c r="S137">
        <v>1.59</v>
      </c>
      <c r="T137">
        <v>-0.14000000000000001</v>
      </c>
      <c r="U137">
        <v>0.64</v>
      </c>
      <c r="V137" t="b">
        <v>1</v>
      </c>
      <c r="W137" t="s">
        <v>49</v>
      </c>
    </row>
    <row r="138" spans="2:23" x14ac:dyDescent="0.3">
      <c r="B138" s="2">
        <f t="shared" si="2"/>
        <v>2.0684856000002583</v>
      </c>
      <c r="C138">
        <v>3223.7437832000001</v>
      </c>
      <c r="D138" t="s">
        <v>37</v>
      </c>
      <c r="E138" t="s">
        <v>37</v>
      </c>
      <c r="F138" t="s">
        <v>37</v>
      </c>
      <c r="G138" t="s">
        <v>37</v>
      </c>
      <c r="H138" t="s">
        <v>37</v>
      </c>
      <c r="I138" t="s">
        <v>37</v>
      </c>
      <c r="J138" t="s">
        <v>37</v>
      </c>
      <c r="K138">
        <v>0</v>
      </c>
      <c r="L138">
        <v>0</v>
      </c>
      <c r="M138">
        <v>0</v>
      </c>
      <c r="N138">
        <v>0</v>
      </c>
      <c r="O138">
        <v>8.62357711791992E-2</v>
      </c>
      <c r="P138">
        <v>2.1158702850341798E-2</v>
      </c>
      <c r="Q138">
        <v>0</v>
      </c>
      <c r="R138">
        <v>160.74600000000001</v>
      </c>
      <c r="S138">
        <v>1.59</v>
      </c>
      <c r="T138">
        <v>-0.14000000000000001</v>
      </c>
      <c r="U138">
        <v>0.64</v>
      </c>
      <c r="V138" t="b">
        <v>1</v>
      </c>
      <c r="W138" t="s">
        <v>49</v>
      </c>
    </row>
    <row r="139" spans="2:23" x14ac:dyDescent="0.3">
      <c r="B139" s="2">
        <f t="shared" si="2"/>
        <v>2.0836755000000267</v>
      </c>
      <c r="C139">
        <v>3223.7589730999998</v>
      </c>
      <c r="D139" t="s">
        <v>37</v>
      </c>
      <c r="E139" t="s">
        <v>37</v>
      </c>
      <c r="F139" t="s">
        <v>37</v>
      </c>
      <c r="G139" t="s">
        <v>37</v>
      </c>
      <c r="H139" t="s">
        <v>37</v>
      </c>
      <c r="I139" t="s">
        <v>37</v>
      </c>
      <c r="J139" t="s">
        <v>37</v>
      </c>
      <c r="K139">
        <v>0</v>
      </c>
      <c r="L139">
        <v>0</v>
      </c>
      <c r="M139">
        <v>0</v>
      </c>
      <c r="N139">
        <v>0</v>
      </c>
      <c r="O139">
        <v>8.62357711791992E-2</v>
      </c>
      <c r="P139">
        <v>2.1158702850341798E-2</v>
      </c>
      <c r="Q139">
        <v>0</v>
      </c>
      <c r="R139">
        <v>160.74600000000001</v>
      </c>
      <c r="S139">
        <v>1.59</v>
      </c>
      <c r="T139">
        <v>-0.14000000000000001</v>
      </c>
      <c r="U139">
        <v>0.64</v>
      </c>
      <c r="V139" t="b">
        <v>1</v>
      </c>
      <c r="W139" t="s">
        <v>49</v>
      </c>
    </row>
    <row r="140" spans="2:23" x14ac:dyDescent="0.3">
      <c r="B140" s="2">
        <f t="shared" si="2"/>
        <v>2.0990962000000764</v>
      </c>
      <c r="C140">
        <v>3223.7743937999999</v>
      </c>
      <c r="D140" t="s">
        <v>37</v>
      </c>
      <c r="E140" t="s">
        <v>37</v>
      </c>
      <c r="F140" t="s">
        <v>37</v>
      </c>
      <c r="G140" t="s">
        <v>37</v>
      </c>
      <c r="H140" t="s">
        <v>37</v>
      </c>
      <c r="I140" t="s">
        <v>37</v>
      </c>
      <c r="J140" t="s">
        <v>37</v>
      </c>
      <c r="K140">
        <v>0</v>
      </c>
      <c r="L140">
        <v>0</v>
      </c>
      <c r="M140">
        <v>0</v>
      </c>
      <c r="N140">
        <v>0</v>
      </c>
      <c r="O140">
        <v>8.62357711791992E-2</v>
      </c>
      <c r="P140">
        <v>2.1158702850341798E-2</v>
      </c>
      <c r="Q140">
        <v>0</v>
      </c>
      <c r="R140">
        <v>160.74600000000001</v>
      </c>
      <c r="S140">
        <v>1.59</v>
      </c>
      <c r="T140">
        <v>-0.14000000000000001</v>
      </c>
      <c r="U140">
        <v>0.64</v>
      </c>
      <c r="V140" t="b">
        <v>1</v>
      </c>
      <c r="W140" t="s">
        <v>49</v>
      </c>
    </row>
    <row r="141" spans="2:23" x14ac:dyDescent="0.3">
      <c r="B141" s="2">
        <f t="shared" si="2"/>
        <v>2.1141289000001962</v>
      </c>
      <c r="C141">
        <v>3223.7894265</v>
      </c>
      <c r="D141" t="s">
        <v>37</v>
      </c>
      <c r="E141" t="s">
        <v>37</v>
      </c>
      <c r="F141" t="s">
        <v>37</v>
      </c>
      <c r="G141" t="s">
        <v>37</v>
      </c>
      <c r="H141" t="s">
        <v>37</v>
      </c>
      <c r="I141" t="s">
        <v>37</v>
      </c>
      <c r="J141" t="s">
        <v>37</v>
      </c>
      <c r="K141">
        <v>0</v>
      </c>
      <c r="L141">
        <v>0</v>
      </c>
      <c r="M141">
        <v>0</v>
      </c>
      <c r="N141">
        <v>0</v>
      </c>
      <c r="O141">
        <v>6.5997406005859294E-2</v>
      </c>
      <c r="P141">
        <v>-1.2998143196105901E-2</v>
      </c>
      <c r="Q141">
        <v>0</v>
      </c>
      <c r="R141">
        <v>160.71299999999999</v>
      </c>
      <c r="S141">
        <v>1.6990000000000001</v>
      </c>
      <c r="T141">
        <v>-0.24</v>
      </c>
      <c r="U141">
        <v>0.64200000000000002</v>
      </c>
      <c r="V141" t="b">
        <v>1</v>
      </c>
      <c r="W141" t="s">
        <v>50</v>
      </c>
    </row>
    <row r="142" spans="2:23" x14ac:dyDescent="0.3">
      <c r="B142" s="2">
        <f t="shared" si="2"/>
        <v>2.1296484000004057</v>
      </c>
      <c r="C142">
        <v>3223.8049460000002</v>
      </c>
      <c r="D142" t="s">
        <v>37</v>
      </c>
      <c r="E142" t="s">
        <v>37</v>
      </c>
      <c r="F142" t="s">
        <v>37</v>
      </c>
      <c r="G142" t="s">
        <v>37</v>
      </c>
      <c r="H142" t="s">
        <v>37</v>
      </c>
      <c r="I142" t="s">
        <v>37</v>
      </c>
      <c r="J142" t="s">
        <v>37</v>
      </c>
      <c r="K142">
        <v>0</v>
      </c>
      <c r="L142">
        <v>0</v>
      </c>
      <c r="M142">
        <v>0</v>
      </c>
      <c r="N142">
        <v>0</v>
      </c>
      <c r="O142">
        <v>6.5997406005859294E-2</v>
      </c>
      <c r="P142">
        <v>-1.2998143196105901E-2</v>
      </c>
      <c r="Q142">
        <v>0</v>
      </c>
      <c r="R142">
        <v>160.71299999999999</v>
      </c>
      <c r="S142">
        <v>1.6990000000000001</v>
      </c>
      <c r="T142">
        <v>-0.24</v>
      </c>
      <c r="U142">
        <v>0.64200000000000002</v>
      </c>
      <c r="V142" t="b">
        <v>1</v>
      </c>
      <c r="W142" t="s">
        <v>50</v>
      </c>
    </row>
    <row r="143" spans="2:23" x14ac:dyDescent="0.3">
      <c r="B143" s="2">
        <f t="shared" si="2"/>
        <v>2.1453720000004068</v>
      </c>
      <c r="C143">
        <v>3223.8206696000002</v>
      </c>
      <c r="D143" t="s">
        <v>37</v>
      </c>
      <c r="E143" t="s">
        <v>37</v>
      </c>
      <c r="F143" t="s">
        <v>37</v>
      </c>
      <c r="G143" t="s">
        <v>37</v>
      </c>
      <c r="H143" t="s">
        <v>37</v>
      </c>
      <c r="I143" t="s">
        <v>37</v>
      </c>
      <c r="J143" t="s">
        <v>37</v>
      </c>
      <c r="K143">
        <v>0</v>
      </c>
      <c r="L143">
        <v>0</v>
      </c>
      <c r="M143">
        <v>0</v>
      </c>
      <c r="N143">
        <v>0</v>
      </c>
      <c r="O143">
        <v>6.5997406005859294E-2</v>
      </c>
      <c r="P143">
        <v>-1.2998143196105901E-2</v>
      </c>
      <c r="Q143">
        <v>0</v>
      </c>
      <c r="R143">
        <v>160.71299999999999</v>
      </c>
      <c r="S143">
        <v>1.6990000000000001</v>
      </c>
      <c r="T143">
        <v>-0.24</v>
      </c>
      <c r="U143">
        <v>0.64200000000000002</v>
      </c>
      <c r="V143" t="b">
        <v>1</v>
      </c>
      <c r="W143" t="s">
        <v>50</v>
      </c>
    </row>
    <row r="144" spans="2:23" x14ac:dyDescent="0.3">
      <c r="B144" s="2">
        <f t="shared" si="2"/>
        <v>2.1608561000002737</v>
      </c>
      <c r="C144">
        <v>3223.8361537000001</v>
      </c>
      <c r="D144" t="s">
        <v>37</v>
      </c>
      <c r="E144" t="s">
        <v>37</v>
      </c>
      <c r="F144" t="s">
        <v>37</v>
      </c>
      <c r="G144" t="s">
        <v>37</v>
      </c>
      <c r="H144" t="s">
        <v>37</v>
      </c>
      <c r="I144" t="s">
        <v>37</v>
      </c>
      <c r="J144" t="s">
        <v>37</v>
      </c>
      <c r="K144">
        <v>0</v>
      </c>
      <c r="L144">
        <v>0</v>
      </c>
      <c r="M144">
        <v>0</v>
      </c>
      <c r="N144">
        <v>0</v>
      </c>
      <c r="O144">
        <v>6.5997406005859294E-2</v>
      </c>
      <c r="P144">
        <v>-1.2998143196105901E-2</v>
      </c>
      <c r="Q144">
        <v>0</v>
      </c>
      <c r="R144">
        <v>160.71299999999999</v>
      </c>
      <c r="S144">
        <v>1.6990000000000001</v>
      </c>
      <c r="T144">
        <v>-0.24</v>
      </c>
      <c r="U144">
        <v>0.64200000000000002</v>
      </c>
      <c r="V144" t="b">
        <v>1</v>
      </c>
      <c r="W144" t="s">
        <v>50</v>
      </c>
    </row>
    <row r="145" spans="2:23" x14ac:dyDescent="0.3">
      <c r="B145" s="2">
        <f t="shared" si="2"/>
        <v>2.1762023000001136</v>
      </c>
      <c r="C145">
        <v>3223.8514998999999</v>
      </c>
      <c r="D145" t="s">
        <v>37</v>
      </c>
      <c r="E145" t="s">
        <v>37</v>
      </c>
      <c r="F145" t="s">
        <v>37</v>
      </c>
      <c r="G145" t="s">
        <v>37</v>
      </c>
      <c r="H145" t="s">
        <v>37</v>
      </c>
      <c r="I145" t="s">
        <v>37</v>
      </c>
      <c r="J145" t="s">
        <v>37</v>
      </c>
      <c r="K145">
        <v>0</v>
      </c>
      <c r="L145">
        <v>0</v>
      </c>
      <c r="M145">
        <v>0</v>
      </c>
      <c r="N145">
        <v>0</v>
      </c>
      <c r="O145">
        <v>6.5997406005859294E-2</v>
      </c>
      <c r="P145">
        <v>-1.2998143196105901E-2</v>
      </c>
      <c r="Q145">
        <v>0</v>
      </c>
      <c r="R145">
        <v>160.71299999999999</v>
      </c>
      <c r="S145">
        <v>1.6990000000000001</v>
      </c>
      <c r="T145">
        <v>-0.24</v>
      </c>
      <c r="U145">
        <v>0.64200000000000002</v>
      </c>
      <c r="V145" t="b">
        <v>1</v>
      </c>
      <c r="W145" t="s">
        <v>50</v>
      </c>
    </row>
    <row r="146" spans="2:23" x14ac:dyDescent="0.3">
      <c r="B146" s="2">
        <f t="shared" si="2"/>
        <v>2.191330999999991</v>
      </c>
      <c r="C146">
        <v>3223.8666285999998</v>
      </c>
      <c r="D146" t="s">
        <v>37</v>
      </c>
      <c r="E146" t="s">
        <v>37</v>
      </c>
      <c r="F146" t="s">
        <v>37</v>
      </c>
      <c r="G146" t="s">
        <v>37</v>
      </c>
      <c r="H146" t="s">
        <v>37</v>
      </c>
      <c r="I146" t="s">
        <v>37</v>
      </c>
      <c r="J146" t="s">
        <v>37</v>
      </c>
      <c r="K146">
        <v>0</v>
      </c>
      <c r="L146">
        <v>0</v>
      </c>
      <c r="M146">
        <v>0</v>
      </c>
      <c r="N146">
        <v>0</v>
      </c>
      <c r="O146">
        <v>3.3278076171874997E-2</v>
      </c>
      <c r="P146">
        <v>-3.2042823791503902E-2</v>
      </c>
      <c r="Q146">
        <v>0</v>
      </c>
      <c r="R146">
        <v>160.78</v>
      </c>
      <c r="S146">
        <v>1.5429999999999999</v>
      </c>
      <c r="T146">
        <v>0.24299999999999999</v>
      </c>
      <c r="U146">
        <v>0.64400000000000002</v>
      </c>
      <c r="V146" t="b">
        <v>1</v>
      </c>
      <c r="W146" t="s">
        <v>50</v>
      </c>
    </row>
    <row r="147" spans="2:23" x14ac:dyDescent="0.3">
      <c r="B147" s="2">
        <f t="shared" si="2"/>
        <v>2.2065747000001465</v>
      </c>
      <c r="C147">
        <v>3223.8818722999999</v>
      </c>
      <c r="D147" t="s">
        <v>37</v>
      </c>
      <c r="E147" t="s">
        <v>37</v>
      </c>
      <c r="F147" t="s">
        <v>37</v>
      </c>
      <c r="G147" t="s">
        <v>37</v>
      </c>
      <c r="H147" t="s">
        <v>37</v>
      </c>
      <c r="I147" t="s">
        <v>37</v>
      </c>
      <c r="J147" t="s">
        <v>37</v>
      </c>
      <c r="K147">
        <v>0</v>
      </c>
      <c r="L147">
        <v>0</v>
      </c>
      <c r="M147">
        <v>0</v>
      </c>
      <c r="N147">
        <v>0</v>
      </c>
      <c r="O147">
        <v>3.3278076171874997E-2</v>
      </c>
      <c r="P147">
        <v>-3.2042823791503902E-2</v>
      </c>
      <c r="Q147">
        <v>0</v>
      </c>
      <c r="R147">
        <v>160.78</v>
      </c>
      <c r="S147">
        <v>1.5429999999999999</v>
      </c>
      <c r="T147">
        <v>0.24299999999999999</v>
      </c>
      <c r="U147">
        <v>0.64400000000000002</v>
      </c>
      <c r="V147" t="b">
        <v>1</v>
      </c>
      <c r="W147" t="s">
        <v>50</v>
      </c>
    </row>
    <row r="148" spans="2:23" x14ac:dyDescent="0.3">
      <c r="B148" s="2">
        <f t="shared" si="2"/>
        <v>2.2223314000002574</v>
      </c>
      <c r="C148">
        <v>3223.8976290000001</v>
      </c>
      <c r="D148" t="s">
        <v>37</v>
      </c>
      <c r="E148" t="s">
        <v>37</v>
      </c>
      <c r="F148" t="s">
        <v>37</v>
      </c>
      <c r="G148" t="s">
        <v>37</v>
      </c>
      <c r="H148" t="s">
        <v>37</v>
      </c>
      <c r="I148" t="s">
        <v>37</v>
      </c>
      <c r="J148" t="s">
        <v>37</v>
      </c>
      <c r="K148">
        <v>0</v>
      </c>
      <c r="L148">
        <v>0</v>
      </c>
      <c r="M148">
        <v>0</v>
      </c>
      <c r="N148">
        <v>0</v>
      </c>
      <c r="O148">
        <v>3.3278076171874997E-2</v>
      </c>
      <c r="P148">
        <v>-3.2042823791503902E-2</v>
      </c>
      <c r="Q148">
        <v>0</v>
      </c>
      <c r="R148">
        <v>160.78</v>
      </c>
      <c r="S148">
        <v>1.5429999999999999</v>
      </c>
      <c r="T148">
        <v>0.24299999999999999</v>
      </c>
      <c r="U148">
        <v>0.64400000000000002</v>
      </c>
      <c r="V148" t="b">
        <v>1</v>
      </c>
      <c r="W148" t="s">
        <v>50</v>
      </c>
    </row>
    <row r="149" spans="2:23" x14ac:dyDescent="0.3">
      <c r="B149" s="2">
        <f t="shared" si="2"/>
        <v>2.2377394000000095</v>
      </c>
      <c r="C149">
        <v>3223.9130369999998</v>
      </c>
      <c r="D149" t="s">
        <v>37</v>
      </c>
      <c r="E149" t="s">
        <v>37</v>
      </c>
      <c r="F149" t="s">
        <v>37</v>
      </c>
      <c r="G149" t="s">
        <v>37</v>
      </c>
      <c r="H149" t="s">
        <v>37</v>
      </c>
      <c r="I149" t="s">
        <v>37</v>
      </c>
      <c r="J149" t="s">
        <v>37</v>
      </c>
      <c r="K149">
        <v>0</v>
      </c>
      <c r="L149">
        <v>0</v>
      </c>
      <c r="M149">
        <v>0</v>
      </c>
      <c r="N149">
        <v>0</v>
      </c>
      <c r="O149">
        <v>3.3278076171874997E-2</v>
      </c>
      <c r="P149">
        <v>-3.2042823791503902E-2</v>
      </c>
      <c r="Q149">
        <v>0</v>
      </c>
      <c r="R149">
        <v>160.78</v>
      </c>
      <c r="S149">
        <v>1.5429999999999999</v>
      </c>
      <c r="T149">
        <v>0.24299999999999999</v>
      </c>
      <c r="U149">
        <v>0.64400000000000002</v>
      </c>
      <c r="V149" t="b">
        <v>1</v>
      </c>
      <c r="W149" t="s">
        <v>50</v>
      </c>
    </row>
    <row r="150" spans="2:23" x14ac:dyDescent="0.3">
      <c r="B150" s="2">
        <f t="shared" si="2"/>
        <v>2.2529523000002882</v>
      </c>
      <c r="C150">
        <v>3223.9282499000001</v>
      </c>
      <c r="D150" t="s">
        <v>37</v>
      </c>
      <c r="E150" t="s">
        <v>37</v>
      </c>
      <c r="F150" t="s">
        <v>37</v>
      </c>
      <c r="G150" t="s">
        <v>37</v>
      </c>
      <c r="H150" t="s">
        <v>37</v>
      </c>
      <c r="I150" t="s">
        <v>37</v>
      </c>
      <c r="J150" t="s">
        <v>37</v>
      </c>
      <c r="K150">
        <v>0</v>
      </c>
      <c r="L150">
        <v>0</v>
      </c>
      <c r="M150">
        <v>0</v>
      </c>
      <c r="N150">
        <v>0</v>
      </c>
      <c r="O150">
        <v>-6.7436850070953303E-4</v>
      </c>
      <c r="P150">
        <v>-2.9145898818969701E-2</v>
      </c>
      <c r="Q150">
        <v>0</v>
      </c>
      <c r="R150">
        <v>160.77799999999999</v>
      </c>
      <c r="S150">
        <v>1.139</v>
      </c>
      <c r="T150">
        <v>0.95299999999999996</v>
      </c>
      <c r="U150">
        <v>0.64800000000000002</v>
      </c>
      <c r="V150" t="b">
        <v>1</v>
      </c>
      <c r="W150" t="s">
        <v>50</v>
      </c>
    </row>
    <row r="151" spans="2:23" x14ac:dyDescent="0.3">
      <c r="B151" s="2">
        <f t="shared" si="2"/>
        <v>2.2684573999999884</v>
      </c>
      <c r="C151">
        <v>3223.9437549999998</v>
      </c>
      <c r="D151" t="s">
        <v>37</v>
      </c>
      <c r="E151" t="s">
        <v>37</v>
      </c>
      <c r="F151" t="s">
        <v>37</v>
      </c>
      <c r="G151" t="s">
        <v>37</v>
      </c>
      <c r="H151" t="s">
        <v>37</v>
      </c>
      <c r="I151" t="s">
        <v>37</v>
      </c>
      <c r="J151" t="s">
        <v>37</v>
      </c>
      <c r="K151">
        <v>0</v>
      </c>
      <c r="L151">
        <v>0</v>
      </c>
      <c r="M151">
        <v>0</v>
      </c>
      <c r="N151">
        <v>0</v>
      </c>
      <c r="O151">
        <v>-6.7436850070953303E-4</v>
      </c>
      <c r="P151">
        <v>-2.9145898818969701E-2</v>
      </c>
      <c r="Q151">
        <v>0</v>
      </c>
      <c r="R151">
        <v>160.77799999999999</v>
      </c>
      <c r="S151">
        <v>1.139</v>
      </c>
      <c r="T151">
        <v>0.95299999999999996</v>
      </c>
      <c r="U151">
        <v>0.64800000000000002</v>
      </c>
      <c r="V151" t="b">
        <v>1</v>
      </c>
      <c r="W151" t="s">
        <v>50</v>
      </c>
    </row>
    <row r="152" spans="2:23" x14ac:dyDescent="0.3">
      <c r="B152" s="2">
        <f t="shared" si="2"/>
        <v>2.2840030000002116</v>
      </c>
      <c r="C152">
        <v>3223.9593006</v>
      </c>
      <c r="D152" t="s">
        <v>37</v>
      </c>
      <c r="E152" t="s">
        <v>37</v>
      </c>
      <c r="F152" t="s">
        <v>37</v>
      </c>
      <c r="G152" t="s">
        <v>37</v>
      </c>
      <c r="H152" t="s">
        <v>37</v>
      </c>
      <c r="I152" t="s">
        <v>37</v>
      </c>
      <c r="J152" t="s">
        <v>37</v>
      </c>
      <c r="K152">
        <v>0</v>
      </c>
      <c r="L152">
        <v>0</v>
      </c>
      <c r="M152">
        <v>0</v>
      </c>
      <c r="N152">
        <v>0</v>
      </c>
      <c r="O152">
        <v>-6.7436850070953303E-4</v>
      </c>
      <c r="P152">
        <v>-2.9145898818969701E-2</v>
      </c>
      <c r="Q152">
        <v>0</v>
      </c>
      <c r="R152">
        <v>160.77799999999999</v>
      </c>
      <c r="S152">
        <v>1.139</v>
      </c>
      <c r="T152">
        <v>0.95299999999999996</v>
      </c>
      <c r="U152">
        <v>0.64800000000000002</v>
      </c>
      <c r="V152" t="b">
        <v>1</v>
      </c>
      <c r="W152" t="s">
        <v>50</v>
      </c>
    </row>
    <row r="153" spans="2:23" x14ac:dyDescent="0.3">
      <c r="B153" s="2">
        <f t="shared" si="2"/>
        <v>2.2868802000002688</v>
      </c>
      <c r="C153">
        <v>3223.9621778000001</v>
      </c>
      <c r="D153" t="s">
        <v>37</v>
      </c>
      <c r="E153" t="s">
        <v>37</v>
      </c>
      <c r="F153" t="s">
        <v>37</v>
      </c>
      <c r="G153" t="s">
        <v>37</v>
      </c>
      <c r="H153" t="s">
        <v>37</v>
      </c>
      <c r="I153" t="s">
        <v>37</v>
      </c>
      <c r="J153" t="s">
        <v>37</v>
      </c>
      <c r="K153">
        <v>0</v>
      </c>
      <c r="L153">
        <v>0</v>
      </c>
      <c r="M153">
        <v>0</v>
      </c>
      <c r="N153">
        <v>0</v>
      </c>
      <c r="O153">
        <v>-6.7436850070953303E-4</v>
      </c>
      <c r="P153">
        <v>-2.9145898818969701E-2</v>
      </c>
      <c r="Q153">
        <v>0</v>
      </c>
      <c r="R153">
        <v>160.77799999999999</v>
      </c>
      <c r="S153">
        <v>1.139</v>
      </c>
      <c r="T153">
        <v>0.95299999999999996</v>
      </c>
      <c r="U153">
        <v>0.64800000000000002</v>
      </c>
      <c r="V153" t="b">
        <v>1</v>
      </c>
      <c r="W153" t="s">
        <v>50</v>
      </c>
    </row>
    <row r="154" spans="2:23" x14ac:dyDescent="0.3">
      <c r="B154" s="2">
        <f t="shared" si="2"/>
        <v>2.2995488000001387</v>
      </c>
      <c r="C154">
        <v>3223.9748463999999</v>
      </c>
      <c r="D154" t="s">
        <v>37</v>
      </c>
      <c r="E154" t="s">
        <v>37</v>
      </c>
      <c r="F154" t="s">
        <v>37</v>
      </c>
      <c r="G154" t="s">
        <v>37</v>
      </c>
      <c r="H154" t="s">
        <v>37</v>
      </c>
      <c r="I154" t="s">
        <v>37</v>
      </c>
      <c r="J154" t="s">
        <v>37</v>
      </c>
      <c r="K154">
        <v>0</v>
      </c>
      <c r="L154">
        <v>0</v>
      </c>
      <c r="M154">
        <v>0</v>
      </c>
      <c r="N154">
        <v>0</v>
      </c>
      <c r="O154">
        <v>-6.7436850070953303E-4</v>
      </c>
      <c r="P154">
        <v>-2.9145898818969701E-2</v>
      </c>
      <c r="Q154">
        <v>0</v>
      </c>
      <c r="R154">
        <v>160.77799999999999</v>
      </c>
      <c r="S154">
        <v>1.139</v>
      </c>
      <c r="T154">
        <v>0.95299999999999996</v>
      </c>
      <c r="U154">
        <v>0.64800000000000002</v>
      </c>
      <c r="V154" t="b">
        <v>1</v>
      </c>
      <c r="W154" t="s">
        <v>50</v>
      </c>
    </row>
    <row r="155" spans="2:23" x14ac:dyDescent="0.3">
      <c r="B155" s="2">
        <f t="shared" si="2"/>
        <v>2.3149207999999817</v>
      </c>
      <c r="C155">
        <v>3223.9902183999998</v>
      </c>
      <c r="D155" t="s">
        <v>37</v>
      </c>
      <c r="E155" t="s">
        <v>37</v>
      </c>
      <c r="F155" t="s">
        <v>37</v>
      </c>
      <c r="G155" t="s">
        <v>37</v>
      </c>
      <c r="H155" t="s">
        <v>37</v>
      </c>
      <c r="I155" t="s">
        <v>37</v>
      </c>
      <c r="J155" t="s">
        <v>37</v>
      </c>
      <c r="K155">
        <v>0</v>
      </c>
      <c r="L155">
        <v>0</v>
      </c>
      <c r="M155">
        <v>0</v>
      </c>
      <c r="N155">
        <v>0</v>
      </c>
      <c r="O155">
        <v>-1.63144931793212E-2</v>
      </c>
      <c r="P155">
        <v>-3.54174308776855E-2</v>
      </c>
      <c r="Q155">
        <v>0</v>
      </c>
      <c r="R155">
        <v>160.77000000000001</v>
      </c>
      <c r="S155">
        <v>0.60399999999999998</v>
      </c>
      <c r="T155">
        <v>1.2569999999999999</v>
      </c>
      <c r="U155">
        <v>0.65100000000000002</v>
      </c>
      <c r="V155" t="b">
        <v>1</v>
      </c>
      <c r="W155" t="s">
        <v>50</v>
      </c>
    </row>
    <row r="156" spans="2:23" x14ac:dyDescent="0.3">
      <c r="B156" s="2">
        <f t="shared" si="2"/>
        <v>2.3300423000000592</v>
      </c>
      <c r="C156">
        <v>3224.0053398999999</v>
      </c>
      <c r="D156" t="s">
        <v>37</v>
      </c>
      <c r="E156" t="s">
        <v>37</v>
      </c>
      <c r="F156" t="s">
        <v>37</v>
      </c>
      <c r="G156" t="s">
        <v>37</v>
      </c>
      <c r="H156" t="s">
        <v>37</v>
      </c>
      <c r="I156" t="s">
        <v>37</v>
      </c>
      <c r="J156" t="s">
        <v>37</v>
      </c>
      <c r="K156">
        <v>0</v>
      </c>
      <c r="L156">
        <v>0</v>
      </c>
      <c r="M156">
        <v>0</v>
      </c>
      <c r="N156">
        <v>0</v>
      </c>
      <c r="O156">
        <v>-1.63144931793212E-2</v>
      </c>
      <c r="P156">
        <v>-3.54174308776855E-2</v>
      </c>
      <c r="Q156">
        <v>0</v>
      </c>
      <c r="R156">
        <v>160.77000000000001</v>
      </c>
      <c r="S156">
        <v>0.60399999999999998</v>
      </c>
      <c r="T156">
        <v>1.2569999999999999</v>
      </c>
      <c r="U156">
        <v>0.65100000000000002</v>
      </c>
      <c r="V156" t="b">
        <v>1</v>
      </c>
      <c r="W156" t="s">
        <v>50</v>
      </c>
    </row>
    <row r="157" spans="2:23" x14ac:dyDescent="0.3">
      <c r="B157" s="2">
        <f t="shared" si="2"/>
        <v>2.3454623000002357</v>
      </c>
      <c r="C157">
        <v>3224.0207599</v>
      </c>
      <c r="D157" t="s">
        <v>37</v>
      </c>
      <c r="E157" t="s">
        <v>37</v>
      </c>
      <c r="F157" t="s">
        <v>37</v>
      </c>
      <c r="G157" t="s">
        <v>37</v>
      </c>
      <c r="H157" t="s">
        <v>37</v>
      </c>
      <c r="I157" t="s">
        <v>37</v>
      </c>
      <c r="J157" t="s">
        <v>37</v>
      </c>
      <c r="K157">
        <v>0</v>
      </c>
      <c r="L157">
        <v>0</v>
      </c>
      <c r="M157">
        <v>0</v>
      </c>
      <c r="N157">
        <v>0</v>
      </c>
      <c r="O157">
        <v>-1.63144931793212E-2</v>
      </c>
      <c r="P157">
        <v>-3.54174308776855E-2</v>
      </c>
      <c r="Q157">
        <v>0</v>
      </c>
      <c r="R157">
        <v>160.77000000000001</v>
      </c>
      <c r="S157">
        <v>0.60399999999999998</v>
      </c>
      <c r="T157">
        <v>1.2569999999999999</v>
      </c>
      <c r="U157">
        <v>0.65100000000000002</v>
      </c>
      <c r="V157" t="b">
        <v>1</v>
      </c>
      <c r="W157" t="s">
        <v>50</v>
      </c>
    </row>
    <row r="158" spans="2:23" x14ac:dyDescent="0.3">
      <c r="B158" s="2">
        <f t="shared" si="2"/>
        <v>2.3615370000002258</v>
      </c>
      <c r="C158">
        <v>3224.0368346</v>
      </c>
      <c r="D158" t="s">
        <v>37</v>
      </c>
      <c r="E158" t="s">
        <v>37</v>
      </c>
      <c r="F158" t="s">
        <v>37</v>
      </c>
      <c r="G158" t="s">
        <v>37</v>
      </c>
      <c r="H158" t="s">
        <v>37</v>
      </c>
      <c r="I158" t="s">
        <v>37</v>
      </c>
      <c r="J158" t="s">
        <v>37</v>
      </c>
      <c r="K158">
        <v>0</v>
      </c>
      <c r="L158">
        <v>0</v>
      </c>
      <c r="M158">
        <v>0</v>
      </c>
      <c r="N158">
        <v>0</v>
      </c>
      <c r="O158">
        <v>-1.63144931793212E-2</v>
      </c>
      <c r="P158">
        <v>-3.54174308776855E-2</v>
      </c>
      <c r="Q158">
        <v>0</v>
      </c>
      <c r="R158">
        <v>160.77000000000001</v>
      </c>
      <c r="S158">
        <v>0.60399999999999998</v>
      </c>
      <c r="T158">
        <v>1.2569999999999999</v>
      </c>
      <c r="U158">
        <v>0.65100000000000002</v>
      </c>
      <c r="V158" t="b">
        <v>1</v>
      </c>
      <c r="W158" t="s">
        <v>50</v>
      </c>
    </row>
    <row r="159" spans="2:23" x14ac:dyDescent="0.3">
      <c r="B159" s="2">
        <f t="shared" si="2"/>
        <v>2.3767136000001301</v>
      </c>
      <c r="C159">
        <v>3224.0520111999999</v>
      </c>
      <c r="D159" t="s">
        <v>37</v>
      </c>
      <c r="E159" t="s">
        <v>37</v>
      </c>
      <c r="F159" t="s">
        <v>37</v>
      </c>
      <c r="G159" t="s">
        <v>37</v>
      </c>
      <c r="H159" t="s">
        <v>37</v>
      </c>
      <c r="I159" t="s">
        <v>37</v>
      </c>
      <c r="J159" t="s">
        <v>37</v>
      </c>
      <c r="K159">
        <v>0</v>
      </c>
      <c r="L159">
        <v>0</v>
      </c>
      <c r="M159">
        <v>0</v>
      </c>
      <c r="N159">
        <v>0</v>
      </c>
      <c r="O159">
        <v>-5.3606155395507803E-2</v>
      </c>
      <c r="P159">
        <v>-5.4302394866943299E-2</v>
      </c>
      <c r="Q159">
        <v>0</v>
      </c>
      <c r="R159">
        <v>160.70099999999999</v>
      </c>
      <c r="S159">
        <v>0.376</v>
      </c>
      <c r="T159">
        <v>1.1819999999999999</v>
      </c>
      <c r="U159">
        <v>0.65200000000000002</v>
      </c>
      <c r="V159" t="b">
        <v>1</v>
      </c>
      <c r="W159" t="s">
        <v>50</v>
      </c>
    </row>
    <row r="160" spans="2:23" x14ac:dyDescent="0.3">
      <c r="B160" s="2">
        <f t="shared" si="2"/>
        <v>2.3927026000001206</v>
      </c>
      <c r="C160">
        <v>3224.0680001999999</v>
      </c>
      <c r="D160" t="s">
        <v>37</v>
      </c>
      <c r="E160" t="s">
        <v>37</v>
      </c>
      <c r="F160" t="s">
        <v>37</v>
      </c>
      <c r="G160" t="s">
        <v>37</v>
      </c>
      <c r="H160" t="s">
        <v>37</v>
      </c>
      <c r="I160" t="s">
        <v>37</v>
      </c>
      <c r="J160" t="s">
        <v>37</v>
      </c>
      <c r="K160">
        <v>0</v>
      </c>
      <c r="L160">
        <v>0</v>
      </c>
      <c r="M160">
        <v>0</v>
      </c>
      <c r="N160">
        <v>0</v>
      </c>
      <c r="O160">
        <v>-5.3606155395507803E-2</v>
      </c>
      <c r="P160">
        <v>-5.4302394866943299E-2</v>
      </c>
      <c r="Q160">
        <v>0</v>
      </c>
      <c r="R160">
        <v>160.70099999999999</v>
      </c>
      <c r="S160">
        <v>0.376</v>
      </c>
      <c r="T160">
        <v>1.1819999999999999</v>
      </c>
      <c r="U160">
        <v>0.65200000000000002</v>
      </c>
      <c r="V160" t="b">
        <v>1</v>
      </c>
      <c r="W160" t="s">
        <v>50</v>
      </c>
    </row>
    <row r="161" spans="2:23" x14ac:dyDescent="0.3">
      <c r="B161" s="2">
        <f t="shared" si="2"/>
        <v>2.4083026000002974</v>
      </c>
      <c r="C161">
        <v>3224.0836002000001</v>
      </c>
      <c r="D161" t="s">
        <v>37</v>
      </c>
      <c r="E161" t="s">
        <v>37</v>
      </c>
      <c r="F161" t="s">
        <v>37</v>
      </c>
      <c r="G161" t="s">
        <v>37</v>
      </c>
      <c r="H161" t="s">
        <v>37</v>
      </c>
      <c r="I161" t="s">
        <v>37</v>
      </c>
      <c r="J161" t="s">
        <v>37</v>
      </c>
      <c r="K161">
        <v>0</v>
      </c>
      <c r="L161">
        <v>0</v>
      </c>
      <c r="M161">
        <v>0</v>
      </c>
      <c r="N161">
        <v>0</v>
      </c>
      <c r="O161">
        <v>-5.3606155395507803E-2</v>
      </c>
      <c r="P161">
        <v>-5.4302394866943299E-2</v>
      </c>
      <c r="Q161">
        <v>0</v>
      </c>
      <c r="R161">
        <v>160.70099999999999</v>
      </c>
      <c r="S161">
        <v>0.376</v>
      </c>
      <c r="T161">
        <v>1.1819999999999999</v>
      </c>
      <c r="U161">
        <v>0.65200000000000002</v>
      </c>
      <c r="V161" t="b">
        <v>1</v>
      </c>
      <c r="W161" t="s">
        <v>50</v>
      </c>
    </row>
    <row r="162" spans="2:23" x14ac:dyDescent="0.3">
      <c r="B162" s="2">
        <f t="shared" si="2"/>
        <v>2.4243546000002425</v>
      </c>
      <c r="C162">
        <v>3224.0996522</v>
      </c>
      <c r="D162" t="s">
        <v>37</v>
      </c>
      <c r="E162" t="s">
        <v>37</v>
      </c>
      <c r="F162" t="s">
        <v>37</v>
      </c>
      <c r="G162" t="s">
        <v>37</v>
      </c>
      <c r="H162" t="s">
        <v>37</v>
      </c>
      <c r="I162" t="s">
        <v>37</v>
      </c>
      <c r="J162" t="s">
        <v>37</v>
      </c>
      <c r="K162">
        <v>0</v>
      </c>
      <c r="L162">
        <v>0</v>
      </c>
      <c r="M162">
        <v>0</v>
      </c>
      <c r="N162">
        <v>0</v>
      </c>
      <c r="O162">
        <v>-5.3606155395507803E-2</v>
      </c>
      <c r="P162">
        <v>-5.4302394866943299E-2</v>
      </c>
      <c r="Q162">
        <v>0</v>
      </c>
      <c r="R162">
        <v>160.70099999999999</v>
      </c>
      <c r="S162">
        <v>0.376</v>
      </c>
      <c r="T162">
        <v>1.1819999999999999</v>
      </c>
      <c r="U162">
        <v>0.65200000000000002</v>
      </c>
      <c r="V162" t="b">
        <v>1</v>
      </c>
      <c r="W162" t="s">
        <v>50</v>
      </c>
    </row>
    <row r="163" spans="2:23" x14ac:dyDescent="0.3">
      <c r="B163" s="2">
        <f t="shared" si="2"/>
        <v>2.4402967000000899</v>
      </c>
      <c r="C163">
        <v>3224.1155942999999</v>
      </c>
      <c r="D163" t="s">
        <v>37</v>
      </c>
      <c r="E163" t="s">
        <v>37</v>
      </c>
      <c r="F163" t="s">
        <v>37</v>
      </c>
      <c r="G163" t="s">
        <v>37</v>
      </c>
      <c r="H163" t="s">
        <v>37</v>
      </c>
      <c r="I163" t="s">
        <v>37</v>
      </c>
      <c r="J163" t="s">
        <v>37</v>
      </c>
      <c r="K163">
        <v>0</v>
      </c>
      <c r="L163">
        <v>0</v>
      </c>
      <c r="M163">
        <v>0</v>
      </c>
      <c r="N163">
        <v>0</v>
      </c>
      <c r="O163">
        <v>-5.00901947021484E-2</v>
      </c>
      <c r="P163">
        <v>-3.1463598251342699E-2</v>
      </c>
      <c r="Q163">
        <v>0</v>
      </c>
      <c r="R163">
        <v>160.673</v>
      </c>
      <c r="S163">
        <v>-0.112</v>
      </c>
      <c r="T163">
        <v>1.1970000000000001</v>
      </c>
      <c r="U163">
        <v>0.65400000000000003</v>
      </c>
      <c r="V163" t="b">
        <v>1</v>
      </c>
      <c r="W163" t="s">
        <v>50</v>
      </c>
    </row>
    <row r="164" spans="2:23" x14ac:dyDescent="0.3">
      <c r="B164" s="2">
        <f t="shared" si="2"/>
        <v>2.4554897000002711</v>
      </c>
      <c r="C164">
        <v>3224.1307873000001</v>
      </c>
      <c r="D164" t="s">
        <v>37</v>
      </c>
      <c r="E164" t="s">
        <v>37</v>
      </c>
      <c r="F164" t="s">
        <v>37</v>
      </c>
      <c r="G164" t="s">
        <v>37</v>
      </c>
      <c r="H164" t="s">
        <v>37</v>
      </c>
      <c r="I164" t="s">
        <v>37</v>
      </c>
      <c r="J164" t="s">
        <v>37</v>
      </c>
      <c r="K164">
        <v>0</v>
      </c>
      <c r="L164">
        <v>0</v>
      </c>
      <c r="M164">
        <v>0</v>
      </c>
      <c r="N164">
        <v>0</v>
      </c>
      <c r="O164">
        <v>-5.00901947021484E-2</v>
      </c>
      <c r="P164">
        <v>-3.1463598251342699E-2</v>
      </c>
      <c r="Q164">
        <v>0</v>
      </c>
      <c r="R164">
        <v>160.673</v>
      </c>
      <c r="S164">
        <v>-0.112</v>
      </c>
      <c r="T164">
        <v>1.1970000000000001</v>
      </c>
      <c r="U164">
        <v>0.65400000000000003</v>
      </c>
      <c r="V164" t="b">
        <v>1</v>
      </c>
      <c r="W164" t="s">
        <v>50</v>
      </c>
    </row>
    <row r="165" spans="2:23" x14ac:dyDescent="0.3">
      <c r="B165" s="2">
        <f t="shared" si="2"/>
        <v>2.4712208000000828</v>
      </c>
      <c r="C165">
        <v>3224.1465183999999</v>
      </c>
      <c r="D165" t="s">
        <v>37</v>
      </c>
      <c r="E165" t="s">
        <v>37</v>
      </c>
      <c r="F165" t="s">
        <v>37</v>
      </c>
      <c r="G165" t="s">
        <v>37</v>
      </c>
      <c r="H165" t="s">
        <v>37</v>
      </c>
      <c r="I165" t="s">
        <v>37</v>
      </c>
      <c r="J165" t="s">
        <v>37</v>
      </c>
      <c r="K165">
        <v>0</v>
      </c>
      <c r="L165">
        <v>0</v>
      </c>
      <c r="M165">
        <v>0</v>
      </c>
      <c r="N165">
        <v>0</v>
      </c>
      <c r="O165">
        <v>-5.00901947021484E-2</v>
      </c>
      <c r="P165">
        <v>-3.1463598251342699E-2</v>
      </c>
      <c r="Q165">
        <v>0</v>
      </c>
      <c r="R165">
        <v>160.673</v>
      </c>
      <c r="S165">
        <v>-0.112</v>
      </c>
      <c r="T165">
        <v>1.1970000000000001</v>
      </c>
      <c r="U165">
        <v>0.65400000000000003</v>
      </c>
      <c r="V165" t="b">
        <v>1</v>
      </c>
      <c r="W165" t="s">
        <v>50</v>
      </c>
    </row>
    <row r="166" spans="2:23" x14ac:dyDescent="0.3">
      <c r="B166" s="2">
        <f t="shared" si="2"/>
        <v>2.4867932000001929</v>
      </c>
      <c r="C166">
        <v>3224.1620908</v>
      </c>
      <c r="D166" t="s">
        <v>37</v>
      </c>
      <c r="E166" t="s">
        <v>37</v>
      </c>
      <c r="F166" t="s">
        <v>37</v>
      </c>
      <c r="G166" t="s">
        <v>37</v>
      </c>
      <c r="H166" t="s">
        <v>37</v>
      </c>
      <c r="I166" t="s">
        <v>37</v>
      </c>
      <c r="J166" t="s">
        <v>37</v>
      </c>
      <c r="K166">
        <v>0</v>
      </c>
      <c r="L166">
        <v>0</v>
      </c>
      <c r="M166">
        <v>0</v>
      </c>
      <c r="N166">
        <v>0</v>
      </c>
      <c r="O166">
        <v>-5.00901947021484E-2</v>
      </c>
      <c r="P166">
        <v>-3.1463598251342699E-2</v>
      </c>
      <c r="Q166">
        <v>0</v>
      </c>
      <c r="R166">
        <v>160.673</v>
      </c>
      <c r="S166">
        <v>-0.112</v>
      </c>
      <c r="T166">
        <v>1.1970000000000001</v>
      </c>
      <c r="U166">
        <v>0.65400000000000003</v>
      </c>
      <c r="V166" t="b">
        <v>1</v>
      </c>
      <c r="W166" t="s">
        <v>50</v>
      </c>
    </row>
    <row r="167" spans="2:23" x14ac:dyDescent="0.3">
      <c r="B167" s="2">
        <f t="shared" si="2"/>
        <v>2.5027567000001909</v>
      </c>
      <c r="C167">
        <v>3224.1780543</v>
      </c>
      <c r="D167" t="s">
        <v>37</v>
      </c>
      <c r="E167" t="s">
        <v>37</v>
      </c>
      <c r="F167" t="s">
        <v>37</v>
      </c>
      <c r="G167" t="s">
        <v>37</v>
      </c>
      <c r="H167" t="s">
        <v>37</v>
      </c>
      <c r="I167" t="s">
        <v>37</v>
      </c>
      <c r="J167" t="s">
        <v>37</v>
      </c>
      <c r="K167">
        <v>0</v>
      </c>
      <c r="L167">
        <v>0</v>
      </c>
      <c r="M167">
        <v>0</v>
      </c>
      <c r="N167">
        <v>0</v>
      </c>
      <c r="O167">
        <v>-1.7102775573730401E-2</v>
      </c>
      <c r="P167">
        <v>2.00929737091064E-3</v>
      </c>
      <c r="Q167">
        <v>0</v>
      </c>
      <c r="R167">
        <v>160.71600000000001</v>
      </c>
      <c r="S167">
        <v>-0.67200000000000004</v>
      </c>
      <c r="T167">
        <v>1.077</v>
      </c>
      <c r="U167">
        <v>0.65500000000000003</v>
      </c>
      <c r="V167" t="b">
        <v>1</v>
      </c>
      <c r="W167" t="s">
        <v>50</v>
      </c>
    </row>
    <row r="168" spans="2:23" x14ac:dyDescent="0.3">
      <c r="B168" s="2">
        <f t="shared" si="2"/>
        <v>2.5181257000003825</v>
      </c>
      <c r="C168">
        <v>3224.1934233000002</v>
      </c>
      <c r="D168" t="s">
        <v>37</v>
      </c>
      <c r="E168" t="s">
        <v>37</v>
      </c>
      <c r="F168" t="s">
        <v>37</v>
      </c>
      <c r="G168" t="s">
        <v>37</v>
      </c>
      <c r="H168" t="s">
        <v>37</v>
      </c>
      <c r="I168" t="s">
        <v>37</v>
      </c>
      <c r="J168" t="s">
        <v>37</v>
      </c>
      <c r="K168">
        <v>0</v>
      </c>
      <c r="L168">
        <v>0</v>
      </c>
      <c r="M168">
        <v>0</v>
      </c>
      <c r="N168">
        <v>0</v>
      </c>
      <c r="O168">
        <v>-1.7102775573730401E-2</v>
      </c>
      <c r="P168">
        <v>2.00929737091064E-3</v>
      </c>
      <c r="Q168">
        <v>0</v>
      </c>
      <c r="R168">
        <v>160.71600000000001</v>
      </c>
      <c r="S168">
        <v>-0.67200000000000004</v>
      </c>
      <c r="T168">
        <v>1.077</v>
      </c>
      <c r="U168">
        <v>0.65500000000000003</v>
      </c>
      <c r="V168" t="b">
        <v>1</v>
      </c>
      <c r="W168" t="s">
        <v>50</v>
      </c>
    </row>
    <row r="169" spans="2:23" x14ac:dyDescent="0.3">
      <c r="B169" s="2">
        <f t="shared" si="2"/>
        <v>2.5331108000000313</v>
      </c>
      <c r="C169">
        <v>3224.2084083999998</v>
      </c>
      <c r="D169" t="s">
        <v>37</v>
      </c>
      <c r="E169" t="s">
        <v>37</v>
      </c>
      <c r="F169" t="s">
        <v>37</v>
      </c>
      <c r="G169" t="s">
        <v>37</v>
      </c>
      <c r="H169" t="s">
        <v>37</v>
      </c>
      <c r="I169" t="s">
        <v>37</v>
      </c>
      <c r="J169" t="s">
        <v>37</v>
      </c>
      <c r="K169">
        <v>0</v>
      </c>
      <c r="L169">
        <v>0</v>
      </c>
      <c r="M169">
        <v>0</v>
      </c>
      <c r="N169">
        <v>0</v>
      </c>
      <c r="O169">
        <v>-1.7102775573730401E-2</v>
      </c>
      <c r="P169">
        <v>2.00929737091064E-3</v>
      </c>
      <c r="Q169">
        <v>0</v>
      </c>
      <c r="R169">
        <v>160.71600000000001</v>
      </c>
      <c r="S169">
        <v>-0.67200000000000004</v>
      </c>
      <c r="T169">
        <v>1.077</v>
      </c>
      <c r="U169">
        <v>0.65500000000000003</v>
      </c>
      <c r="V169" t="b">
        <v>1</v>
      </c>
      <c r="W169" t="s">
        <v>50</v>
      </c>
    </row>
    <row r="170" spans="2:23" x14ac:dyDescent="0.3">
      <c r="B170" s="2">
        <f t="shared" si="2"/>
        <v>2.5489589000003434</v>
      </c>
      <c r="C170">
        <v>3224.2242565000001</v>
      </c>
      <c r="D170" t="s">
        <v>37</v>
      </c>
      <c r="E170" t="s">
        <v>37</v>
      </c>
      <c r="F170" t="s">
        <v>37</v>
      </c>
      <c r="G170" t="s">
        <v>37</v>
      </c>
      <c r="H170" t="s">
        <v>37</v>
      </c>
      <c r="I170" t="s">
        <v>37</v>
      </c>
      <c r="J170" t="s">
        <v>37</v>
      </c>
      <c r="K170">
        <v>0</v>
      </c>
      <c r="L170">
        <v>0</v>
      </c>
      <c r="M170">
        <v>0</v>
      </c>
      <c r="N170">
        <v>0</v>
      </c>
      <c r="O170">
        <v>-1.7102775573730401E-2</v>
      </c>
      <c r="P170">
        <v>2.00929737091064E-3</v>
      </c>
      <c r="Q170">
        <v>0</v>
      </c>
      <c r="R170">
        <v>160.71600000000001</v>
      </c>
      <c r="S170">
        <v>-0.67200000000000004</v>
      </c>
      <c r="T170">
        <v>1.077</v>
      </c>
      <c r="U170">
        <v>0.65500000000000003</v>
      </c>
      <c r="V170" t="b">
        <v>1</v>
      </c>
      <c r="W170" t="s">
        <v>50</v>
      </c>
    </row>
    <row r="171" spans="2:23" x14ac:dyDescent="0.3">
      <c r="B171" s="2">
        <f t="shared" si="2"/>
        <v>2.5650508000003356</v>
      </c>
      <c r="C171">
        <v>3224.2403484000001</v>
      </c>
      <c r="D171" t="s">
        <v>37</v>
      </c>
      <c r="E171" t="s">
        <v>37</v>
      </c>
      <c r="F171" t="s">
        <v>37</v>
      </c>
      <c r="G171" t="s">
        <v>37</v>
      </c>
      <c r="H171" t="s">
        <v>37</v>
      </c>
      <c r="I171" t="s">
        <v>37</v>
      </c>
      <c r="J171" t="s">
        <v>37</v>
      </c>
      <c r="K171">
        <v>0</v>
      </c>
      <c r="L171">
        <v>0</v>
      </c>
      <c r="M171">
        <v>0</v>
      </c>
      <c r="N171">
        <v>0</v>
      </c>
      <c r="O171">
        <v>-1.7102775573730401E-2</v>
      </c>
      <c r="P171">
        <v>2.00929737091064E-3</v>
      </c>
      <c r="Q171">
        <v>0</v>
      </c>
      <c r="R171">
        <v>160.71600000000001</v>
      </c>
      <c r="S171">
        <v>-0.67200000000000004</v>
      </c>
      <c r="T171">
        <v>1.077</v>
      </c>
      <c r="U171">
        <v>0.65500000000000003</v>
      </c>
      <c r="V171" t="b">
        <v>1</v>
      </c>
      <c r="W171" t="s">
        <v>50</v>
      </c>
    </row>
    <row r="172" spans="2:23" x14ac:dyDescent="0.3">
      <c r="B172" s="2">
        <f t="shared" si="2"/>
        <v>2.5803182000004199</v>
      </c>
      <c r="C172">
        <v>3224.2556158000002</v>
      </c>
      <c r="D172" t="s">
        <v>37</v>
      </c>
      <c r="E172" t="s">
        <v>37</v>
      </c>
      <c r="F172" t="s">
        <v>37</v>
      </c>
      <c r="G172" t="s">
        <v>37</v>
      </c>
      <c r="H172" t="s">
        <v>37</v>
      </c>
      <c r="I172" t="s">
        <v>37</v>
      </c>
      <c r="J172" t="s">
        <v>37</v>
      </c>
      <c r="K172">
        <v>0</v>
      </c>
      <c r="L172">
        <v>0</v>
      </c>
      <c r="M172">
        <v>0</v>
      </c>
      <c r="N172">
        <v>0</v>
      </c>
      <c r="O172">
        <v>1.07672138214111E-2</v>
      </c>
      <c r="P172">
        <v>9.3061246871948208E-3</v>
      </c>
      <c r="Q172">
        <v>0</v>
      </c>
      <c r="R172">
        <v>160.73699999999999</v>
      </c>
      <c r="S172">
        <v>-0.77600000000000002</v>
      </c>
      <c r="T172">
        <v>0.623</v>
      </c>
      <c r="U172">
        <v>0.65900000000000003</v>
      </c>
      <c r="V172" t="b">
        <v>1</v>
      </c>
      <c r="W172" t="s">
        <v>50</v>
      </c>
    </row>
    <row r="173" spans="2:23" x14ac:dyDescent="0.3">
      <c r="B173" s="2">
        <f t="shared" si="2"/>
        <v>2.5957627000002503</v>
      </c>
      <c r="C173">
        <v>3224.2710603</v>
      </c>
      <c r="D173">
        <v>195</v>
      </c>
      <c r="E173">
        <v>19.5</v>
      </c>
      <c r="F173">
        <v>195.738</v>
      </c>
      <c r="G173">
        <v>23.298999999999999</v>
      </c>
      <c r="H173">
        <v>195.738</v>
      </c>
      <c r="I173">
        <v>23.298999999999999</v>
      </c>
      <c r="J173" t="s">
        <v>37</v>
      </c>
      <c r="K173">
        <v>0</v>
      </c>
      <c r="L173">
        <v>0</v>
      </c>
      <c r="M173">
        <v>0</v>
      </c>
      <c r="N173">
        <v>0</v>
      </c>
      <c r="O173">
        <v>1.07672138214111E-2</v>
      </c>
      <c r="P173">
        <v>9.3061246871948208E-3</v>
      </c>
      <c r="Q173">
        <v>0</v>
      </c>
      <c r="R173">
        <v>160.73699999999999</v>
      </c>
      <c r="S173">
        <v>-0.77600000000000002</v>
      </c>
      <c r="T173">
        <v>0.623</v>
      </c>
      <c r="U173">
        <v>0.65900000000000003</v>
      </c>
      <c r="V173" t="b">
        <v>1</v>
      </c>
      <c r="W173" t="s">
        <v>50</v>
      </c>
    </row>
    <row r="174" spans="2:23" x14ac:dyDescent="0.3">
      <c r="B174" s="2">
        <f t="shared" si="2"/>
        <v>2.6111039000002165</v>
      </c>
      <c r="C174">
        <v>3224.2864015</v>
      </c>
      <c r="D174">
        <v>195</v>
      </c>
      <c r="E174">
        <v>19.5</v>
      </c>
      <c r="F174">
        <v>195.86099999999999</v>
      </c>
      <c r="G174">
        <v>23.561</v>
      </c>
      <c r="H174">
        <v>195.86099999999999</v>
      </c>
      <c r="I174">
        <v>23.561</v>
      </c>
      <c r="J174" t="s">
        <v>37</v>
      </c>
      <c r="K174">
        <v>0</v>
      </c>
      <c r="L174">
        <v>0</v>
      </c>
      <c r="M174">
        <v>0</v>
      </c>
      <c r="N174">
        <v>0</v>
      </c>
      <c r="O174">
        <v>1.07672138214111E-2</v>
      </c>
      <c r="P174">
        <v>9.3061246871948208E-3</v>
      </c>
      <c r="Q174">
        <v>0</v>
      </c>
      <c r="R174">
        <v>160.73699999999999</v>
      </c>
      <c r="S174">
        <v>-0.77600000000000002</v>
      </c>
      <c r="T174">
        <v>0.623</v>
      </c>
      <c r="U174">
        <v>0.65900000000000003</v>
      </c>
      <c r="V174" t="b">
        <v>1</v>
      </c>
      <c r="W174" t="s">
        <v>50</v>
      </c>
    </row>
    <row r="175" spans="2:23" x14ac:dyDescent="0.3">
      <c r="B175" s="2">
        <f t="shared" si="2"/>
        <v>2.6267086000002564</v>
      </c>
      <c r="C175">
        <v>3224.3020062000001</v>
      </c>
      <c r="D175">
        <v>195</v>
      </c>
      <c r="E175">
        <v>19.5</v>
      </c>
      <c r="F175">
        <v>196.107</v>
      </c>
      <c r="G175">
        <v>23.823</v>
      </c>
      <c r="H175">
        <v>196.107</v>
      </c>
      <c r="I175">
        <v>23.823</v>
      </c>
      <c r="J175" t="s">
        <v>37</v>
      </c>
      <c r="K175">
        <v>0</v>
      </c>
      <c r="L175">
        <v>0</v>
      </c>
      <c r="M175">
        <v>0</v>
      </c>
      <c r="N175">
        <v>0</v>
      </c>
      <c r="O175">
        <v>1.07672138214111E-2</v>
      </c>
      <c r="P175">
        <v>9.3061246871948208E-3</v>
      </c>
      <c r="Q175">
        <v>0</v>
      </c>
      <c r="R175">
        <v>160.73699999999999</v>
      </c>
      <c r="S175">
        <v>-0.77600000000000002</v>
      </c>
      <c r="T175">
        <v>0.623</v>
      </c>
      <c r="U175">
        <v>0.65900000000000003</v>
      </c>
      <c r="V175" t="b">
        <v>1</v>
      </c>
      <c r="W175" t="s">
        <v>50</v>
      </c>
    </row>
    <row r="176" spans="2:23" x14ac:dyDescent="0.3">
      <c r="B176" s="2">
        <f t="shared" si="2"/>
        <v>2.6419436000001042</v>
      </c>
      <c r="C176">
        <v>3224.3172411999999</v>
      </c>
      <c r="D176">
        <v>195</v>
      </c>
      <c r="E176">
        <v>19.5</v>
      </c>
      <c r="F176">
        <v>196.35300000000001</v>
      </c>
      <c r="G176">
        <v>23.823</v>
      </c>
      <c r="H176">
        <v>196.35300000000001</v>
      </c>
      <c r="I176">
        <v>23.823</v>
      </c>
      <c r="J176" t="s">
        <v>37</v>
      </c>
      <c r="K176">
        <v>0</v>
      </c>
      <c r="L176">
        <v>0</v>
      </c>
      <c r="M176">
        <v>0</v>
      </c>
      <c r="N176">
        <v>0</v>
      </c>
      <c r="O176">
        <v>2.7816658020019501E-2</v>
      </c>
      <c r="P176">
        <v>-9.7884616851806605E-3</v>
      </c>
      <c r="Q176">
        <v>0</v>
      </c>
      <c r="R176">
        <v>160.68299999999999</v>
      </c>
      <c r="S176">
        <v>-0.68500000000000005</v>
      </c>
      <c r="T176">
        <v>8.3000000000000004E-2</v>
      </c>
      <c r="U176">
        <v>0.65900000000000003</v>
      </c>
      <c r="V176" t="b">
        <v>1</v>
      </c>
      <c r="W176" t="s">
        <v>50</v>
      </c>
    </row>
    <row r="177" spans="2:23" x14ac:dyDescent="0.3">
      <c r="B177" s="2">
        <f t="shared" si="2"/>
        <v>2.6580228000002535</v>
      </c>
      <c r="C177">
        <v>3224.3333204</v>
      </c>
      <c r="D177">
        <v>195</v>
      </c>
      <c r="E177">
        <v>19.5</v>
      </c>
      <c r="F177">
        <v>196.72200000000001</v>
      </c>
      <c r="G177">
        <v>23.692</v>
      </c>
      <c r="H177">
        <v>196.72200000000001</v>
      </c>
      <c r="I177">
        <v>23.692</v>
      </c>
      <c r="J177" t="s">
        <v>37</v>
      </c>
      <c r="K177">
        <v>0</v>
      </c>
      <c r="L177">
        <v>0</v>
      </c>
      <c r="M177">
        <v>0</v>
      </c>
      <c r="N177">
        <v>0</v>
      </c>
      <c r="O177">
        <v>2.7816658020019501E-2</v>
      </c>
      <c r="P177">
        <v>-9.7884616851806605E-3</v>
      </c>
      <c r="Q177">
        <v>0</v>
      </c>
      <c r="R177">
        <v>160.68299999999999</v>
      </c>
      <c r="S177">
        <v>-0.68500000000000005</v>
      </c>
      <c r="T177">
        <v>8.3000000000000004E-2</v>
      </c>
      <c r="U177">
        <v>0.65900000000000003</v>
      </c>
      <c r="V177" t="b">
        <v>1</v>
      </c>
      <c r="W177" t="s">
        <v>50</v>
      </c>
    </row>
    <row r="178" spans="2:23" x14ac:dyDescent="0.3">
      <c r="B178" s="2">
        <f t="shared" si="2"/>
        <v>2.6738740000000689</v>
      </c>
      <c r="C178">
        <v>3224.3491715999999</v>
      </c>
      <c r="D178">
        <v>195</v>
      </c>
      <c r="E178">
        <v>19.5</v>
      </c>
      <c r="F178">
        <v>197.09100000000001</v>
      </c>
      <c r="G178">
        <v>23.298999999999999</v>
      </c>
      <c r="H178">
        <v>197.09100000000001</v>
      </c>
      <c r="I178">
        <v>23.298999999999999</v>
      </c>
      <c r="J178" t="s">
        <v>37</v>
      </c>
      <c r="K178">
        <v>0</v>
      </c>
      <c r="L178">
        <v>0</v>
      </c>
      <c r="M178">
        <v>0</v>
      </c>
      <c r="N178">
        <v>0</v>
      </c>
      <c r="O178">
        <v>2.7816658020019501E-2</v>
      </c>
      <c r="P178">
        <v>-9.7884616851806605E-3</v>
      </c>
      <c r="Q178">
        <v>0</v>
      </c>
      <c r="R178">
        <v>160.68299999999999</v>
      </c>
      <c r="S178">
        <v>-0.68500000000000005</v>
      </c>
      <c r="T178">
        <v>8.3000000000000004E-2</v>
      </c>
      <c r="U178">
        <v>0.65900000000000003</v>
      </c>
      <c r="V178" t="b">
        <v>1</v>
      </c>
      <c r="W178" t="s">
        <v>50</v>
      </c>
    </row>
    <row r="179" spans="2:23" x14ac:dyDescent="0.3">
      <c r="B179" s="2">
        <f t="shared" si="2"/>
        <v>2.6894137000003866</v>
      </c>
      <c r="C179">
        <v>3224.3647113000002</v>
      </c>
      <c r="D179">
        <v>195</v>
      </c>
      <c r="E179">
        <v>19.5</v>
      </c>
      <c r="F179">
        <v>197.46</v>
      </c>
      <c r="G179">
        <v>22.774999999999999</v>
      </c>
      <c r="H179">
        <v>197.46</v>
      </c>
      <c r="I179">
        <v>22.774999999999999</v>
      </c>
      <c r="J179" t="s">
        <v>37</v>
      </c>
      <c r="K179">
        <v>0</v>
      </c>
      <c r="L179">
        <v>0</v>
      </c>
      <c r="M179">
        <v>0</v>
      </c>
      <c r="N179">
        <v>0</v>
      </c>
      <c r="O179">
        <v>2.7816658020019501E-2</v>
      </c>
      <c r="P179">
        <v>-9.7884616851806605E-3</v>
      </c>
      <c r="Q179">
        <v>0</v>
      </c>
      <c r="R179">
        <v>160.68299999999999</v>
      </c>
      <c r="S179">
        <v>-0.68500000000000005</v>
      </c>
      <c r="T179">
        <v>8.3000000000000004E-2</v>
      </c>
      <c r="U179">
        <v>0.65900000000000003</v>
      </c>
      <c r="V179" t="b">
        <v>1</v>
      </c>
      <c r="W179" t="s">
        <v>50</v>
      </c>
    </row>
    <row r="180" spans="2:23" x14ac:dyDescent="0.3">
      <c r="B180" s="2">
        <f t="shared" si="2"/>
        <v>2.7046626000001197</v>
      </c>
      <c r="C180">
        <v>3224.3799601999999</v>
      </c>
      <c r="D180">
        <v>195</v>
      </c>
      <c r="E180">
        <v>19.5</v>
      </c>
      <c r="F180">
        <v>197.70599999999999</v>
      </c>
      <c r="G180">
        <v>22.251000000000001</v>
      </c>
      <c r="H180">
        <v>197.70599999999999</v>
      </c>
      <c r="I180">
        <v>22.251000000000001</v>
      </c>
      <c r="J180" t="s">
        <v>37</v>
      </c>
      <c r="K180">
        <v>0</v>
      </c>
      <c r="L180">
        <v>0</v>
      </c>
      <c r="M180">
        <v>0</v>
      </c>
      <c r="N180">
        <v>0</v>
      </c>
      <c r="O180">
        <v>2.7816658020019501E-2</v>
      </c>
      <c r="P180">
        <v>-9.7884616851806605E-3</v>
      </c>
      <c r="Q180">
        <v>0</v>
      </c>
      <c r="R180">
        <v>160.68299999999999</v>
      </c>
      <c r="S180">
        <v>-0.68500000000000005</v>
      </c>
      <c r="T180">
        <v>8.3000000000000004E-2</v>
      </c>
      <c r="U180">
        <v>0.65900000000000003</v>
      </c>
      <c r="V180" t="b">
        <v>1</v>
      </c>
      <c r="W180" t="s">
        <v>50</v>
      </c>
    </row>
    <row r="181" spans="2:23" x14ac:dyDescent="0.3">
      <c r="B181" s="2">
        <f t="shared" si="2"/>
        <v>2.7199347000000671</v>
      </c>
      <c r="C181">
        <v>3224.3952322999999</v>
      </c>
      <c r="D181">
        <v>195</v>
      </c>
      <c r="E181">
        <v>19.5</v>
      </c>
      <c r="F181">
        <v>197.952</v>
      </c>
      <c r="G181">
        <v>21.465</v>
      </c>
      <c r="H181">
        <v>197.952</v>
      </c>
      <c r="I181">
        <v>21.465</v>
      </c>
      <c r="J181" t="s">
        <v>37</v>
      </c>
      <c r="K181">
        <v>0</v>
      </c>
      <c r="L181">
        <v>0</v>
      </c>
      <c r="M181">
        <v>0</v>
      </c>
      <c r="N181">
        <v>0</v>
      </c>
      <c r="O181">
        <v>7.8250793457031204E-2</v>
      </c>
      <c r="P181">
        <v>-3.6078083038330003E-2</v>
      </c>
      <c r="Q181">
        <v>0</v>
      </c>
      <c r="R181">
        <v>160.51900000000001</v>
      </c>
      <c r="S181">
        <v>-0.67300000000000004</v>
      </c>
      <c r="T181">
        <v>-0.20300000000000001</v>
      </c>
      <c r="U181">
        <v>0.65900000000000003</v>
      </c>
      <c r="V181" t="b">
        <v>1</v>
      </c>
      <c r="W181" t="s">
        <v>50</v>
      </c>
    </row>
    <row r="182" spans="2:23" x14ac:dyDescent="0.3">
      <c r="B182" s="2">
        <f t="shared" si="2"/>
        <v>2.7358025000003181</v>
      </c>
      <c r="C182">
        <v>3224.4111001000001</v>
      </c>
      <c r="D182">
        <v>195</v>
      </c>
      <c r="E182">
        <v>19.5</v>
      </c>
      <c r="F182">
        <v>197.952</v>
      </c>
      <c r="G182">
        <v>20.678999999999998</v>
      </c>
      <c r="H182">
        <v>197.952</v>
      </c>
      <c r="I182">
        <v>20.678999999999998</v>
      </c>
      <c r="J182" t="s">
        <v>37</v>
      </c>
      <c r="K182">
        <v>0</v>
      </c>
      <c r="L182">
        <v>0</v>
      </c>
      <c r="M182">
        <v>0</v>
      </c>
      <c r="N182">
        <v>0</v>
      </c>
      <c r="O182">
        <v>7.8250793457031204E-2</v>
      </c>
      <c r="P182">
        <v>-3.6078083038330003E-2</v>
      </c>
      <c r="Q182">
        <v>0</v>
      </c>
      <c r="R182">
        <v>160.51900000000001</v>
      </c>
      <c r="S182">
        <v>-0.67300000000000004</v>
      </c>
      <c r="T182">
        <v>-0.20300000000000001</v>
      </c>
      <c r="U182">
        <v>0.65900000000000003</v>
      </c>
      <c r="V182" t="b">
        <v>1</v>
      </c>
      <c r="W182" t="s">
        <v>50</v>
      </c>
    </row>
    <row r="183" spans="2:23" x14ac:dyDescent="0.3">
      <c r="B183" s="2">
        <f t="shared" si="2"/>
        <v>2.7508734000002733</v>
      </c>
      <c r="C183">
        <v>3224.4261710000001</v>
      </c>
      <c r="D183">
        <v>195</v>
      </c>
      <c r="E183">
        <v>19.5</v>
      </c>
      <c r="F183">
        <v>197.952</v>
      </c>
      <c r="G183">
        <v>19.762</v>
      </c>
      <c r="H183">
        <v>197.952</v>
      </c>
      <c r="I183">
        <v>19.762</v>
      </c>
      <c r="J183" t="s">
        <v>37</v>
      </c>
      <c r="K183">
        <v>0</v>
      </c>
      <c r="L183">
        <v>0</v>
      </c>
      <c r="M183">
        <v>0</v>
      </c>
      <c r="N183">
        <v>0</v>
      </c>
      <c r="O183">
        <v>7.8250793457031204E-2</v>
      </c>
      <c r="P183">
        <v>-3.6078083038330003E-2</v>
      </c>
      <c r="Q183">
        <v>0</v>
      </c>
      <c r="R183">
        <v>160.51900000000001</v>
      </c>
      <c r="S183">
        <v>-0.67300000000000004</v>
      </c>
      <c r="T183">
        <v>-0.20300000000000001</v>
      </c>
      <c r="U183">
        <v>0.65900000000000003</v>
      </c>
      <c r="V183" t="b">
        <v>1</v>
      </c>
      <c r="W183" t="s">
        <v>50</v>
      </c>
    </row>
    <row r="184" spans="2:23" x14ac:dyDescent="0.3">
      <c r="B184" s="2">
        <f t="shared" si="2"/>
        <v>2.7659552000000076</v>
      </c>
      <c r="C184">
        <v>3224.4412527999998</v>
      </c>
      <c r="D184">
        <v>195</v>
      </c>
      <c r="E184">
        <v>19.5</v>
      </c>
      <c r="F184">
        <v>197.82900000000001</v>
      </c>
      <c r="G184">
        <v>18.975999999999999</v>
      </c>
      <c r="H184">
        <v>197.82900000000001</v>
      </c>
      <c r="I184">
        <v>18.975999999999999</v>
      </c>
      <c r="J184" t="s">
        <v>37</v>
      </c>
      <c r="K184">
        <v>0</v>
      </c>
      <c r="L184">
        <v>0</v>
      </c>
      <c r="M184">
        <v>0</v>
      </c>
      <c r="N184">
        <v>0</v>
      </c>
      <c r="O184">
        <v>0.13618652343750001</v>
      </c>
      <c r="P184">
        <v>-3.3250946044921799E-2</v>
      </c>
      <c r="Q184">
        <v>0</v>
      </c>
      <c r="R184">
        <v>160.55799999999999</v>
      </c>
      <c r="S184">
        <v>-0.11700000000000001</v>
      </c>
      <c r="T184">
        <v>0.104</v>
      </c>
      <c r="U184">
        <v>0.66500000000000004</v>
      </c>
      <c r="V184" t="b">
        <v>1</v>
      </c>
      <c r="W184" t="s">
        <v>50</v>
      </c>
    </row>
    <row r="185" spans="2:23" x14ac:dyDescent="0.3">
      <c r="B185" s="2">
        <f t="shared" si="2"/>
        <v>2.7808774000000085</v>
      </c>
      <c r="C185">
        <v>3224.4561749999998</v>
      </c>
      <c r="D185">
        <v>195</v>
      </c>
      <c r="E185">
        <v>19.5</v>
      </c>
      <c r="F185">
        <v>197.583</v>
      </c>
      <c r="G185">
        <v>17.928000000000001</v>
      </c>
      <c r="H185">
        <v>197.583</v>
      </c>
      <c r="I185">
        <v>17.928000000000001</v>
      </c>
      <c r="J185" t="s">
        <v>37</v>
      </c>
      <c r="K185">
        <v>0</v>
      </c>
      <c r="L185">
        <v>0</v>
      </c>
      <c r="M185">
        <v>0</v>
      </c>
      <c r="N185">
        <v>0</v>
      </c>
      <c r="O185">
        <v>0.13618652343750001</v>
      </c>
      <c r="P185">
        <v>-3.3250946044921799E-2</v>
      </c>
      <c r="Q185">
        <v>0</v>
      </c>
      <c r="R185">
        <v>160.55799999999999</v>
      </c>
      <c r="S185">
        <v>-0.11700000000000001</v>
      </c>
      <c r="T185">
        <v>0.104</v>
      </c>
      <c r="U185">
        <v>0.66500000000000004</v>
      </c>
      <c r="V185" t="b">
        <v>1</v>
      </c>
      <c r="W185" t="s">
        <v>50</v>
      </c>
    </row>
    <row r="186" spans="2:23" x14ac:dyDescent="0.3">
      <c r="B186" s="2">
        <f t="shared" si="2"/>
        <v>2.7956675000000359</v>
      </c>
      <c r="C186">
        <v>3224.4709650999998</v>
      </c>
      <c r="D186">
        <v>195</v>
      </c>
      <c r="E186">
        <v>19.5</v>
      </c>
      <c r="F186">
        <v>197.46</v>
      </c>
      <c r="G186">
        <v>16.748999999999999</v>
      </c>
      <c r="H186">
        <v>197.46</v>
      </c>
      <c r="I186">
        <v>16.748999999999999</v>
      </c>
      <c r="J186" t="s">
        <v>37</v>
      </c>
      <c r="K186">
        <v>0</v>
      </c>
      <c r="L186">
        <v>0</v>
      </c>
      <c r="M186">
        <v>0</v>
      </c>
      <c r="N186">
        <v>0</v>
      </c>
      <c r="O186">
        <v>0.13618652343750001</v>
      </c>
      <c r="P186">
        <v>-3.3250946044921799E-2</v>
      </c>
      <c r="Q186">
        <v>0</v>
      </c>
      <c r="R186">
        <v>160.55799999999999</v>
      </c>
      <c r="S186">
        <v>-0.11700000000000001</v>
      </c>
      <c r="T186">
        <v>0.104</v>
      </c>
      <c r="U186">
        <v>0.66500000000000004</v>
      </c>
      <c r="V186" t="b">
        <v>1</v>
      </c>
      <c r="W186" t="s">
        <v>50</v>
      </c>
    </row>
    <row r="187" spans="2:23" x14ac:dyDescent="0.3">
      <c r="B187" s="2">
        <f t="shared" si="2"/>
        <v>2.811707800000022</v>
      </c>
      <c r="C187">
        <v>3224.4870053999998</v>
      </c>
      <c r="D187">
        <v>195</v>
      </c>
      <c r="E187">
        <v>19.5</v>
      </c>
      <c r="F187">
        <v>197.46</v>
      </c>
      <c r="G187">
        <v>15.701000000000001</v>
      </c>
      <c r="H187">
        <v>197.46</v>
      </c>
      <c r="I187">
        <v>15.701000000000001</v>
      </c>
      <c r="J187" t="s">
        <v>37</v>
      </c>
      <c r="K187">
        <v>0</v>
      </c>
      <c r="L187">
        <v>0</v>
      </c>
      <c r="M187">
        <v>0</v>
      </c>
      <c r="N187">
        <v>0</v>
      </c>
      <c r="O187">
        <v>0.13618652343750001</v>
      </c>
      <c r="P187">
        <v>-3.3250946044921799E-2</v>
      </c>
      <c r="Q187">
        <v>0</v>
      </c>
      <c r="R187">
        <v>160.55799999999999</v>
      </c>
      <c r="S187">
        <v>-0.11700000000000001</v>
      </c>
      <c r="T187">
        <v>0.104</v>
      </c>
      <c r="U187">
        <v>0.66500000000000004</v>
      </c>
      <c r="V187" t="b">
        <v>1</v>
      </c>
      <c r="W187" t="s">
        <v>50</v>
      </c>
    </row>
    <row r="188" spans="2:23" x14ac:dyDescent="0.3">
      <c r="B188" s="2">
        <f t="shared" si="2"/>
        <v>2.8270329000001766</v>
      </c>
      <c r="C188">
        <v>3224.5023305</v>
      </c>
      <c r="D188">
        <v>195</v>
      </c>
      <c r="E188">
        <v>19.5</v>
      </c>
      <c r="F188">
        <v>197.583</v>
      </c>
      <c r="G188">
        <v>14.391</v>
      </c>
      <c r="H188">
        <v>197.583</v>
      </c>
      <c r="I188">
        <v>14.391</v>
      </c>
      <c r="J188" t="s">
        <v>37</v>
      </c>
      <c r="K188">
        <v>0</v>
      </c>
      <c r="L188">
        <v>0</v>
      </c>
      <c r="M188">
        <v>0</v>
      </c>
      <c r="N188">
        <v>0</v>
      </c>
      <c r="O188">
        <v>0.12669541931152301</v>
      </c>
      <c r="P188">
        <v>-1.2712386131286601E-2</v>
      </c>
      <c r="Q188">
        <v>0</v>
      </c>
      <c r="R188">
        <v>160.66</v>
      </c>
      <c r="S188">
        <v>0.92400000000000004</v>
      </c>
      <c r="T188">
        <v>0.30499999999999999</v>
      </c>
      <c r="U188">
        <v>0.66300000000000003</v>
      </c>
      <c r="V188" t="b">
        <v>1</v>
      </c>
      <c r="W188" t="s">
        <v>50</v>
      </c>
    </row>
    <row r="189" spans="2:23" x14ac:dyDescent="0.3">
      <c r="B189" s="2">
        <f t="shared" si="2"/>
        <v>2.8423720000000685</v>
      </c>
      <c r="C189">
        <v>3224.5176695999999</v>
      </c>
      <c r="D189">
        <v>195</v>
      </c>
      <c r="E189">
        <v>19.5</v>
      </c>
      <c r="F189">
        <v>197.82900000000001</v>
      </c>
      <c r="G189">
        <v>13.212</v>
      </c>
      <c r="H189">
        <v>197.82900000000001</v>
      </c>
      <c r="I189">
        <v>13.212</v>
      </c>
      <c r="J189" t="s">
        <v>37</v>
      </c>
      <c r="K189">
        <v>0</v>
      </c>
      <c r="L189">
        <v>0</v>
      </c>
      <c r="M189">
        <v>0</v>
      </c>
      <c r="N189">
        <v>0</v>
      </c>
      <c r="O189">
        <v>0.12669541931152301</v>
      </c>
      <c r="P189">
        <v>-1.2712386131286601E-2</v>
      </c>
      <c r="Q189">
        <v>0</v>
      </c>
      <c r="R189">
        <v>160.66</v>
      </c>
      <c r="S189">
        <v>0.92400000000000004</v>
      </c>
      <c r="T189">
        <v>0.30499999999999999</v>
      </c>
      <c r="U189">
        <v>0.66300000000000003</v>
      </c>
      <c r="V189" t="b">
        <v>1</v>
      </c>
      <c r="W189" t="s">
        <v>50</v>
      </c>
    </row>
    <row r="190" spans="2:23" x14ac:dyDescent="0.3">
      <c r="B190" s="2">
        <f t="shared" si="2"/>
        <v>2.858502700000372</v>
      </c>
      <c r="C190">
        <v>3224.5338003000002</v>
      </c>
      <c r="D190">
        <v>195</v>
      </c>
      <c r="E190">
        <v>19.5</v>
      </c>
      <c r="F190">
        <v>198.07499999999999</v>
      </c>
      <c r="G190">
        <v>12.164</v>
      </c>
      <c r="H190">
        <v>198.07499999999999</v>
      </c>
      <c r="I190">
        <v>12.164</v>
      </c>
      <c r="J190" t="s">
        <v>37</v>
      </c>
      <c r="K190">
        <v>0</v>
      </c>
      <c r="L190">
        <v>0</v>
      </c>
      <c r="M190">
        <v>0</v>
      </c>
      <c r="N190">
        <v>0</v>
      </c>
      <c r="O190">
        <v>0.12669541931152301</v>
      </c>
      <c r="P190">
        <v>-1.2712386131286601E-2</v>
      </c>
      <c r="Q190">
        <v>0</v>
      </c>
      <c r="R190">
        <v>160.66</v>
      </c>
      <c r="S190">
        <v>0.92400000000000004</v>
      </c>
      <c r="T190">
        <v>0.30499999999999999</v>
      </c>
      <c r="U190">
        <v>0.66300000000000003</v>
      </c>
      <c r="V190" t="b">
        <v>1</v>
      </c>
      <c r="W190" t="s">
        <v>50</v>
      </c>
    </row>
    <row r="191" spans="2:23" x14ac:dyDescent="0.3">
      <c r="B191" s="2">
        <f t="shared" si="2"/>
        <v>2.8740185000001475</v>
      </c>
      <c r="C191">
        <v>3224.5493160999999</v>
      </c>
      <c r="D191">
        <v>195</v>
      </c>
      <c r="E191">
        <v>19.5</v>
      </c>
      <c r="F191">
        <v>198.44399999999999</v>
      </c>
      <c r="G191">
        <v>11.247</v>
      </c>
      <c r="H191">
        <v>198.44399999999999</v>
      </c>
      <c r="I191">
        <v>11.247</v>
      </c>
      <c r="J191" t="s">
        <v>37</v>
      </c>
      <c r="K191">
        <v>0</v>
      </c>
      <c r="L191">
        <v>0</v>
      </c>
      <c r="M191">
        <v>0</v>
      </c>
      <c r="N191">
        <v>0</v>
      </c>
      <c r="O191">
        <v>0.12669541931152301</v>
      </c>
      <c r="P191">
        <v>-1.2712386131286601E-2</v>
      </c>
      <c r="Q191">
        <v>0</v>
      </c>
      <c r="R191">
        <v>160.66</v>
      </c>
      <c r="S191">
        <v>0.92400000000000004</v>
      </c>
      <c r="T191">
        <v>0.30499999999999999</v>
      </c>
      <c r="U191">
        <v>0.66300000000000003</v>
      </c>
      <c r="V191" t="b">
        <v>1</v>
      </c>
      <c r="W191" t="s">
        <v>50</v>
      </c>
    </row>
    <row r="192" spans="2:23" x14ac:dyDescent="0.3">
      <c r="B192" s="2">
        <f t="shared" si="2"/>
        <v>2.8900909000003594</v>
      </c>
      <c r="C192">
        <v>3224.5653885000002</v>
      </c>
      <c r="D192">
        <v>198.9</v>
      </c>
      <c r="E192">
        <v>27.3</v>
      </c>
      <c r="F192">
        <v>197.916</v>
      </c>
      <c r="G192">
        <v>27.954999999999998</v>
      </c>
      <c r="H192">
        <v>197.916</v>
      </c>
      <c r="I192">
        <v>27.954999999999998</v>
      </c>
      <c r="J192" t="s">
        <v>37</v>
      </c>
      <c r="K192">
        <v>0</v>
      </c>
      <c r="L192">
        <v>0</v>
      </c>
      <c r="M192">
        <v>0</v>
      </c>
      <c r="N192">
        <v>0</v>
      </c>
      <c r="O192">
        <v>0.12669541931152301</v>
      </c>
      <c r="P192">
        <v>-1.2712386131286601E-2</v>
      </c>
      <c r="Q192">
        <v>0</v>
      </c>
      <c r="R192">
        <v>160.66</v>
      </c>
      <c r="S192">
        <v>0.92400000000000004</v>
      </c>
      <c r="T192">
        <v>0.30499999999999999</v>
      </c>
      <c r="U192">
        <v>0.66300000000000003</v>
      </c>
      <c r="V192" t="b">
        <v>1</v>
      </c>
      <c r="W192" t="s">
        <v>50</v>
      </c>
    </row>
    <row r="193" spans="2:23" x14ac:dyDescent="0.3">
      <c r="B193" s="2">
        <f t="shared" si="2"/>
        <v>2.9053735000002234</v>
      </c>
      <c r="C193">
        <v>3224.5806711</v>
      </c>
      <c r="D193">
        <v>198.9</v>
      </c>
      <c r="E193">
        <v>27.3</v>
      </c>
      <c r="F193">
        <v>197.916</v>
      </c>
      <c r="G193">
        <v>27.3</v>
      </c>
      <c r="H193">
        <v>197.916</v>
      </c>
      <c r="I193">
        <v>27.3</v>
      </c>
      <c r="J193" t="s">
        <v>37</v>
      </c>
      <c r="K193">
        <v>0</v>
      </c>
      <c r="L193">
        <v>0</v>
      </c>
      <c r="M193">
        <v>0</v>
      </c>
      <c r="N193">
        <v>0</v>
      </c>
      <c r="O193">
        <v>0.119881492614746</v>
      </c>
      <c r="P193">
        <v>-8.78947067260742E-3</v>
      </c>
      <c r="Q193">
        <v>0</v>
      </c>
      <c r="R193">
        <v>160.63</v>
      </c>
      <c r="S193">
        <v>1.748</v>
      </c>
      <c r="T193">
        <v>0.23400000000000001</v>
      </c>
      <c r="U193">
        <v>0.66</v>
      </c>
      <c r="V193" t="b">
        <v>1</v>
      </c>
      <c r="W193" t="s">
        <v>50</v>
      </c>
    </row>
    <row r="194" spans="2:23" x14ac:dyDescent="0.3">
      <c r="B194" s="2">
        <f t="shared" si="2"/>
        <v>2.921306100000038</v>
      </c>
      <c r="C194">
        <v>3224.5966036999998</v>
      </c>
      <c r="D194">
        <v>195</v>
      </c>
      <c r="E194">
        <v>29.25</v>
      </c>
      <c r="F194">
        <v>198.44399999999999</v>
      </c>
      <c r="G194">
        <v>31.477</v>
      </c>
      <c r="H194">
        <v>198.44399999999999</v>
      </c>
      <c r="I194">
        <v>31.477</v>
      </c>
      <c r="J194" t="s">
        <v>37</v>
      </c>
      <c r="K194">
        <v>0</v>
      </c>
      <c r="L194">
        <v>0</v>
      </c>
      <c r="M194">
        <v>0</v>
      </c>
      <c r="N194">
        <v>0</v>
      </c>
      <c r="O194">
        <v>0.119881492614746</v>
      </c>
      <c r="P194">
        <v>-8.78947067260742E-3</v>
      </c>
      <c r="Q194">
        <v>0</v>
      </c>
      <c r="R194">
        <v>160.63</v>
      </c>
      <c r="S194">
        <v>1.748</v>
      </c>
      <c r="T194">
        <v>0.23400000000000001</v>
      </c>
      <c r="U194">
        <v>0.66</v>
      </c>
      <c r="V194" t="b">
        <v>1</v>
      </c>
      <c r="W194" t="s">
        <v>50</v>
      </c>
    </row>
    <row r="195" spans="2:23" x14ac:dyDescent="0.3">
      <c r="B195" s="2">
        <f t="shared" si="2"/>
        <v>2.9369955000001937</v>
      </c>
      <c r="C195">
        <v>3224.6122931</v>
      </c>
      <c r="D195">
        <v>195</v>
      </c>
      <c r="E195">
        <v>29.25</v>
      </c>
      <c r="F195">
        <v>197.952</v>
      </c>
      <c r="G195">
        <v>31.215</v>
      </c>
      <c r="H195">
        <v>197.952</v>
      </c>
      <c r="I195">
        <v>31.215</v>
      </c>
      <c r="J195" t="s">
        <v>37</v>
      </c>
      <c r="K195">
        <v>0</v>
      </c>
      <c r="L195">
        <v>0</v>
      </c>
      <c r="M195">
        <v>0</v>
      </c>
      <c r="N195">
        <v>0</v>
      </c>
      <c r="O195">
        <v>0.119881492614746</v>
      </c>
      <c r="P195">
        <v>-8.78947067260742E-3</v>
      </c>
      <c r="Q195">
        <v>0</v>
      </c>
      <c r="R195">
        <v>160.63</v>
      </c>
      <c r="S195">
        <v>1.748</v>
      </c>
      <c r="T195">
        <v>0.23400000000000001</v>
      </c>
      <c r="U195">
        <v>0.66</v>
      </c>
      <c r="V195" t="b">
        <v>1</v>
      </c>
      <c r="W195" t="s">
        <v>50</v>
      </c>
    </row>
    <row r="196" spans="2:23" x14ac:dyDescent="0.3">
      <c r="B196" s="2">
        <f t="shared" ref="B196:B259" si="3">C196-$C$3</f>
        <v>2.9526253000003635</v>
      </c>
      <c r="C196">
        <v>3224.6279229000002</v>
      </c>
      <c r="D196">
        <v>195</v>
      </c>
      <c r="E196">
        <v>29.25</v>
      </c>
      <c r="F196">
        <v>195.86099999999999</v>
      </c>
      <c r="G196">
        <v>31.608000000000001</v>
      </c>
      <c r="H196">
        <v>195.86099999999999</v>
      </c>
      <c r="I196">
        <v>31.608000000000001</v>
      </c>
      <c r="J196" t="s">
        <v>37</v>
      </c>
      <c r="K196">
        <v>0</v>
      </c>
      <c r="L196">
        <v>0</v>
      </c>
      <c r="M196">
        <v>0</v>
      </c>
      <c r="N196">
        <v>0</v>
      </c>
      <c r="O196">
        <v>0.119881492614746</v>
      </c>
      <c r="P196">
        <v>-8.78947067260742E-3</v>
      </c>
      <c r="Q196">
        <v>0</v>
      </c>
      <c r="R196">
        <v>160.63</v>
      </c>
      <c r="S196">
        <v>1.748</v>
      </c>
      <c r="T196">
        <v>0.23400000000000001</v>
      </c>
      <c r="U196">
        <v>0.66</v>
      </c>
      <c r="V196" t="b">
        <v>1</v>
      </c>
      <c r="W196" t="s">
        <v>50</v>
      </c>
    </row>
    <row r="197" spans="2:23" x14ac:dyDescent="0.3">
      <c r="B197" s="2">
        <f t="shared" si="3"/>
        <v>2.9675974000001588</v>
      </c>
      <c r="C197">
        <v>3224.642895</v>
      </c>
      <c r="D197">
        <v>195</v>
      </c>
      <c r="E197">
        <v>29.25</v>
      </c>
      <c r="F197">
        <v>195.49199999999999</v>
      </c>
      <c r="G197">
        <v>31.739000000000001</v>
      </c>
      <c r="H197">
        <v>197.30951999999999</v>
      </c>
      <c r="I197">
        <v>22.003640000000001</v>
      </c>
      <c r="J197" t="s">
        <v>37</v>
      </c>
      <c r="K197">
        <v>0</v>
      </c>
      <c r="L197">
        <v>0</v>
      </c>
      <c r="M197">
        <v>0</v>
      </c>
      <c r="N197">
        <v>0</v>
      </c>
      <c r="O197">
        <v>0.119881492614746</v>
      </c>
      <c r="P197">
        <v>-8.78947067260742E-3</v>
      </c>
      <c r="Q197">
        <v>0</v>
      </c>
      <c r="R197">
        <v>160.63</v>
      </c>
      <c r="S197">
        <v>1.748</v>
      </c>
      <c r="T197">
        <v>0.23400000000000001</v>
      </c>
      <c r="U197">
        <v>0.66</v>
      </c>
      <c r="V197" t="b">
        <v>1</v>
      </c>
      <c r="W197" t="s">
        <v>50</v>
      </c>
    </row>
    <row r="198" spans="2:23" x14ac:dyDescent="0.3">
      <c r="B198" s="2">
        <f t="shared" si="3"/>
        <v>2.9831733000000895</v>
      </c>
      <c r="C198">
        <v>3224.6584708999999</v>
      </c>
      <c r="D198">
        <v>195</v>
      </c>
      <c r="E198">
        <v>29.25</v>
      </c>
      <c r="F198">
        <v>194.87700000000001</v>
      </c>
      <c r="G198">
        <v>32.262999999999998</v>
      </c>
      <c r="H198">
        <v>197.27508</v>
      </c>
      <c r="I198">
        <v>22.362200000000001</v>
      </c>
      <c r="J198" t="s">
        <v>37</v>
      </c>
      <c r="K198">
        <v>0</v>
      </c>
      <c r="L198">
        <v>0</v>
      </c>
      <c r="M198">
        <v>0</v>
      </c>
      <c r="N198">
        <v>0</v>
      </c>
      <c r="O198">
        <v>0.119881492614746</v>
      </c>
      <c r="P198">
        <v>-8.78947067260742E-3</v>
      </c>
      <c r="Q198">
        <v>0</v>
      </c>
      <c r="R198">
        <v>160.63</v>
      </c>
      <c r="S198">
        <v>1.748</v>
      </c>
      <c r="T198">
        <v>0.23400000000000001</v>
      </c>
      <c r="U198">
        <v>0.66</v>
      </c>
      <c r="V198" t="b">
        <v>1</v>
      </c>
      <c r="W198" t="s">
        <v>50</v>
      </c>
    </row>
    <row r="199" spans="2:23" x14ac:dyDescent="0.3">
      <c r="B199" s="2">
        <f t="shared" si="3"/>
        <v>2.9984130000002551</v>
      </c>
      <c r="C199">
        <v>3224.6737106</v>
      </c>
      <c r="D199">
        <v>198.9</v>
      </c>
      <c r="E199">
        <v>27.3</v>
      </c>
      <c r="F199">
        <v>193.73400000000001</v>
      </c>
      <c r="G199">
        <v>28.216999999999999</v>
      </c>
      <c r="H199">
        <v>197.19</v>
      </c>
      <c r="I199">
        <v>22.5484399999999</v>
      </c>
      <c r="J199" t="s">
        <v>37</v>
      </c>
      <c r="K199">
        <v>0</v>
      </c>
      <c r="L199">
        <v>0</v>
      </c>
      <c r="M199">
        <v>0</v>
      </c>
      <c r="N199">
        <v>0</v>
      </c>
      <c r="O199">
        <v>8.7956520080566397E-2</v>
      </c>
      <c r="P199">
        <v>-3.1327440738677902E-3</v>
      </c>
      <c r="Q199">
        <v>0</v>
      </c>
      <c r="R199">
        <v>160.584</v>
      </c>
      <c r="S199">
        <v>2.359</v>
      </c>
      <c r="T199">
        <v>0.223</v>
      </c>
      <c r="U199">
        <v>0.66400000000000003</v>
      </c>
      <c r="V199" t="b">
        <v>1</v>
      </c>
      <c r="W199" t="s">
        <v>50</v>
      </c>
    </row>
    <row r="200" spans="2:23" x14ac:dyDescent="0.3">
      <c r="B200" s="2">
        <f t="shared" si="3"/>
        <v>3.0135693000001993</v>
      </c>
      <c r="C200">
        <v>3224.6888669</v>
      </c>
      <c r="D200">
        <v>195</v>
      </c>
      <c r="E200">
        <v>19.5</v>
      </c>
      <c r="F200">
        <v>193.77</v>
      </c>
      <c r="G200">
        <v>11.247</v>
      </c>
      <c r="H200">
        <v>197.09652</v>
      </c>
      <c r="I200">
        <v>22.045399999999901</v>
      </c>
      <c r="J200" t="s">
        <v>37</v>
      </c>
      <c r="K200">
        <v>0</v>
      </c>
      <c r="L200">
        <v>0</v>
      </c>
      <c r="M200">
        <v>0</v>
      </c>
      <c r="N200">
        <v>0</v>
      </c>
      <c r="O200">
        <v>8.7956520080566397E-2</v>
      </c>
      <c r="P200">
        <v>-3.1327440738677902E-3</v>
      </c>
      <c r="Q200">
        <v>0</v>
      </c>
      <c r="R200">
        <v>160.584</v>
      </c>
      <c r="S200">
        <v>2.359</v>
      </c>
      <c r="T200">
        <v>0.223</v>
      </c>
      <c r="U200">
        <v>0.66400000000000003</v>
      </c>
      <c r="V200" t="b">
        <v>1</v>
      </c>
      <c r="W200" t="s">
        <v>50</v>
      </c>
    </row>
    <row r="201" spans="2:23" x14ac:dyDescent="0.3">
      <c r="B201" s="2">
        <f t="shared" si="3"/>
        <v>3.0290494000000763</v>
      </c>
      <c r="C201">
        <v>3224.7043469999999</v>
      </c>
      <c r="D201">
        <v>195</v>
      </c>
      <c r="E201">
        <v>19.5</v>
      </c>
      <c r="F201">
        <v>193.524</v>
      </c>
      <c r="G201">
        <v>11.64</v>
      </c>
      <c r="H201">
        <v>196.98336</v>
      </c>
      <c r="I201">
        <v>21.558079999999901</v>
      </c>
      <c r="J201" t="s">
        <v>37</v>
      </c>
      <c r="K201">
        <v>0</v>
      </c>
      <c r="L201">
        <v>0</v>
      </c>
      <c r="M201">
        <v>0</v>
      </c>
      <c r="N201">
        <v>0</v>
      </c>
      <c r="O201">
        <v>9.53630218505859E-2</v>
      </c>
      <c r="P201">
        <v>7.0502414703369097E-3</v>
      </c>
      <c r="Q201">
        <v>0</v>
      </c>
      <c r="R201">
        <v>160.58000000000001</v>
      </c>
      <c r="S201">
        <v>2.5169999999999999</v>
      </c>
      <c r="T201">
        <v>0.27800000000000002</v>
      </c>
      <c r="U201">
        <v>0.66100000000000003</v>
      </c>
      <c r="V201" t="b">
        <v>1</v>
      </c>
      <c r="W201" t="s">
        <v>50</v>
      </c>
    </row>
    <row r="202" spans="2:23" x14ac:dyDescent="0.3">
      <c r="B202" s="2">
        <f t="shared" si="3"/>
        <v>3.0444785000004231</v>
      </c>
      <c r="C202">
        <v>3224.7197761000002</v>
      </c>
      <c r="D202">
        <v>195</v>
      </c>
      <c r="E202">
        <v>19.5</v>
      </c>
      <c r="F202">
        <v>193.27799999999999</v>
      </c>
      <c r="G202">
        <v>12.164</v>
      </c>
      <c r="H202">
        <v>196.84559999999999</v>
      </c>
      <c r="I202">
        <v>21.0969599999999</v>
      </c>
      <c r="J202" t="s">
        <v>37</v>
      </c>
      <c r="K202">
        <v>0</v>
      </c>
      <c r="L202">
        <v>0</v>
      </c>
      <c r="M202">
        <v>0</v>
      </c>
      <c r="N202">
        <v>0</v>
      </c>
      <c r="O202">
        <v>9.53630218505859E-2</v>
      </c>
      <c r="P202">
        <v>7.0502414703369097E-3</v>
      </c>
      <c r="Q202">
        <v>0</v>
      </c>
      <c r="R202">
        <v>160.58000000000001</v>
      </c>
      <c r="S202">
        <v>2.5169999999999999</v>
      </c>
      <c r="T202">
        <v>0.27800000000000002</v>
      </c>
      <c r="U202">
        <v>0.66100000000000003</v>
      </c>
      <c r="V202" t="b">
        <v>1</v>
      </c>
      <c r="W202" t="s">
        <v>50</v>
      </c>
    </row>
    <row r="203" spans="2:23" x14ac:dyDescent="0.3">
      <c r="B203" s="2">
        <f t="shared" si="3"/>
        <v>3.0598500000000968</v>
      </c>
      <c r="C203">
        <v>3224.7351475999999</v>
      </c>
      <c r="D203">
        <v>195</v>
      </c>
      <c r="E203">
        <v>19.5</v>
      </c>
      <c r="F203">
        <v>193.155</v>
      </c>
      <c r="G203">
        <v>12.8189999999999</v>
      </c>
      <c r="H203">
        <v>196.68816000000001</v>
      </c>
      <c r="I203">
        <v>20.6777599999999</v>
      </c>
      <c r="J203" t="s">
        <v>37</v>
      </c>
      <c r="K203">
        <v>0</v>
      </c>
      <c r="L203">
        <v>0</v>
      </c>
      <c r="M203">
        <v>0</v>
      </c>
      <c r="N203">
        <v>0</v>
      </c>
      <c r="O203">
        <v>9.53630218505859E-2</v>
      </c>
      <c r="P203">
        <v>7.0502414703369097E-3</v>
      </c>
      <c r="Q203">
        <v>0</v>
      </c>
      <c r="R203">
        <v>160.58000000000001</v>
      </c>
      <c r="S203">
        <v>2.5169999999999999</v>
      </c>
      <c r="T203">
        <v>0.27800000000000002</v>
      </c>
      <c r="U203">
        <v>0.66100000000000003</v>
      </c>
      <c r="V203" t="b">
        <v>1</v>
      </c>
      <c r="W203" t="s">
        <v>50</v>
      </c>
    </row>
    <row r="204" spans="2:23" x14ac:dyDescent="0.3">
      <c r="B204" s="2">
        <f t="shared" si="3"/>
        <v>3.0750644000004286</v>
      </c>
      <c r="C204">
        <v>3224.7503620000002</v>
      </c>
      <c r="D204">
        <v>195</v>
      </c>
      <c r="E204">
        <v>19.5</v>
      </c>
      <c r="F204">
        <v>193.03200000000001</v>
      </c>
      <c r="G204">
        <v>13.343</v>
      </c>
      <c r="H204">
        <v>196.51104000000001</v>
      </c>
      <c r="I204">
        <v>20.300479999999901</v>
      </c>
      <c r="J204" t="s">
        <v>37</v>
      </c>
      <c r="K204">
        <v>0</v>
      </c>
      <c r="L204">
        <v>0</v>
      </c>
      <c r="M204">
        <v>0</v>
      </c>
      <c r="N204">
        <v>0</v>
      </c>
      <c r="O204">
        <v>9.53630218505859E-2</v>
      </c>
      <c r="P204">
        <v>7.0502414703369097E-3</v>
      </c>
      <c r="Q204">
        <v>0</v>
      </c>
      <c r="R204">
        <v>160.58000000000001</v>
      </c>
      <c r="S204">
        <v>2.5169999999999999</v>
      </c>
      <c r="T204">
        <v>0.27800000000000002</v>
      </c>
      <c r="U204">
        <v>0.66100000000000003</v>
      </c>
      <c r="V204" t="b">
        <v>1</v>
      </c>
      <c r="W204" t="s">
        <v>50</v>
      </c>
    </row>
    <row r="205" spans="2:23" x14ac:dyDescent="0.3">
      <c r="B205" s="2">
        <f t="shared" si="3"/>
        <v>3.0904241000002912</v>
      </c>
      <c r="C205">
        <v>3224.7657217000001</v>
      </c>
      <c r="D205">
        <v>195</v>
      </c>
      <c r="E205">
        <v>19.5</v>
      </c>
      <c r="F205">
        <v>193.155</v>
      </c>
      <c r="G205">
        <v>13.605</v>
      </c>
      <c r="H205">
        <v>196.32900000000001</v>
      </c>
      <c r="I205">
        <v>19.954639999999898</v>
      </c>
      <c r="J205" t="s">
        <v>37</v>
      </c>
      <c r="K205">
        <v>0</v>
      </c>
      <c r="L205">
        <v>0</v>
      </c>
      <c r="M205">
        <v>0</v>
      </c>
      <c r="N205">
        <v>0</v>
      </c>
      <c r="O205">
        <v>9.53630218505859E-2</v>
      </c>
      <c r="P205">
        <v>7.0502414703369097E-3</v>
      </c>
      <c r="Q205">
        <v>0</v>
      </c>
      <c r="R205">
        <v>160.58000000000001</v>
      </c>
      <c r="S205">
        <v>2.5169999999999999</v>
      </c>
      <c r="T205">
        <v>0.27800000000000002</v>
      </c>
      <c r="U205">
        <v>0.66100000000000003</v>
      </c>
      <c r="V205" t="b">
        <v>1</v>
      </c>
      <c r="W205" t="s">
        <v>50</v>
      </c>
    </row>
    <row r="206" spans="2:23" x14ac:dyDescent="0.3">
      <c r="B206" s="2">
        <f t="shared" si="3"/>
        <v>3.1064377000002423</v>
      </c>
      <c r="C206">
        <v>3224.7817353</v>
      </c>
      <c r="D206">
        <v>195</v>
      </c>
      <c r="E206">
        <v>19.5</v>
      </c>
      <c r="F206">
        <v>193.40100000000001</v>
      </c>
      <c r="G206">
        <v>13.605</v>
      </c>
      <c r="H206">
        <v>196.14696000000001</v>
      </c>
      <c r="I206">
        <v>19.640239999999999</v>
      </c>
      <c r="J206" t="s">
        <v>37</v>
      </c>
      <c r="K206">
        <v>0</v>
      </c>
      <c r="L206">
        <v>0</v>
      </c>
      <c r="M206">
        <v>0</v>
      </c>
      <c r="N206">
        <v>0</v>
      </c>
      <c r="O206">
        <v>8.2256347656250006E-2</v>
      </c>
      <c r="P206">
        <v>1.6678998947143499E-2</v>
      </c>
      <c r="Q206">
        <v>0</v>
      </c>
      <c r="R206">
        <v>160.50399999999999</v>
      </c>
      <c r="S206">
        <v>2.5910000000000002</v>
      </c>
      <c r="T206">
        <v>6.8000000000000005E-2</v>
      </c>
      <c r="U206">
        <v>0.66300000000000003</v>
      </c>
      <c r="V206" t="b">
        <v>1</v>
      </c>
      <c r="W206" t="s">
        <v>50</v>
      </c>
    </row>
    <row r="207" spans="2:23" x14ac:dyDescent="0.3">
      <c r="B207" s="2">
        <f t="shared" si="3"/>
        <v>3.1225518000001102</v>
      </c>
      <c r="C207">
        <v>3224.7978493999999</v>
      </c>
      <c r="D207">
        <v>195</v>
      </c>
      <c r="E207">
        <v>19.5</v>
      </c>
      <c r="F207">
        <v>194.01599999999999</v>
      </c>
      <c r="G207">
        <v>13.343</v>
      </c>
      <c r="H207">
        <v>195.989519999999</v>
      </c>
      <c r="I207">
        <v>19.346800000000002</v>
      </c>
      <c r="J207" t="s">
        <v>37</v>
      </c>
      <c r="K207">
        <v>0</v>
      </c>
      <c r="L207">
        <v>0</v>
      </c>
      <c r="M207">
        <v>0</v>
      </c>
      <c r="N207">
        <v>0</v>
      </c>
      <c r="O207">
        <v>8.2256347656250006E-2</v>
      </c>
      <c r="P207">
        <v>1.6678998947143499E-2</v>
      </c>
      <c r="Q207">
        <v>0</v>
      </c>
      <c r="R207">
        <v>160.50399999999999</v>
      </c>
      <c r="S207">
        <v>2.5910000000000002</v>
      </c>
      <c r="T207">
        <v>6.8000000000000005E-2</v>
      </c>
      <c r="U207">
        <v>0.66300000000000003</v>
      </c>
      <c r="V207" t="b">
        <v>1</v>
      </c>
      <c r="W207" t="s">
        <v>50</v>
      </c>
    </row>
    <row r="208" spans="2:23" x14ac:dyDescent="0.3">
      <c r="B208" s="2">
        <f t="shared" si="3"/>
        <v>3.138448800000333</v>
      </c>
      <c r="C208">
        <v>3224.8137464000001</v>
      </c>
      <c r="D208">
        <v>195</v>
      </c>
      <c r="E208">
        <v>19.5</v>
      </c>
      <c r="F208">
        <v>194.13900000000001</v>
      </c>
      <c r="G208">
        <v>13.212</v>
      </c>
      <c r="H208">
        <v>195.83699999999899</v>
      </c>
      <c r="I208">
        <v>19.084800000000001</v>
      </c>
      <c r="J208" t="s">
        <v>37</v>
      </c>
      <c r="K208">
        <v>0</v>
      </c>
      <c r="L208">
        <v>0</v>
      </c>
      <c r="M208">
        <v>0</v>
      </c>
      <c r="N208">
        <v>0</v>
      </c>
      <c r="O208">
        <v>8.2256347656250006E-2</v>
      </c>
      <c r="P208">
        <v>1.6678998947143499E-2</v>
      </c>
      <c r="Q208">
        <v>0</v>
      </c>
      <c r="R208">
        <v>160.50399999999999</v>
      </c>
      <c r="S208">
        <v>2.5910000000000002</v>
      </c>
      <c r="T208">
        <v>6.8000000000000005E-2</v>
      </c>
      <c r="U208">
        <v>0.66300000000000003</v>
      </c>
      <c r="V208" t="b">
        <v>1</v>
      </c>
      <c r="W208" t="s">
        <v>50</v>
      </c>
    </row>
    <row r="209" spans="2:23" x14ac:dyDescent="0.3">
      <c r="B209" s="2">
        <f t="shared" si="3"/>
        <v>3.1540184000000409</v>
      </c>
      <c r="C209">
        <v>3224.8293159999998</v>
      </c>
      <c r="D209">
        <v>195</v>
      </c>
      <c r="E209">
        <v>19.5</v>
      </c>
      <c r="F209">
        <v>194.38499999999999</v>
      </c>
      <c r="G209">
        <v>12.687999999999899</v>
      </c>
      <c r="H209">
        <v>195.69924</v>
      </c>
      <c r="I209">
        <v>18.833279999999998</v>
      </c>
      <c r="J209" t="s">
        <v>37</v>
      </c>
      <c r="K209">
        <v>0</v>
      </c>
      <c r="L209">
        <v>0</v>
      </c>
      <c r="M209">
        <v>0</v>
      </c>
      <c r="N209">
        <v>0</v>
      </c>
      <c r="O209">
        <v>8.2256347656250006E-2</v>
      </c>
      <c r="P209">
        <v>1.6678998947143499E-2</v>
      </c>
      <c r="Q209">
        <v>0</v>
      </c>
      <c r="R209">
        <v>160.50399999999999</v>
      </c>
      <c r="S209">
        <v>2.5910000000000002</v>
      </c>
      <c r="T209">
        <v>6.8000000000000005E-2</v>
      </c>
      <c r="U209">
        <v>0.66300000000000003</v>
      </c>
      <c r="V209" t="b">
        <v>1</v>
      </c>
      <c r="W209" t="s">
        <v>50</v>
      </c>
    </row>
    <row r="210" spans="2:23" x14ac:dyDescent="0.3">
      <c r="B210" s="2">
        <f t="shared" si="3"/>
        <v>3.1689089999999851</v>
      </c>
      <c r="C210">
        <v>3224.8442065999998</v>
      </c>
      <c r="D210">
        <v>195</v>
      </c>
      <c r="E210">
        <v>19.5</v>
      </c>
      <c r="F210">
        <v>194.38499999999999</v>
      </c>
      <c r="G210">
        <v>12.164</v>
      </c>
      <c r="H210">
        <v>195.57131999999999</v>
      </c>
      <c r="I210">
        <v>18.602719999999898</v>
      </c>
      <c r="J210" t="s">
        <v>37</v>
      </c>
      <c r="K210">
        <v>0</v>
      </c>
      <c r="L210">
        <v>0</v>
      </c>
      <c r="M210">
        <v>0</v>
      </c>
      <c r="N210">
        <v>0</v>
      </c>
      <c r="O210">
        <v>9.0228073120117103E-2</v>
      </c>
      <c r="P210">
        <v>-2.3321392536163302E-3</v>
      </c>
      <c r="Q210">
        <v>0</v>
      </c>
      <c r="R210">
        <v>160.49799999999999</v>
      </c>
      <c r="S210">
        <v>2.476</v>
      </c>
      <c r="T210">
        <v>-0.20799999999999999</v>
      </c>
      <c r="U210">
        <v>0.66900000000000004</v>
      </c>
      <c r="V210" t="b">
        <v>1</v>
      </c>
      <c r="W210" t="s">
        <v>50</v>
      </c>
    </row>
    <row r="211" spans="2:23" x14ac:dyDescent="0.3">
      <c r="B211" s="2">
        <f t="shared" si="3"/>
        <v>3.1849315000004026</v>
      </c>
      <c r="C211">
        <v>3224.8602291000002</v>
      </c>
      <c r="D211">
        <v>195</v>
      </c>
      <c r="E211">
        <v>19.5</v>
      </c>
      <c r="F211">
        <v>194.13900000000001</v>
      </c>
      <c r="G211">
        <v>11.247</v>
      </c>
      <c r="H211">
        <v>195.43848</v>
      </c>
      <c r="I211">
        <v>18.382639999999999</v>
      </c>
      <c r="J211" t="s">
        <v>37</v>
      </c>
      <c r="K211">
        <v>0</v>
      </c>
      <c r="L211">
        <v>0</v>
      </c>
      <c r="M211">
        <v>0</v>
      </c>
      <c r="N211">
        <v>0</v>
      </c>
      <c r="O211">
        <v>9.0228073120117103E-2</v>
      </c>
      <c r="P211">
        <v>-2.3321392536163302E-3</v>
      </c>
      <c r="Q211">
        <v>0</v>
      </c>
      <c r="R211">
        <v>160.49799999999999</v>
      </c>
      <c r="S211">
        <v>2.476</v>
      </c>
      <c r="T211">
        <v>-0.20799999999999999</v>
      </c>
      <c r="U211">
        <v>0.66900000000000004</v>
      </c>
      <c r="V211" t="b">
        <v>1</v>
      </c>
      <c r="W211" t="s">
        <v>50</v>
      </c>
    </row>
    <row r="212" spans="2:23" x14ac:dyDescent="0.3">
      <c r="B212" s="2">
        <f t="shared" si="3"/>
        <v>3.2003816000001279</v>
      </c>
      <c r="C212">
        <v>3224.8756791999999</v>
      </c>
      <c r="D212">
        <v>195</v>
      </c>
      <c r="E212">
        <v>29.25</v>
      </c>
      <c r="F212">
        <v>194.262</v>
      </c>
      <c r="G212">
        <v>32.000999999999998</v>
      </c>
      <c r="H212">
        <v>195.31056000000001</v>
      </c>
      <c r="I212">
        <v>19.03464</v>
      </c>
      <c r="J212" t="s">
        <v>37</v>
      </c>
      <c r="K212">
        <v>0</v>
      </c>
      <c r="L212">
        <v>0</v>
      </c>
      <c r="M212">
        <v>0</v>
      </c>
      <c r="N212">
        <v>0</v>
      </c>
      <c r="O212">
        <v>9.0228073120117103E-2</v>
      </c>
      <c r="P212">
        <v>-2.3321392536163302E-3</v>
      </c>
      <c r="Q212">
        <v>0</v>
      </c>
      <c r="R212">
        <v>160.49799999999999</v>
      </c>
      <c r="S212">
        <v>2.476</v>
      </c>
      <c r="T212">
        <v>-0.20799999999999999</v>
      </c>
      <c r="U212">
        <v>0.66900000000000004</v>
      </c>
      <c r="V212" t="b">
        <v>1</v>
      </c>
      <c r="W212" t="s">
        <v>50</v>
      </c>
    </row>
    <row r="213" spans="2:23" x14ac:dyDescent="0.3">
      <c r="B213" s="2">
        <f t="shared" si="3"/>
        <v>3.2153074000002562</v>
      </c>
      <c r="C213">
        <v>3224.8906050000001</v>
      </c>
      <c r="D213">
        <v>195</v>
      </c>
      <c r="E213">
        <v>29.25</v>
      </c>
      <c r="F213">
        <v>193.893</v>
      </c>
      <c r="G213">
        <v>30.56</v>
      </c>
      <c r="H213">
        <v>195.16296</v>
      </c>
      <c r="I213">
        <v>19.6814</v>
      </c>
      <c r="J213" t="s">
        <v>37</v>
      </c>
      <c r="K213">
        <v>0</v>
      </c>
      <c r="L213">
        <v>0</v>
      </c>
      <c r="M213">
        <v>0</v>
      </c>
      <c r="N213">
        <v>0</v>
      </c>
      <c r="O213">
        <v>0.109498886108398</v>
      </c>
      <c r="P213">
        <v>-1.6653434753417899E-2</v>
      </c>
      <c r="Q213">
        <v>0</v>
      </c>
      <c r="R213">
        <v>160.47</v>
      </c>
      <c r="S213">
        <v>2.391</v>
      </c>
      <c r="T213">
        <v>-0.29099999999999998</v>
      </c>
      <c r="U213">
        <v>0.66800000000000004</v>
      </c>
      <c r="V213" t="b">
        <v>1</v>
      </c>
      <c r="W213" t="s">
        <v>50</v>
      </c>
    </row>
    <row r="214" spans="2:23" x14ac:dyDescent="0.3">
      <c r="B214" s="2">
        <f t="shared" si="3"/>
        <v>3.2629249999999956</v>
      </c>
      <c r="C214">
        <v>3224.9382225999998</v>
      </c>
      <c r="D214">
        <v>195</v>
      </c>
      <c r="E214">
        <v>29.25</v>
      </c>
      <c r="F214">
        <v>193.77</v>
      </c>
      <c r="G214">
        <v>28.988</v>
      </c>
      <c r="H214">
        <v>195.00059999999999</v>
      </c>
      <c r="I214">
        <v>20.312439999999999</v>
      </c>
      <c r="J214" t="s">
        <v>37</v>
      </c>
      <c r="K214">
        <v>0</v>
      </c>
      <c r="L214">
        <v>0</v>
      </c>
      <c r="M214">
        <v>0</v>
      </c>
      <c r="N214">
        <v>0</v>
      </c>
      <c r="O214">
        <v>0.109498886108398</v>
      </c>
      <c r="P214">
        <v>-1.6653434753417899E-2</v>
      </c>
      <c r="Q214">
        <v>0</v>
      </c>
      <c r="R214">
        <v>160.47</v>
      </c>
      <c r="S214">
        <v>2.391</v>
      </c>
      <c r="T214">
        <v>-0.29099999999999998</v>
      </c>
      <c r="U214">
        <v>0.66800000000000004</v>
      </c>
      <c r="V214" t="b">
        <v>1</v>
      </c>
      <c r="W214" t="s">
        <v>50</v>
      </c>
    </row>
    <row r="215" spans="2:23" x14ac:dyDescent="0.3">
      <c r="B215" s="2">
        <f t="shared" si="3"/>
        <v>3.2789824000001317</v>
      </c>
      <c r="C215">
        <v>3224.9542799999999</v>
      </c>
      <c r="D215">
        <v>195</v>
      </c>
      <c r="E215">
        <v>29.25</v>
      </c>
      <c r="F215">
        <v>193.64699999999999</v>
      </c>
      <c r="G215">
        <v>27.416</v>
      </c>
      <c r="H215">
        <v>194.82347999999999</v>
      </c>
      <c r="I215">
        <v>20.922519999999999</v>
      </c>
      <c r="J215" t="s">
        <v>37</v>
      </c>
      <c r="K215">
        <v>0</v>
      </c>
      <c r="L215">
        <v>0</v>
      </c>
      <c r="M215">
        <v>0</v>
      </c>
      <c r="N215">
        <v>0</v>
      </c>
      <c r="O215">
        <v>0.109498886108398</v>
      </c>
      <c r="P215">
        <v>-1.6653434753417899E-2</v>
      </c>
      <c r="Q215">
        <v>0</v>
      </c>
      <c r="R215">
        <v>160.47</v>
      </c>
      <c r="S215">
        <v>2.391</v>
      </c>
      <c r="T215">
        <v>-0.29099999999999998</v>
      </c>
      <c r="U215">
        <v>0.66800000000000004</v>
      </c>
      <c r="V215" t="b">
        <v>1</v>
      </c>
      <c r="W215" t="s">
        <v>50</v>
      </c>
    </row>
    <row r="216" spans="2:23" x14ac:dyDescent="0.3">
      <c r="B216" s="2">
        <f t="shared" si="3"/>
        <v>3.2943454000001111</v>
      </c>
      <c r="C216">
        <v>3224.9696429999999</v>
      </c>
      <c r="D216">
        <v>199.875</v>
      </c>
      <c r="E216">
        <v>34.125</v>
      </c>
      <c r="F216">
        <v>192.864</v>
      </c>
      <c r="G216">
        <v>37.137999999999998</v>
      </c>
      <c r="H216">
        <v>194.60028</v>
      </c>
      <c r="I216">
        <v>21.958159999999999</v>
      </c>
      <c r="J216" t="s">
        <v>37</v>
      </c>
      <c r="K216">
        <v>0</v>
      </c>
      <c r="L216">
        <v>0</v>
      </c>
      <c r="M216">
        <v>0</v>
      </c>
      <c r="N216">
        <v>0</v>
      </c>
      <c r="O216">
        <v>9.7129402160644501E-2</v>
      </c>
      <c r="P216">
        <v>-1.5438673019409099E-2</v>
      </c>
      <c r="Q216">
        <v>0</v>
      </c>
      <c r="R216">
        <v>160.36600000000001</v>
      </c>
      <c r="S216">
        <v>2.4329999999999998</v>
      </c>
      <c r="T216">
        <v>-8.4000000000000005E-2</v>
      </c>
      <c r="U216">
        <v>0.66700000000000004</v>
      </c>
      <c r="V216" t="b">
        <v>1</v>
      </c>
      <c r="W216" t="s">
        <v>50</v>
      </c>
    </row>
    <row r="217" spans="2:23" x14ac:dyDescent="0.3">
      <c r="B217" s="2">
        <f t="shared" si="3"/>
        <v>3.3418642999999975</v>
      </c>
      <c r="C217">
        <v>3225.0171618999998</v>
      </c>
      <c r="D217">
        <v>195</v>
      </c>
      <c r="E217">
        <v>39</v>
      </c>
      <c r="F217">
        <v>194.01599999999999</v>
      </c>
      <c r="G217">
        <v>46.728999999999999</v>
      </c>
      <c r="H217">
        <v>194.44427999999999</v>
      </c>
      <c r="I217">
        <v>22.709119999999999</v>
      </c>
      <c r="J217" t="s">
        <v>37</v>
      </c>
      <c r="K217">
        <v>0</v>
      </c>
      <c r="L217">
        <v>0</v>
      </c>
      <c r="M217">
        <v>0</v>
      </c>
      <c r="N217">
        <v>0</v>
      </c>
      <c r="O217">
        <v>9.7129402160644501E-2</v>
      </c>
      <c r="P217">
        <v>-1.5438673019409099E-2</v>
      </c>
      <c r="Q217">
        <v>0</v>
      </c>
      <c r="R217">
        <v>160.36600000000001</v>
      </c>
      <c r="S217">
        <v>2.4329999999999998</v>
      </c>
      <c r="T217">
        <v>-8.4000000000000005E-2</v>
      </c>
      <c r="U217">
        <v>0.66700000000000004</v>
      </c>
      <c r="V217" t="b">
        <v>1</v>
      </c>
      <c r="W217" t="s">
        <v>50</v>
      </c>
    </row>
    <row r="218" spans="2:23" x14ac:dyDescent="0.3">
      <c r="B218" s="2">
        <f t="shared" si="3"/>
        <v>3.357551400000375</v>
      </c>
      <c r="C218">
        <v>3225.0328490000002</v>
      </c>
      <c r="D218">
        <v>195</v>
      </c>
      <c r="E218">
        <v>39</v>
      </c>
      <c r="F218">
        <v>194.01599999999999</v>
      </c>
      <c r="G218">
        <v>45.55</v>
      </c>
      <c r="H218">
        <v>194.28827999999999</v>
      </c>
      <c r="I218">
        <v>23.439119999999999</v>
      </c>
      <c r="J218" t="s">
        <v>37</v>
      </c>
      <c r="K218">
        <v>0</v>
      </c>
      <c r="L218">
        <v>0</v>
      </c>
      <c r="M218">
        <v>0</v>
      </c>
      <c r="N218">
        <v>0</v>
      </c>
      <c r="O218">
        <v>0.109153625488281</v>
      </c>
      <c r="P218">
        <v>-2.4169912338256799E-2</v>
      </c>
      <c r="Q218">
        <v>0</v>
      </c>
      <c r="R218">
        <v>160.36500000000001</v>
      </c>
      <c r="S218">
        <v>2.5179999999999998</v>
      </c>
      <c r="T218">
        <v>-0.13900000000000001</v>
      </c>
      <c r="U218">
        <v>0.66600000000000004</v>
      </c>
      <c r="V218" t="b">
        <v>1</v>
      </c>
      <c r="W218" t="s">
        <v>50</v>
      </c>
    </row>
    <row r="219" spans="2:23" x14ac:dyDescent="0.3">
      <c r="B219" s="2">
        <f t="shared" si="3"/>
        <v>3.4502027000003181</v>
      </c>
      <c r="C219">
        <v>3225.1255003000001</v>
      </c>
      <c r="D219">
        <v>195</v>
      </c>
      <c r="E219">
        <v>39</v>
      </c>
      <c r="F219">
        <v>193.893</v>
      </c>
      <c r="G219">
        <v>44.633000000000003</v>
      </c>
      <c r="H219">
        <v>194.10623999999899</v>
      </c>
      <c r="I219">
        <v>23.965359999999901</v>
      </c>
      <c r="J219" t="s">
        <v>37</v>
      </c>
      <c r="K219">
        <v>0</v>
      </c>
      <c r="L219">
        <v>0</v>
      </c>
      <c r="M219">
        <v>0</v>
      </c>
      <c r="N219">
        <v>0</v>
      </c>
      <c r="O219">
        <v>9.6126281738281194E-2</v>
      </c>
      <c r="P219">
        <v>-3.2927272796630797E-2</v>
      </c>
      <c r="Q219">
        <v>0</v>
      </c>
      <c r="R219">
        <v>160.35300000000001</v>
      </c>
      <c r="S219">
        <v>2.669</v>
      </c>
      <c r="T219">
        <v>-8.8999999999999996E-2</v>
      </c>
      <c r="U219">
        <v>0.67</v>
      </c>
      <c r="V219" t="b">
        <v>1</v>
      </c>
      <c r="W219" t="s">
        <v>50</v>
      </c>
    </row>
    <row r="220" spans="2:23" x14ac:dyDescent="0.3">
      <c r="B220" s="2">
        <f t="shared" si="3"/>
        <v>3.466481400000248</v>
      </c>
      <c r="C220">
        <v>3225.141779</v>
      </c>
      <c r="D220">
        <v>195</v>
      </c>
      <c r="E220">
        <v>39</v>
      </c>
      <c r="F220">
        <v>193.893</v>
      </c>
      <c r="G220">
        <v>43.847000000000001</v>
      </c>
      <c r="H220">
        <v>193.94388000000001</v>
      </c>
      <c r="I220">
        <v>24.4706399999999</v>
      </c>
      <c r="J220" t="s">
        <v>37</v>
      </c>
      <c r="K220">
        <v>0</v>
      </c>
      <c r="L220">
        <v>0</v>
      </c>
      <c r="M220">
        <v>0</v>
      </c>
      <c r="N220">
        <v>0</v>
      </c>
      <c r="O220">
        <v>9.6126281738281194E-2</v>
      </c>
      <c r="P220">
        <v>-3.2927272796630797E-2</v>
      </c>
      <c r="Q220">
        <v>0</v>
      </c>
      <c r="R220">
        <v>160.35300000000001</v>
      </c>
      <c r="S220">
        <v>2.669</v>
      </c>
      <c r="T220">
        <v>-8.8999999999999996E-2</v>
      </c>
      <c r="U220">
        <v>0.67</v>
      </c>
      <c r="V220" t="b">
        <v>1</v>
      </c>
      <c r="W220" t="s">
        <v>50</v>
      </c>
    </row>
    <row r="221" spans="2:23" x14ac:dyDescent="0.3">
      <c r="B221" s="2">
        <f t="shared" si="3"/>
        <v>3.4815856000000167</v>
      </c>
      <c r="C221">
        <v>3225.1568831999998</v>
      </c>
      <c r="D221">
        <v>195</v>
      </c>
      <c r="E221">
        <v>39</v>
      </c>
      <c r="F221">
        <v>194.01599999999999</v>
      </c>
      <c r="G221">
        <v>43.061</v>
      </c>
      <c r="H221">
        <v>193.87007999999901</v>
      </c>
      <c r="I221">
        <v>24.928759999999901</v>
      </c>
      <c r="J221" t="s">
        <v>37</v>
      </c>
      <c r="K221">
        <v>0</v>
      </c>
      <c r="L221">
        <v>0</v>
      </c>
      <c r="M221">
        <v>0</v>
      </c>
      <c r="N221">
        <v>0</v>
      </c>
      <c r="O221">
        <v>9.6126281738281194E-2</v>
      </c>
      <c r="P221">
        <v>-3.2927272796630797E-2</v>
      </c>
      <c r="Q221">
        <v>0</v>
      </c>
      <c r="R221">
        <v>160.35300000000001</v>
      </c>
      <c r="S221">
        <v>2.669</v>
      </c>
      <c r="T221">
        <v>-8.8999999999999996E-2</v>
      </c>
      <c r="U221">
        <v>0.67</v>
      </c>
      <c r="V221" t="b">
        <v>1</v>
      </c>
      <c r="W221" t="s">
        <v>50</v>
      </c>
    </row>
    <row r="222" spans="2:23" x14ac:dyDescent="0.3">
      <c r="B222" s="2">
        <f t="shared" si="3"/>
        <v>3.496932100000322</v>
      </c>
      <c r="C222">
        <v>3225.1722297000001</v>
      </c>
      <c r="D222">
        <v>195</v>
      </c>
      <c r="E222">
        <v>39</v>
      </c>
      <c r="F222">
        <v>194.13900000000001</v>
      </c>
      <c r="G222">
        <v>42.274999999999999</v>
      </c>
      <c r="H222">
        <v>193.81595999999999</v>
      </c>
      <c r="I222">
        <v>25.350199999999901</v>
      </c>
      <c r="J222" t="s">
        <v>37</v>
      </c>
      <c r="K222">
        <v>0</v>
      </c>
      <c r="L222">
        <v>0</v>
      </c>
      <c r="M222">
        <v>0</v>
      </c>
      <c r="N222">
        <v>0</v>
      </c>
      <c r="O222">
        <v>9.3164756774902296E-2</v>
      </c>
      <c r="P222">
        <v>-3.5841152191162101E-2</v>
      </c>
      <c r="Q222">
        <v>0</v>
      </c>
      <c r="R222">
        <v>160.25700000000001</v>
      </c>
      <c r="S222">
        <v>2.5630000000000002</v>
      </c>
      <c r="T222">
        <v>0.16900000000000001</v>
      </c>
      <c r="U222">
        <v>0.67600000000000005</v>
      </c>
      <c r="V222" t="b">
        <v>1</v>
      </c>
      <c r="W222" t="s">
        <v>50</v>
      </c>
    </row>
    <row r="223" spans="2:23" x14ac:dyDescent="0.3">
      <c r="B223" s="2">
        <f t="shared" si="3"/>
        <v>3.5277230000001509</v>
      </c>
      <c r="C223">
        <v>3225.2030205999999</v>
      </c>
      <c r="D223">
        <v>195</v>
      </c>
      <c r="E223">
        <v>39</v>
      </c>
      <c r="F223">
        <v>194.38499999999999</v>
      </c>
      <c r="G223">
        <v>41.750999999999998</v>
      </c>
      <c r="H223">
        <v>193.79628</v>
      </c>
      <c r="I223">
        <v>25.729719999999901</v>
      </c>
      <c r="J223" t="s">
        <v>37</v>
      </c>
      <c r="K223">
        <v>0</v>
      </c>
      <c r="L223">
        <v>0</v>
      </c>
      <c r="M223">
        <v>0</v>
      </c>
      <c r="N223">
        <v>0</v>
      </c>
      <c r="O223">
        <v>9.3164756774902296E-2</v>
      </c>
      <c r="P223">
        <v>-3.5841152191162101E-2</v>
      </c>
      <c r="Q223">
        <v>0</v>
      </c>
      <c r="R223">
        <v>160.25700000000001</v>
      </c>
      <c r="S223">
        <v>2.5630000000000002</v>
      </c>
      <c r="T223">
        <v>0.16900000000000001</v>
      </c>
      <c r="U223">
        <v>0.67600000000000005</v>
      </c>
      <c r="V223" t="b">
        <v>1</v>
      </c>
      <c r="W223" t="s">
        <v>50</v>
      </c>
    </row>
    <row r="224" spans="2:23" x14ac:dyDescent="0.3">
      <c r="B224" s="2">
        <f t="shared" si="3"/>
        <v>3.5595329000002494</v>
      </c>
      <c r="C224">
        <v>3225.2348305</v>
      </c>
      <c r="D224">
        <v>195</v>
      </c>
      <c r="E224">
        <v>39</v>
      </c>
      <c r="F224">
        <v>194.50800000000001</v>
      </c>
      <c r="G224">
        <v>41.095999999999997</v>
      </c>
      <c r="H224">
        <v>193.82723999999999</v>
      </c>
      <c r="I224">
        <v>26.244879999999998</v>
      </c>
      <c r="J224" t="s">
        <v>37</v>
      </c>
      <c r="K224">
        <v>0</v>
      </c>
      <c r="L224">
        <v>0</v>
      </c>
      <c r="M224">
        <v>0</v>
      </c>
      <c r="N224">
        <v>0</v>
      </c>
      <c r="O224">
        <v>0.123488807678222</v>
      </c>
      <c r="P224">
        <v>-2.2068407058715801E-2</v>
      </c>
      <c r="Q224">
        <v>0</v>
      </c>
      <c r="R224">
        <v>160.22800000000001</v>
      </c>
      <c r="S224">
        <v>2.4279999999999999</v>
      </c>
      <c r="T224">
        <v>0.47399999999999998</v>
      </c>
      <c r="U224">
        <v>0.67</v>
      </c>
      <c r="V224" t="b">
        <v>1</v>
      </c>
      <c r="W224" t="s">
        <v>50</v>
      </c>
    </row>
    <row r="225" spans="2:23" x14ac:dyDescent="0.3">
      <c r="B225" s="2">
        <f t="shared" si="3"/>
        <v>3.590596000000005</v>
      </c>
      <c r="C225">
        <v>3225.2658935999998</v>
      </c>
      <c r="D225">
        <v>195</v>
      </c>
      <c r="E225">
        <v>39</v>
      </c>
      <c r="F225">
        <v>194.631</v>
      </c>
      <c r="G225">
        <v>40.572000000000003</v>
      </c>
      <c r="H225">
        <v>193.86168000000001</v>
      </c>
      <c r="I225">
        <v>27.41788</v>
      </c>
      <c r="J225" t="s">
        <v>37</v>
      </c>
      <c r="K225">
        <v>0</v>
      </c>
      <c r="L225">
        <v>0</v>
      </c>
      <c r="M225">
        <v>0</v>
      </c>
      <c r="N225">
        <v>0</v>
      </c>
      <c r="O225">
        <v>9.0991195678710904E-2</v>
      </c>
      <c r="P225">
        <v>1.8848432540893498E-2</v>
      </c>
      <c r="Q225">
        <v>0</v>
      </c>
      <c r="R225">
        <v>160.41200000000001</v>
      </c>
      <c r="S225">
        <v>2.524</v>
      </c>
      <c r="T225">
        <v>0.52700000000000002</v>
      </c>
      <c r="U225">
        <v>0.67300000000000004</v>
      </c>
      <c r="V225" t="b">
        <v>1</v>
      </c>
      <c r="W225" t="s">
        <v>50</v>
      </c>
    </row>
    <row r="226" spans="2:23" x14ac:dyDescent="0.3">
      <c r="B226" s="2">
        <f t="shared" si="3"/>
        <v>3.6220025000002352</v>
      </c>
      <c r="C226">
        <v>3225.2973001</v>
      </c>
      <c r="D226">
        <v>195</v>
      </c>
      <c r="E226">
        <v>39</v>
      </c>
      <c r="F226">
        <v>194.631</v>
      </c>
      <c r="G226">
        <v>39.917000000000002</v>
      </c>
      <c r="H226">
        <v>193.90595999999999</v>
      </c>
      <c r="I226">
        <v>28.548959999999902</v>
      </c>
      <c r="J226" t="s">
        <v>37</v>
      </c>
      <c r="K226">
        <v>0</v>
      </c>
      <c r="L226">
        <v>0</v>
      </c>
      <c r="M226">
        <v>0</v>
      </c>
      <c r="N226">
        <v>0</v>
      </c>
      <c r="O226">
        <v>9.0991195678710904E-2</v>
      </c>
      <c r="P226">
        <v>1.8848432540893498E-2</v>
      </c>
      <c r="Q226">
        <v>0</v>
      </c>
      <c r="R226">
        <v>160.41200000000001</v>
      </c>
      <c r="S226">
        <v>2.524</v>
      </c>
      <c r="T226">
        <v>0.52700000000000002</v>
      </c>
      <c r="U226">
        <v>0.67300000000000004</v>
      </c>
      <c r="V226" t="b">
        <v>1</v>
      </c>
      <c r="W226" t="s">
        <v>50</v>
      </c>
    </row>
    <row r="227" spans="2:23" x14ac:dyDescent="0.3">
      <c r="B227" s="2">
        <f t="shared" si="3"/>
        <v>3.6521181000002798</v>
      </c>
      <c r="C227">
        <v>3225.3274157000001</v>
      </c>
      <c r="D227">
        <v>195</v>
      </c>
      <c r="E227">
        <v>39</v>
      </c>
      <c r="F227">
        <v>194.38499999999999</v>
      </c>
      <c r="G227">
        <v>39.131</v>
      </c>
      <c r="H227">
        <v>193.95024000000001</v>
      </c>
      <c r="I227">
        <v>29.6276399999999</v>
      </c>
      <c r="J227" t="s">
        <v>37</v>
      </c>
      <c r="K227">
        <v>0</v>
      </c>
      <c r="L227">
        <v>0</v>
      </c>
      <c r="M227">
        <v>0</v>
      </c>
      <c r="N227">
        <v>0</v>
      </c>
      <c r="O227">
        <v>9.0991195678710904E-2</v>
      </c>
      <c r="P227">
        <v>1.8848432540893498E-2</v>
      </c>
      <c r="Q227">
        <v>0</v>
      </c>
      <c r="R227">
        <v>160.41200000000001</v>
      </c>
      <c r="S227">
        <v>2.524</v>
      </c>
      <c r="T227">
        <v>0.52700000000000002</v>
      </c>
      <c r="U227">
        <v>0.67300000000000004</v>
      </c>
      <c r="V227" t="b">
        <v>1</v>
      </c>
      <c r="W227" t="s">
        <v>50</v>
      </c>
    </row>
    <row r="228" spans="2:23" x14ac:dyDescent="0.3">
      <c r="B228" s="2">
        <f t="shared" si="3"/>
        <v>3.7453942000001916</v>
      </c>
      <c r="C228">
        <v>3225.4206918</v>
      </c>
      <c r="D228">
        <v>195</v>
      </c>
      <c r="E228">
        <v>39</v>
      </c>
      <c r="F228">
        <v>194.13900000000001</v>
      </c>
      <c r="G228">
        <v>38.344999999999999</v>
      </c>
      <c r="H228">
        <v>193.9896</v>
      </c>
      <c r="I228">
        <v>30.648679999999999</v>
      </c>
      <c r="J228" t="s">
        <v>37</v>
      </c>
      <c r="K228">
        <v>0</v>
      </c>
      <c r="L228">
        <v>0</v>
      </c>
      <c r="M228">
        <v>0</v>
      </c>
      <c r="N228">
        <v>0</v>
      </c>
      <c r="O228">
        <v>8.6896705627441395E-2</v>
      </c>
      <c r="P228">
        <v>6.9625496864318803E-3</v>
      </c>
      <c r="Q228">
        <v>0</v>
      </c>
      <c r="R228">
        <v>160.434</v>
      </c>
      <c r="S228">
        <v>2.5129999999999999</v>
      </c>
      <c r="T228">
        <v>8.3000000000000004E-2</v>
      </c>
      <c r="U228">
        <v>0.67600000000000005</v>
      </c>
      <c r="V228" t="b">
        <v>1</v>
      </c>
      <c r="W228" t="s">
        <v>50</v>
      </c>
    </row>
    <row r="229" spans="2:23" x14ac:dyDescent="0.3">
      <c r="B229" s="2">
        <f t="shared" si="3"/>
        <v>3.7610059000003275</v>
      </c>
      <c r="C229">
        <v>3225.4363035000001</v>
      </c>
      <c r="D229">
        <v>195</v>
      </c>
      <c r="E229">
        <v>39</v>
      </c>
      <c r="F229">
        <v>194.01599999999999</v>
      </c>
      <c r="G229">
        <v>37.558999999999997</v>
      </c>
      <c r="H229">
        <v>194.02896000000001</v>
      </c>
      <c r="I229">
        <v>31.617319999999999</v>
      </c>
      <c r="J229" t="s">
        <v>37</v>
      </c>
      <c r="K229">
        <v>0</v>
      </c>
      <c r="L229">
        <v>0</v>
      </c>
      <c r="M229">
        <v>0</v>
      </c>
      <c r="N229">
        <v>0</v>
      </c>
      <c r="O229">
        <v>8.6896705627441395E-2</v>
      </c>
      <c r="P229">
        <v>6.9625496864318803E-3</v>
      </c>
      <c r="Q229">
        <v>0</v>
      </c>
      <c r="R229">
        <v>160.434</v>
      </c>
      <c r="S229">
        <v>2.5129999999999999</v>
      </c>
      <c r="T229">
        <v>8.3000000000000004E-2</v>
      </c>
      <c r="U229">
        <v>0.67600000000000005</v>
      </c>
      <c r="V229" t="b">
        <v>1</v>
      </c>
      <c r="W229" t="s">
        <v>50</v>
      </c>
    </row>
    <row r="230" spans="2:23" x14ac:dyDescent="0.3">
      <c r="B230" s="2">
        <f t="shared" si="3"/>
        <v>3.7763112000002366</v>
      </c>
      <c r="C230">
        <v>3225.4516088</v>
      </c>
      <c r="D230">
        <v>195</v>
      </c>
      <c r="E230">
        <v>39</v>
      </c>
      <c r="F230">
        <v>193.77</v>
      </c>
      <c r="G230">
        <v>36.903999999999897</v>
      </c>
      <c r="H230">
        <v>194.05356</v>
      </c>
      <c r="I230">
        <v>32.549279999999897</v>
      </c>
      <c r="J230" t="s">
        <v>37</v>
      </c>
      <c r="K230">
        <v>0</v>
      </c>
      <c r="L230">
        <v>0</v>
      </c>
      <c r="M230">
        <v>0</v>
      </c>
      <c r="N230">
        <v>0</v>
      </c>
      <c r="O230">
        <v>4.3761917114257802E-2</v>
      </c>
      <c r="P230">
        <v>1.26529788970947E-3</v>
      </c>
      <c r="Q230">
        <v>0</v>
      </c>
      <c r="R230">
        <v>160.35599999999999</v>
      </c>
      <c r="S230">
        <v>2.6070000000000002</v>
      </c>
      <c r="T230">
        <v>-0.22700000000000001</v>
      </c>
      <c r="U230">
        <v>0.67600000000000005</v>
      </c>
      <c r="V230" t="b">
        <v>1</v>
      </c>
      <c r="W230" t="s">
        <v>50</v>
      </c>
    </row>
    <row r="231" spans="2:23" x14ac:dyDescent="0.3">
      <c r="B231" s="2">
        <f t="shared" si="3"/>
        <v>3.7926324000000022</v>
      </c>
      <c r="C231">
        <v>3225.4679299999998</v>
      </c>
      <c r="D231">
        <v>195</v>
      </c>
      <c r="E231">
        <v>39</v>
      </c>
      <c r="F231">
        <v>193.77</v>
      </c>
      <c r="G231">
        <v>36.118000000000002</v>
      </c>
      <c r="H231">
        <v>194.06832</v>
      </c>
      <c r="I231">
        <v>33.449800000000003</v>
      </c>
      <c r="J231" t="s">
        <v>37</v>
      </c>
      <c r="K231">
        <v>0</v>
      </c>
      <c r="L231">
        <v>0</v>
      </c>
      <c r="M231">
        <v>0</v>
      </c>
      <c r="N231">
        <v>0</v>
      </c>
      <c r="O231">
        <v>4.3761917114257802E-2</v>
      </c>
      <c r="P231">
        <v>1.26529788970947E-3</v>
      </c>
      <c r="Q231">
        <v>0</v>
      </c>
      <c r="R231">
        <v>160.35599999999999</v>
      </c>
      <c r="S231">
        <v>2.6070000000000002</v>
      </c>
      <c r="T231">
        <v>-0.22700000000000001</v>
      </c>
      <c r="U231">
        <v>0.67600000000000005</v>
      </c>
      <c r="V231" t="b">
        <v>1</v>
      </c>
      <c r="W231" t="s">
        <v>50</v>
      </c>
    </row>
    <row r="232" spans="2:23" x14ac:dyDescent="0.3">
      <c r="B232" s="2">
        <f t="shared" si="3"/>
        <v>3.8087636000000202</v>
      </c>
      <c r="C232">
        <v>3225.4840611999998</v>
      </c>
      <c r="D232">
        <v>195</v>
      </c>
      <c r="E232">
        <v>39</v>
      </c>
      <c r="F232">
        <v>193.40100000000001</v>
      </c>
      <c r="G232">
        <v>35.332000000000001</v>
      </c>
      <c r="H232">
        <v>194.04372000000001</v>
      </c>
      <c r="I232">
        <v>34.329360000000001</v>
      </c>
      <c r="J232" t="s">
        <v>37</v>
      </c>
      <c r="K232">
        <v>0</v>
      </c>
      <c r="L232">
        <v>0</v>
      </c>
      <c r="M232">
        <v>0</v>
      </c>
      <c r="N232">
        <v>0</v>
      </c>
      <c r="O232" s="5">
        <v>-1.47483310699462E-2</v>
      </c>
      <c r="P232">
        <v>-1.0791399955749501E-2</v>
      </c>
      <c r="Q232">
        <v>0</v>
      </c>
      <c r="R232">
        <v>160.23400000000001</v>
      </c>
      <c r="S232">
        <v>2.4849999999999999</v>
      </c>
      <c r="T232">
        <v>-0.32600000000000001</v>
      </c>
      <c r="U232">
        <v>0.68200000000000005</v>
      </c>
      <c r="V232" t="b">
        <v>1</v>
      </c>
      <c r="W232" t="s">
        <v>50</v>
      </c>
    </row>
    <row r="233" spans="2:23" x14ac:dyDescent="0.3">
      <c r="B233" s="2">
        <f t="shared" si="3"/>
        <v>3.8874061999999867</v>
      </c>
      <c r="C233">
        <v>3225.5627037999998</v>
      </c>
      <c r="D233">
        <v>195</v>
      </c>
      <c r="E233">
        <v>39</v>
      </c>
      <c r="F233">
        <v>193.155</v>
      </c>
      <c r="G233">
        <v>34.545999999999999</v>
      </c>
      <c r="H233">
        <v>194.00435999999999</v>
      </c>
      <c r="I233">
        <v>35.182719999999897</v>
      </c>
      <c r="J233" t="s">
        <v>37</v>
      </c>
      <c r="K233">
        <v>0</v>
      </c>
      <c r="L233">
        <v>0</v>
      </c>
      <c r="M233">
        <v>0</v>
      </c>
      <c r="N233">
        <v>0</v>
      </c>
      <c r="O233" s="5">
        <v>-1.9168882369995099E-2</v>
      </c>
      <c r="P233">
        <v>-5.09799156188964E-2</v>
      </c>
      <c r="Q233">
        <v>0</v>
      </c>
      <c r="R233">
        <v>160.166</v>
      </c>
      <c r="S233">
        <v>1.631</v>
      </c>
      <c r="T233">
        <v>-0.24</v>
      </c>
      <c r="U233">
        <v>0.68799999999999994</v>
      </c>
      <c r="V233" t="b">
        <v>1</v>
      </c>
      <c r="W233" t="s">
        <v>50</v>
      </c>
    </row>
    <row r="234" spans="2:23" x14ac:dyDescent="0.3">
      <c r="B234" s="2">
        <f t="shared" si="3"/>
        <v>3.9030201000000488</v>
      </c>
      <c r="C234">
        <v>3225.5783176999998</v>
      </c>
      <c r="D234">
        <v>195</v>
      </c>
      <c r="E234">
        <v>39</v>
      </c>
      <c r="F234">
        <v>192.66300000000001</v>
      </c>
      <c r="G234">
        <v>33.890999999999998</v>
      </c>
      <c r="H234">
        <v>193.93548000000001</v>
      </c>
      <c r="I234">
        <v>36.030839999999998</v>
      </c>
      <c r="J234" t="s">
        <v>37</v>
      </c>
      <c r="K234">
        <v>0</v>
      </c>
      <c r="L234">
        <v>0</v>
      </c>
      <c r="M234">
        <v>0</v>
      </c>
      <c r="N234">
        <v>0</v>
      </c>
      <c r="O234">
        <v>-1.9168882369995099E-2</v>
      </c>
      <c r="P234">
        <v>-5.09799156188964E-2</v>
      </c>
      <c r="Q234">
        <v>0</v>
      </c>
      <c r="R234">
        <v>160.166</v>
      </c>
      <c r="S234">
        <v>1.631</v>
      </c>
      <c r="T234">
        <v>-0.24</v>
      </c>
      <c r="U234">
        <v>0.68799999999999994</v>
      </c>
      <c r="V234" t="b">
        <v>1</v>
      </c>
      <c r="W234" t="s">
        <v>50</v>
      </c>
    </row>
    <row r="235" spans="2:23" x14ac:dyDescent="0.3">
      <c r="B235" s="2">
        <f t="shared" si="3"/>
        <v>3.9183447000000342</v>
      </c>
      <c r="C235">
        <v>3225.5936422999998</v>
      </c>
      <c r="D235">
        <v>195</v>
      </c>
      <c r="E235">
        <v>39</v>
      </c>
      <c r="F235">
        <v>192.29400000000001</v>
      </c>
      <c r="G235">
        <v>33.366999999999997</v>
      </c>
      <c r="H235">
        <v>193.85184000000001</v>
      </c>
      <c r="I235">
        <v>36.878959999999999</v>
      </c>
      <c r="J235" t="s">
        <v>37</v>
      </c>
      <c r="K235">
        <v>0</v>
      </c>
      <c r="L235">
        <v>0</v>
      </c>
      <c r="M235">
        <v>0</v>
      </c>
      <c r="N235">
        <v>0</v>
      </c>
      <c r="O235">
        <v>-1.9168882369995099E-2</v>
      </c>
      <c r="P235">
        <v>-5.09799156188964E-2</v>
      </c>
      <c r="Q235">
        <v>0</v>
      </c>
      <c r="R235">
        <v>160.166</v>
      </c>
      <c r="S235">
        <v>1.631</v>
      </c>
      <c r="T235">
        <v>-0.24</v>
      </c>
      <c r="U235">
        <v>0.68799999999999994</v>
      </c>
      <c r="V235" t="b">
        <v>1</v>
      </c>
      <c r="W235" t="s">
        <v>50</v>
      </c>
    </row>
    <row r="236" spans="2:23" x14ac:dyDescent="0.3">
      <c r="B236" s="2">
        <f t="shared" si="3"/>
        <v>3.9338287000000491</v>
      </c>
      <c r="C236">
        <v>3225.6091262999998</v>
      </c>
      <c r="D236">
        <v>195</v>
      </c>
      <c r="E236">
        <v>39</v>
      </c>
      <c r="F236">
        <v>191.92500000000001</v>
      </c>
      <c r="G236">
        <v>32.712000000000003</v>
      </c>
      <c r="H236">
        <v>193.76327999999901</v>
      </c>
      <c r="I236">
        <v>37.737560000000002</v>
      </c>
      <c r="J236" t="s">
        <v>37</v>
      </c>
      <c r="K236">
        <v>0</v>
      </c>
      <c r="L236">
        <v>0</v>
      </c>
      <c r="M236">
        <v>0</v>
      </c>
      <c r="N236">
        <v>0</v>
      </c>
      <c r="O236">
        <v>-4.2526473999023404E-3</v>
      </c>
      <c r="P236">
        <v>-3.2953968048095701E-2</v>
      </c>
      <c r="Q236">
        <v>0</v>
      </c>
      <c r="R236">
        <v>160.30500000000001</v>
      </c>
      <c r="S236">
        <v>0.93200000000000005</v>
      </c>
      <c r="T236">
        <v>0.34599999999999997</v>
      </c>
      <c r="U236">
        <v>0.69299999999999995</v>
      </c>
      <c r="V236" t="b">
        <v>1</v>
      </c>
      <c r="W236" t="s">
        <v>50</v>
      </c>
    </row>
    <row r="237" spans="2:23" x14ac:dyDescent="0.3">
      <c r="B237" s="2">
        <f t="shared" si="3"/>
        <v>3.9800678999999946</v>
      </c>
      <c r="C237">
        <v>3225.6553654999998</v>
      </c>
      <c r="D237">
        <v>195</v>
      </c>
      <c r="E237">
        <v>39</v>
      </c>
      <c r="F237">
        <v>191.80199999999999</v>
      </c>
      <c r="G237">
        <v>32.057000000000002</v>
      </c>
      <c r="H237">
        <v>193.66488000000001</v>
      </c>
      <c r="I237">
        <v>37.739800000000002</v>
      </c>
      <c r="J237" t="s">
        <v>37</v>
      </c>
      <c r="K237">
        <v>0</v>
      </c>
      <c r="L237">
        <v>0</v>
      </c>
      <c r="M237">
        <v>0</v>
      </c>
      <c r="N237">
        <v>0</v>
      </c>
      <c r="O237">
        <v>-4.2526473999023404E-3</v>
      </c>
      <c r="P237">
        <v>-3.2953968048095701E-2</v>
      </c>
      <c r="Q237">
        <v>0</v>
      </c>
      <c r="R237">
        <v>160.30500000000001</v>
      </c>
      <c r="S237">
        <v>0.93200000000000005</v>
      </c>
      <c r="T237">
        <v>0.34599999999999997</v>
      </c>
      <c r="U237">
        <v>0.69299999999999995</v>
      </c>
      <c r="V237" t="b">
        <v>1</v>
      </c>
      <c r="W237" t="s">
        <v>50</v>
      </c>
    </row>
    <row r="238" spans="2:23" x14ac:dyDescent="0.3">
      <c r="B238" s="2">
        <f t="shared" si="3"/>
        <v>3.995798900000409</v>
      </c>
      <c r="C238">
        <v>3225.6710965000002</v>
      </c>
      <c r="D238">
        <v>195</v>
      </c>
      <c r="E238">
        <v>39</v>
      </c>
      <c r="F238">
        <v>191.80199999999999</v>
      </c>
      <c r="G238">
        <v>31.271000000000001</v>
      </c>
      <c r="H238">
        <v>193.58124000000001</v>
      </c>
      <c r="I238">
        <v>37.768239999999999</v>
      </c>
      <c r="J238" t="s">
        <v>37</v>
      </c>
      <c r="K238">
        <v>0</v>
      </c>
      <c r="L238">
        <v>0</v>
      </c>
      <c r="M238">
        <v>0</v>
      </c>
      <c r="N238">
        <v>0</v>
      </c>
      <c r="O238">
        <v>-1.8963607788085899E-2</v>
      </c>
      <c r="P238">
        <v>-4.0504379272460903E-3</v>
      </c>
      <c r="Q238">
        <v>0</v>
      </c>
      <c r="R238">
        <v>160.33500000000001</v>
      </c>
      <c r="S238">
        <v>0.50600000000000001</v>
      </c>
      <c r="T238">
        <v>0.59599999999999997</v>
      </c>
      <c r="U238">
        <v>0.69899999999999995</v>
      </c>
      <c r="V238" t="b">
        <v>1</v>
      </c>
      <c r="W238" t="s">
        <v>50</v>
      </c>
    </row>
    <row r="239" spans="2:23" x14ac:dyDescent="0.3">
      <c r="B239" s="2">
        <f t="shared" si="3"/>
        <v>4.0423875999999836</v>
      </c>
      <c r="C239">
        <v>3225.7176851999998</v>
      </c>
      <c r="D239">
        <v>198.9</v>
      </c>
      <c r="E239">
        <v>46.8</v>
      </c>
      <c r="F239">
        <v>191.643</v>
      </c>
      <c r="G239">
        <v>48.11</v>
      </c>
      <c r="H239">
        <v>193.49615999999901</v>
      </c>
      <c r="I239">
        <v>38.533119999999997</v>
      </c>
      <c r="J239" t="s">
        <v>37</v>
      </c>
      <c r="K239">
        <v>0</v>
      </c>
      <c r="L239">
        <v>0</v>
      </c>
      <c r="M239">
        <v>0</v>
      </c>
      <c r="N239">
        <v>0</v>
      </c>
      <c r="O239">
        <v>-1.8963607788085899E-2</v>
      </c>
      <c r="P239">
        <v>-4.0504379272460903E-3</v>
      </c>
      <c r="Q239">
        <v>0</v>
      </c>
      <c r="R239">
        <v>160.33500000000001</v>
      </c>
      <c r="S239">
        <v>0.50600000000000001</v>
      </c>
      <c r="T239">
        <v>0.59599999999999997</v>
      </c>
      <c r="U239">
        <v>0.69899999999999995</v>
      </c>
      <c r="V239" t="b">
        <v>1</v>
      </c>
      <c r="W239" t="s">
        <v>50</v>
      </c>
    </row>
    <row r="240" spans="2:23" x14ac:dyDescent="0.3">
      <c r="B240" s="2">
        <f t="shared" si="3"/>
        <v>4.0739817000003313</v>
      </c>
      <c r="C240">
        <v>3225.7492793000001</v>
      </c>
      <c r="D240">
        <v>195</v>
      </c>
      <c r="E240">
        <v>48.75</v>
      </c>
      <c r="F240">
        <v>192.54</v>
      </c>
      <c r="G240">
        <v>51.893999999999998</v>
      </c>
      <c r="H240">
        <v>193.45187999999999</v>
      </c>
      <c r="I240">
        <v>39.512239999999998</v>
      </c>
      <c r="J240" t="s">
        <v>37</v>
      </c>
      <c r="K240">
        <v>0</v>
      </c>
      <c r="L240">
        <v>0</v>
      </c>
      <c r="M240">
        <v>0</v>
      </c>
      <c r="N240">
        <v>0</v>
      </c>
      <c r="O240">
        <v>-2.3212724685668901E-2</v>
      </c>
      <c r="P240">
        <v>-2.32256698608398E-3</v>
      </c>
      <c r="Q240">
        <v>0</v>
      </c>
      <c r="R240">
        <v>160.245</v>
      </c>
      <c r="S240">
        <v>0.152</v>
      </c>
      <c r="T240">
        <v>0.47499999999999998</v>
      </c>
      <c r="U240">
        <v>0.70599999999999996</v>
      </c>
      <c r="V240" t="b">
        <v>1</v>
      </c>
      <c r="W240" t="s">
        <v>50</v>
      </c>
    </row>
    <row r="241" spans="2:23" x14ac:dyDescent="0.3">
      <c r="B241" s="2">
        <f t="shared" si="3"/>
        <v>4.1044402000002265</v>
      </c>
      <c r="C241">
        <v>3225.7797378</v>
      </c>
      <c r="D241">
        <v>195</v>
      </c>
      <c r="E241">
        <v>48.75</v>
      </c>
      <c r="F241">
        <v>192.90899999999999</v>
      </c>
      <c r="G241">
        <v>51.238999999999997</v>
      </c>
      <c r="H241">
        <v>193.45367999999999</v>
      </c>
      <c r="I241">
        <v>40.076279999999997</v>
      </c>
      <c r="J241" t="s">
        <v>37</v>
      </c>
      <c r="K241">
        <v>0</v>
      </c>
      <c r="L241">
        <v>0</v>
      </c>
      <c r="M241">
        <v>0</v>
      </c>
      <c r="N241">
        <v>0</v>
      </c>
      <c r="O241">
        <v>-2.3212724685668901E-2</v>
      </c>
      <c r="P241">
        <v>-2.32256698608398E-3</v>
      </c>
      <c r="Q241">
        <v>0</v>
      </c>
      <c r="R241">
        <v>160.245</v>
      </c>
      <c r="S241">
        <v>0.152</v>
      </c>
      <c r="T241">
        <v>0.47499999999999998</v>
      </c>
      <c r="U241">
        <v>0.70599999999999996</v>
      </c>
      <c r="V241" t="b">
        <v>1</v>
      </c>
      <c r="W241" t="s">
        <v>50</v>
      </c>
    </row>
    <row r="242" spans="2:23" x14ac:dyDescent="0.3">
      <c r="B242" s="2">
        <f t="shared" si="3"/>
        <v>4.1355275000000802</v>
      </c>
      <c r="C242">
        <v>3225.8108250999999</v>
      </c>
      <c r="D242">
        <v>195</v>
      </c>
      <c r="E242">
        <v>48.75</v>
      </c>
      <c r="F242">
        <v>193.155</v>
      </c>
      <c r="G242">
        <v>50.845999999999997</v>
      </c>
      <c r="H242">
        <v>193.41924</v>
      </c>
      <c r="I242">
        <v>40.240960000000001</v>
      </c>
      <c r="J242" t="s">
        <v>37</v>
      </c>
      <c r="K242">
        <v>0</v>
      </c>
      <c r="L242">
        <v>0</v>
      </c>
      <c r="M242">
        <v>0</v>
      </c>
      <c r="N242">
        <v>0</v>
      </c>
      <c r="O242">
        <v>1.4554488182067799E-2</v>
      </c>
      <c r="P242">
        <v>4.3956252932548498E-4</v>
      </c>
      <c r="Q242">
        <v>0</v>
      </c>
      <c r="R242">
        <v>160.21799999999999</v>
      </c>
      <c r="S242">
        <v>-0.16300000000000001</v>
      </c>
      <c r="T242">
        <v>0.28399999999999997</v>
      </c>
      <c r="U242">
        <v>0.71099999999999997</v>
      </c>
      <c r="V242" t="b">
        <v>1</v>
      </c>
      <c r="W242" t="s">
        <v>51</v>
      </c>
    </row>
    <row r="243" spans="2:23" x14ac:dyDescent="0.3">
      <c r="B243" s="2">
        <f t="shared" si="3"/>
        <v>4.1654601000000184</v>
      </c>
      <c r="C243">
        <v>3225.8407576999998</v>
      </c>
      <c r="D243">
        <v>195</v>
      </c>
      <c r="E243">
        <v>48.75</v>
      </c>
      <c r="F243">
        <v>193.27799999999999</v>
      </c>
      <c r="G243">
        <v>50.584000000000003</v>
      </c>
      <c r="H243">
        <v>193.38972000000001</v>
      </c>
      <c r="I243">
        <v>40.442320000000002</v>
      </c>
      <c r="J243" t="s">
        <v>37</v>
      </c>
      <c r="K243">
        <v>0</v>
      </c>
      <c r="L243">
        <v>0</v>
      </c>
      <c r="M243">
        <v>0</v>
      </c>
      <c r="N243">
        <v>0</v>
      </c>
      <c r="O243">
        <v>1.4554488182067799E-2</v>
      </c>
      <c r="P243">
        <v>4.3956252932548498E-4</v>
      </c>
      <c r="Q243">
        <v>0</v>
      </c>
      <c r="R243">
        <v>160.21799999999999</v>
      </c>
      <c r="S243">
        <v>-0.16300000000000001</v>
      </c>
      <c r="T243">
        <v>0.28399999999999997</v>
      </c>
      <c r="U243">
        <v>0.71099999999999997</v>
      </c>
      <c r="V243" t="b">
        <v>1</v>
      </c>
      <c r="W243" t="s">
        <v>51</v>
      </c>
    </row>
    <row r="244" spans="2:23" x14ac:dyDescent="0.3">
      <c r="B244" s="2">
        <f t="shared" si="3"/>
        <v>4.1966453000000001</v>
      </c>
      <c r="C244">
        <v>3225.8719428999998</v>
      </c>
      <c r="D244">
        <v>195</v>
      </c>
      <c r="E244">
        <v>48.75</v>
      </c>
      <c r="F244">
        <v>193.27799999999999</v>
      </c>
      <c r="G244">
        <v>50.453000000000003</v>
      </c>
      <c r="H244">
        <v>193.36511999999999</v>
      </c>
      <c r="I244">
        <v>40.67512</v>
      </c>
      <c r="J244" t="s">
        <v>37</v>
      </c>
      <c r="K244">
        <v>0</v>
      </c>
      <c r="L244">
        <v>0</v>
      </c>
      <c r="M244">
        <v>0</v>
      </c>
      <c r="N244">
        <v>0</v>
      </c>
      <c r="O244">
        <v>5.0445655822753899E-2</v>
      </c>
      <c r="P244">
        <v>-2.90245366096496E-3</v>
      </c>
      <c r="Q244">
        <v>0</v>
      </c>
      <c r="R244">
        <v>160.22399999999999</v>
      </c>
      <c r="S244">
        <v>-7.0000000000000007E-2</v>
      </c>
      <c r="T244">
        <v>0.109</v>
      </c>
      <c r="U244">
        <v>0.71799999999999997</v>
      </c>
      <c r="V244" t="b">
        <v>1</v>
      </c>
      <c r="W244" t="s">
        <v>51</v>
      </c>
    </row>
    <row r="245" spans="2:23" x14ac:dyDescent="0.3">
      <c r="B245" s="2">
        <f t="shared" si="3"/>
        <v>4.2278092000001379</v>
      </c>
      <c r="C245">
        <v>3225.9031067999999</v>
      </c>
      <c r="D245">
        <v>195</v>
      </c>
      <c r="E245">
        <v>48.75</v>
      </c>
      <c r="F245">
        <v>193.155</v>
      </c>
      <c r="G245">
        <v>50.715000000000003</v>
      </c>
      <c r="H245">
        <v>193.3356</v>
      </c>
      <c r="I245">
        <v>40.949840000000002</v>
      </c>
      <c r="J245" t="s">
        <v>37</v>
      </c>
      <c r="K245">
        <v>0</v>
      </c>
      <c r="L245">
        <v>0</v>
      </c>
      <c r="M245">
        <v>0</v>
      </c>
      <c r="N245">
        <v>0</v>
      </c>
      <c r="O245">
        <v>5.0445655822753899E-2</v>
      </c>
      <c r="P245">
        <v>-2.90245366096496E-3</v>
      </c>
      <c r="Q245">
        <v>0</v>
      </c>
      <c r="R245">
        <v>160.22399999999999</v>
      </c>
      <c r="S245">
        <v>-7.0000000000000007E-2</v>
      </c>
      <c r="T245">
        <v>0.109</v>
      </c>
      <c r="U245">
        <v>0.71799999999999997</v>
      </c>
      <c r="V245" t="b">
        <v>1</v>
      </c>
      <c r="W245" t="s">
        <v>51</v>
      </c>
    </row>
    <row r="246" spans="2:23" x14ac:dyDescent="0.3">
      <c r="B246" s="2">
        <f t="shared" si="3"/>
        <v>4.2745982000001277</v>
      </c>
      <c r="C246">
        <v>3225.9498957999999</v>
      </c>
      <c r="D246">
        <v>195</v>
      </c>
      <c r="E246">
        <v>48.75</v>
      </c>
      <c r="F246">
        <v>192.786</v>
      </c>
      <c r="G246">
        <v>51.238999999999997</v>
      </c>
      <c r="H246">
        <v>193.28639999999999</v>
      </c>
      <c r="I246">
        <v>41.276960000000003</v>
      </c>
      <c r="J246" t="s">
        <v>37</v>
      </c>
      <c r="K246">
        <v>0</v>
      </c>
      <c r="L246">
        <v>0</v>
      </c>
      <c r="M246">
        <v>0</v>
      </c>
      <c r="N246">
        <v>0</v>
      </c>
      <c r="O246">
        <v>4.3464126586914002E-2</v>
      </c>
      <c r="P246">
        <v>-1.99130153656005E-2</v>
      </c>
      <c r="Q246">
        <v>0</v>
      </c>
      <c r="R246">
        <v>160.197</v>
      </c>
      <c r="S246">
        <v>0.51300000000000001</v>
      </c>
      <c r="T246">
        <v>3.5000000000000003E-2</v>
      </c>
      <c r="U246">
        <v>0.72399999999999998</v>
      </c>
      <c r="V246" t="b">
        <v>1</v>
      </c>
      <c r="W246" t="s">
        <v>51</v>
      </c>
    </row>
    <row r="247" spans="2:23" x14ac:dyDescent="0.3">
      <c r="B247" s="2">
        <f t="shared" si="3"/>
        <v>4.3050646000001507</v>
      </c>
      <c r="C247">
        <v>3225.9803621999999</v>
      </c>
      <c r="D247">
        <v>195</v>
      </c>
      <c r="E247">
        <v>48.75</v>
      </c>
      <c r="F247">
        <v>192.417</v>
      </c>
      <c r="G247">
        <v>51.893999999999998</v>
      </c>
      <c r="H247">
        <v>193.21752000000001</v>
      </c>
      <c r="I247">
        <v>41.661719999999903</v>
      </c>
      <c r="J247" t="s">
        <v>37</v>
      </c>
      <c r="K247">
        <v>0</v>
      </c>
      <c r="L247">
        <v>0</v>
      </c>
      <c r="M247">
        <v>0</v>
      </c>
      <c r="N247">
        <v>0</v>
      </c>
      <c r="O247">
        <v>4.3464126586914002E-2</v>
      </c>
      <c r="P247">
        <v>-1.99130153656005E-2</v>
      </c>
      <c r="Q247">
        <v>0</v>
      </c>
      <c r="R247">
        <v>160.197</v>
      </c>
      <c r="S247">
        <v>0.51300000000000001</v>
      </c>
      <c r="T247">
        <v>3.5000000000000003E-2</v>
      </c>
      <c r="U247">
        <v>0.72399999999999998</v>
      </c>
      <c r="V247" t="b">
        <v>1</v>
      </c>
      <c r="W247" t="s">
        <v>51</v>
      </c>
    </row>
    <row r="248" spans="2:23" x14ac:dyDescent="0.3">
      <c r="B248" s="2">
        <f t="shared" si="3"/>
        <v>4.3357205000002068</v>
      </c>
      <c r="C248">
        <v>3226.0110181</v>
      </c>
      <c r="D248">
        <v>195</v>
      </c>
      <c r="E248">
        <v>48.75</v>
      </c>
      <c r="F248">
        <v>191.679</v>
      </c>
      <c r="G248">
        <v>52.417999999999999</v>
      </c>
      <c r="H248">
        <v>193.10928000000001</v>
      </c>
      <c r="I248">
        <v>42.0884</v>
      </c>
      <c r="J248" t="s">
        <v>37</v>
      </c>
      <c r="K248">
        <v>0</v>
      </c>
      <c r="L248">
        <v>0</v>
      </c>
      <c r="M248">
        <v>0</v>
      </c>
      <c r="N248">
        <v>0</v>
      </c>
      <c r="O248">
        <v>1.06536769866943E-2</v>
      </c>
      <c r="P248">
        <v>-2.2062450408935501E-2</v>
      </c>
      <c r="Q248">
        <v>0</v>
      </c>
      <c r="R248">
        <v>160.239</v>
      </c>
      <c r="S248">
        <v>1.2270000000000001</v>
      </c>
      <c r="T248">
        <v>0.34</v>
      </c>
      <c r="U248">
        <v>0.73299999999999998</v>
      </c>
      <c r="V248" t="b">
        <v>1</v>
      </c>
      <c r="W248" t="s">
        <v>51</v>
      </c>
    </row>
    <row r="249" spans="2:23" x14ac:dyDescent="0.3">
      <c r="B249" s="2">
        <f t="shared" si="3"/>
        <v>4.3668618000001516</v>
      </c>
      <c r="C249">
        <v>3226.0421593999999</v>
      </c>
      <c r="D249">
        <v>195</v>
      </c>
      <c r="E249">
        <v>48.75</v>
      </c>
      <c r="F249">
        <v>191.18700000000001</v>
      </c>
      <c r="G249">
        <v>52.942</v>
      </c>
      <c r="H249">
        <v>192.97644</v>
      </c>
      <c r="I249">
        <v>42.562240000000003</v>
      </c>
      <c r="J249" t="s">
        <v>37</v>
      </c>
      <c r="K249">
        <v>0</v>
      </c>
      <c r="L249">
        <v>0</v>
      </c>
      <c r="M249">
        <v>0</v>
      </c>
      <c r="N249">
        <v>0</v>
      </c>
      <c r="O249">
        <v>1.06536769866943E-2</v>
      </c>
      <c r="P249">
        <v>-2.2062450408935501E-2</v>
      </c>
      <c r="Q249">
        <v>0</v>
      </c>
      <c r="R249">
        <v>160.239</v>
      </c>
      <c r="S249">
        <v>1.2270000000000001</v>
      </c>
      <c r="T249">
        <v>0.34</v>
      </c>
      <c r="U249">
        <v>0.73299999999999998</v>
      </c>
      <c r="V249" t="b">
        <v>1</v>
      </c>
      <c r="W249" t="s">
        <v>51</v>
      </c>
    </row>
    <row r="250" spans="2:23" x14ac:dyDescent="0.3">
      <c r="B250" s="2">
        <f t="shared" si="3"/>
        <v>4.3979300000000876</v>
      </c>
      <c r="C250">
        <v>3226.0732275999999</v>
      </c>
      <c r="D250">
        <v>195</v>
      </c>
      <c r="E250">
        <v>48.75</v>
      </c>
      <c r="F250">
        <v>190.81800000000001</v>
      </c>
      <c r="G250">
        <v>53.204000000000001</v>
      </c>
      <c r="H250">
        <v>192.82391999999999</v>
      </c>
      <c r="I250">
        <v>43.067520000000002</v>
      </c>
      <c r="J250" t="s">
        <v>37</v>
      </c>
      <c r="K250">
        <v>0</v>
      </c>
      <c r="L250">
        <v>0</v>
      </c>
      <c r="M250">
        <v>0</v>
      </c>
      <c r="N250">
        <v>0</v>
      </c>
      <c r="O250">
        <v>-2.0642814636230401E-2</v>
      </c>
      <c r="P250">
        <v>6.52337837219238E-3</v>
      </c>
      <c r="Q250">
        <v>0</v>
      </c>
      <c r="R250">
        <v>160.30000000000001</v>
      </c>
      <c r="S250">
        <v>1.552</v>
      </c>
      <c r="T250">
        <v>0.60099999999999998</v>
      </c>
      <c r="U250">
        <v>0.73799999999999999</v>
      </c>
      <c r="V250" t="b">
        <v>1</v>
      </c>
      <c r="W250" t="s">
        <v>51</v>
      </c>
    </row>
    <row r="251" spans="2:23" x14ac:dyDescent="0.3">
      <c r="B251" s="2">
        <f t="shared" si="3"/>
        <v>4.4284158000000389</v>
      </c>
      <c r="C251">
        <v>3226.1037133999998</v>
      </c>
      <c r="D251">
        <v>195</v>
      </c>
      <c r="E251">
        <v>48.75</v>
      </c>
      <c r="F251">
        <v>190.69499999999999</v>
      </c>
      <c r="G251">
        <v>53.466000000000001</v>
      </c>
      <c r="H251">
        <v>192.66648000000001</v>
      </c>
      <c r="I251">
        <v>43.609479999999998</v>
      </c>
      <c r="J251" t="s">
        <v>37</v>
      </c>
      <c r="K251">
        <v>0</v>
      </c>
      <c r="L251">
        <v>0</v>
      </c>
      <c r="M251">
        <v>0</v>
      </c>
      <c r="N251">
        <v>0</v>
      </c>
      <c r="O251">
        <v>-2.0642814636230401E-2</v>
      </c>
      <c r="P251">
        <v>6.52337837219238E-3</v>
      </c>
      <c r="Q251">
        <v>0</v>
      </c>
      <c r="R251">
        <v>160.30000000000001</v>
      </c>
      <c r="S251">
        <v>1.552</v>
      </c>
      <c r="T251">
        <v>0.60099999999999998</v>
      </c>
      <c r="U251">
        <v>0.73799999999999999</v>
      </c>
      <c r="V251" t="b">
        <v>1</v>
      </c>
      <c r="W251" t="s">
        <v>51</v>
      </c>
    </row>
    <row r="252" spans="2:23" x14ac:dyDescent="0.3">
      <c r="B252" s="2">
        <f t="shared" si="3"/>
        <v>4.4752190000003793</v>
      </c>
      <c r="C252">
        <v>3226.1505166000002</v>
      </c>
      <c r="D252">
        <v>195</v>
      </c>
      <c r="E252">
        <v>43.875</v>
      </c>
      <c r="F252">
        <v>190.572</v>
      </c>
      <c r="G252">
        <v>43.088999999999999</v>
      </c>
      <c r="H252">
        <v>192.51396</v>
      </c>
      <c r="I252">
        <v>43.767799999999902</v>
      </c>
      <c r="J252" t="s">
        <v>37</v>
      </c>
      <c r="K252">
        <v>0</v>
      </c>
      <c r="L252">
        <v>0</v>
      </c>
      <c r="M252">
        <v>0</v>
      </c>
      <c r="N252">
        <v>0</v>
      </c>
      <c r="O252">
        <v>-3.50583152770996E-2</v>
      </c>
      <c r="P252">
        <v>-1.8229263305664E-2</v>
      </c>
      <c r="Q252">
        <v>0</v>
      </c>
      <c r="R252">
        <v>160.18799999999999</v>
      </c>
      <c r="S252">
        <v>1.373</v>
      </c>
      <c r="T252">
        <v>0.48</v>
      </c>
      <c r="U252">
        <v>0.74299999999999999</v>
      </c>
      <c r="V252" t="b">
        <v>1</v>
      </c>
      <c r="W252" t="s">
        <v>51</v>
      </c>
    </row>
    <row r="253" spans="2:23" x14ac:dyDescent="0.3">
      <c r="B253" s="2">
        <f t="shared" si="3"/>
        <v>4.5070405000001301</v>
      </c>
      <c r="C253">
        <v>3226.1823380999999</v>
      </c>
      <c r="D253" t="s">
        <v>39</v>
      </c>
      <c r="E253" t="s">
        <v>40</v>
      </c>
    </row>
    <row r="254" spans="2:23" x14ac:dyDescent="0.3">
      <c r="B254" s="2">
        <f t="shared" si="3"/>
        <v>4.5070405000001301</v>
      </c>
      <c r="C254">
        <v>3226.1823380999999</v>
      </c>
      <c r="D254">
        <v>195</v>
      </c>
      <c r="E254">
        <v>39</v>
      </c>
      <c r="F254">
        <v>190.572</v>
      </c>
      <c r="G254">
        <v>32.843000000000004</v>
      </c>
      <c r="H254">
        <v>192.37128000000001</v>
      </c>
      <c r="I254">
        <v>43.547719999999998</v>
      </c>
      <c r="J254">
        <v>43.547719999999998</v>
      </c>
      <c r="K254">
        <v>0.1</v>
      </c>
      <c r="L254">
        <v>0</v>
      </c>
      <c r="M254">
        <v>0</v>
      </c>
      <c r="N254">
        <v>0</v>
      </c>
      <c r="O254">
        <v>-3.50583152770996E-2</v>
      </c>
      <c r="P254">
        <v>-1.8229263305664E-2</v>
      </c>
      <c r="Q254">
        <v>0</v>
      </c>
      <c r="R254">
        <v>160.18799999999999</v>
      </c>
      <c r="S254">
        <v>1.373</v>
      </c>
      <c r="T254">
        <v>0.48</v>
      </c>
      <c r="U254">
        <v>0.74299999999999999</v>
      </c>
      <c r="V254" t="b">
        <v>1</v>
      </c>
      <c r="W254" t="s">
        <v>51</v>
      </c>
    </row>
    <row r="255" spans="2:23" x14ac:dyDescent="0.3">
      <c r="B255" s="2">
        <f t="shared" si="3"/>
        <v>4.537615900000219</v>
      </c>
      <c r="C255">
        <v>3226.2129135</v>
      </c>
      <c r="D255">
        <v>195</v>
      </c>
      <c r="E255">
        <v>39</v>
      </c>
      <c r="F255">
        <v>190.69499999999999</v>
      </c>
      <c r="G255">
        <v>32.973999999999997</v>
      </c>
      <c r="H255">
        <v>192.23844</v>
      </c>
      <c r="I255">
        <v>43.364319999999999</v>
      </c>
      <c r="J255">
        <v>43.399510226369301</v>
      </c>
      <c r="K255">
        <v>0.1</v>
      </c>
      <c r="L255">
        <v>0</v>
      </c>
      <c r="M255">
        <v>0</v>
      </c>
      <c r="N255">
        <v>0</v>
      </c>
      <c r="O255">
        <v>-1.9211751937866201E-2</v>
      </c>
      <c r="P255">
        <v>1.34873714447021E-2</v>
      </c>
      <c r="Q255">
        <v>0</v>
      </c>
      <c r="R255">
        <v>160.24799999999999</v>
      </c>
      <c r="S255">
        <v>0.82399999999999995</v>
      </c>
      <c r="T255">
        <v>0.59799999999999998</v>
      </c>
      <c r="U255">
        <v>0.747</v>
      </c>
      <c r="V255" t="b">
        <v>1</v>
      </c>
      <c r="W255" t="s">
        <v>51</v>
      </c>
    </row>
    <row r="256" spans="2:23" x14ac:dyDescent="0.3">
      <c r="B256" s="2">
        <f t="shared" si="3"/>
        <v>4.5528210000002218</v>
      </c>
      <c r="C256">
        <v>3226.2281186</v>
      </c>
      <c r="D256">
        <v>199.875</v>
      </c>
      <c r="E256">
        <v>43.875</v>
      </c>
      <c r="F256">
        <v>190.65</v>
      </c>
      <c r="G256">
        <v>43.481999999999999</v>
      </c>
      <c r="H256">
        <v>192.11363999999901</v>
      </c>
      <c r="I256">
        <v>43.62744</v>
      </c>
      <c r="J256">
        <v>43.706012798231001</v>
      </c>
      <c r="K256">
        <v>0.1</v>
      </c>
      <c r="L256">
        <v>0</v>
      </c>
      <c r="M256">
        <v>0</v>
      </c>
      <c r="N256">
        <v>0</v>
      </c>
      <c r="O256">
        <v>-1.9211751937866201E-2</v>
      </c>
      <c r="P256">
        <v>1.34873714447021E-2</v>
      </c>
      <c r="Q256">
        <v>0</v>
      </c>
      <c r="R256">
        <v>160.24799999999999</v>
      </c>
      <c r="S256">
        <v>0.82399999999999995</v>
      </c>
      <c r="T256">
        <v>0.59799999999999998</v>
      </c>
      <c r="U256">
        <v>0.747</v>
      </c>
      <c r="V256" t="b">
        <v>1</v>
      </c>
      <c r="W256" t="s">
        <v>51</v>
      </c>
    </row>
    <row r="257" spans="2:23" x14ac:dyDescent="0.3">
      <c r="B257" s="2">
        <f t="shared" si="3"/>
        <v>4.5840331000003971</v>
      </c>
      <c r="C257">
        <v>3226.2593307000002</v>
      </c>
      <c r="D257">
        <v>195</v>
      </c>
      <c r="E257">
        <v>48.75</v>
      </c>
      <c r="F257">
        <v>191.06399999999999</v>
      </c>
      <c r="G257">
        <v>53.728000000000002</v>
      </c>
      <c r="H257">
        <v>192.00540000000001</v>
      </c>
      <c r="I257">
        <v>44.33184</v>
      </c>
      <c r="J257">
        <v>44.552231100176797</v>
      </c>
      <c r="K257">
        <v>0.1</v>
      </c>
      <c r="L257">
        <v>0</v>
      </c>
      <c r="M257">
        <v>0</v>
      </c>
      <c r="N257">
        <v>0</v>
      </c>
      <c r="O257">
        <v>-2.2199587821960399E-3</v>
      </c>
      <c r="P257">
        <v>2.2490222930908198E-2</v>
      </c>
      <c r="Q257">
        <v>0</v>
      </c>
      <c r="R257">
        <v>160.20099999999999</v>
      </c>
      <c r="S257">
        <v>0.27500000000000002</v>
      </c>
      <c r="T257">
        <v>0.41699999999999998</v>
      </c>
      <c r="U257">
        <v>0.747</v>
      </c>
      <c r="V257" t="b">
        <v>1</v>
      </c>
      <c r="W257" t="s">
        <v>51</v>
      </c>
    </row>
    <row r="258" spans="2:23" x14ac:dyDescent="0.3">
      <c r="B258" s="2">
        <f t="shared" si="3"/>
        <v>4.6146783000003779</v>
      </c>
      <c r="C258">
        <v>3226.2899759000002</v>
      </c>
      <c r="D258">
        <v>195</v>
      </c>
      <c r="E258">
        <v>48.75</v>
      </c>
      <c r="F258">
        <v>191.06399999999999</v>
      </c>
      <c r="G258">
        <v>53.204000000000001</v>
      </c>
      <c r="H258">
        <v>191.91192000000001</v>
      </c>
      <c r="I258">
        <v>45.046720000000001</v>
      </c>
      <c r="J258">
        <v>45.473978832654602</v>
      </c>
      <c r="K258">
        <v>0.1</v>
      </c>
      <c r="L258">
        <v>0</v>
      </c>
      <c r="M258">
        <v>0</v>
      </c>
      <c r="N258">
        <v>0</v>
      </c>
      <c r="O258">
        <v>-2.2199587821960399E-3</v>
      </c>
      <c r="P258">
        <v>2.2490222930908198E-2</v>
      </c>
      <c r="Q258">
        <v>0</v>
      </c>
      <c r="R258">
        <v>160.20099999999999</v>
      </c>
      <c r="S258">
        <v>0.27500000000000002</v>
      </c>
      <c r="T258">
        <v>0.41699999999999998</v>
      </c>
      <c r="U258">
        <v>0.747</v>
      </c>
      <c r="V258" t="b">
        <v>1</v>
      </c>
      <c r="W258" t="s">
        <v>51</v>
      </c>
    </row>
    <row r="259" spans="2:23" x14ac:dyDescent="0.3">
      <c r="B259" s="2">
        <f t="shared" si="3"/>
        <v>4.6612142000003587</v>
      </c>
      <c r="C259">
        <v>3226.3365118000002</v>
      </c>
      <c r="D259">
        <v>195</v>
      </c>
      <c r="E259">
        <v>48.75</v>
      </c>
      <c r="F259">
        <v>191.06399999999999</v>
      </c>
      <c r="G259">
        <v>52.417999999999999</v>
      </c>
      <c r="H259">
        <v>191.82828000000001</v>
      </c>
      <c r="I259">
        <v>45.761600000000001</v>
      </c>
      <c r="J259">
        <v>46.627449389442297</v>
      </c>
      <c r="K259">
        <v>0.1</v>
      </c>
      <c r="L259">
        <v>0</v>
      </c>
      <c r="M259">
        <v>0</v>
      </c>
      <c r="N259">
        <v>0</v>
      </c>
      <c r="O259">
        <v>-1.1212217330932601E-2</v>
      </c>
      <c r="P259">
        <v>8.0898780822753896E-3</v>
      </c>
      <c r="Q259">
        <v>0</v>
      </c>
      <c r="R259">
        <v>160.274</v>
      </c>
      <c r="S259">
        <v>-0.41099999999999998</v>
      </c>
      <c r="T259">
        <v>0.33400000000000002</v>
      </c>
      <c r="U259">
        <v>0.749</v>
      </c>
      <c r="V259" t="b">
        <v>1</v>
      </c>
      <c r="W259" t="s">
        <v>51</v>
      </c>
    </row>
    <row r="260" spans="2:23" x14ac:dyDescent="0.3">
      <c r="B260" s="2">
        <f t="shared" ref="B260:B323" si="4">C260-$C$3</f>
        <v>4.6927078000003348</v>
      </c>
      <c r="C260">
        <v>3226.3680054000001</v>
      </c>
      <c r="D260">
        <v>195</v>
      </c>
      <c r="E260">
        <v>48.75</v>
      </c>
      <c r="F260">
        <v>190.81800000000001</v>
      </c>
      <c r="G260">
        <v>51.762999999999998</v>
      </c>
      <c r="H260">
        <v>191.75448</v>
      </c>
      <c r="I260">
        <v>46.476479999999903</v>
      </c>
      <c r="J260">
        <v>47.721848635003298</v>
      </c>
      <c r="K260">
        <v>0.1</v>
      </c>
      <c r="L260">
        <v>0</v>
      </c>
      <c r="M260">
        <v>0</v>
      </c>
      <c r="N260">
        <v>0</v>
      </c>
      <c r="O260">
        <v>-1.1212217330932601E-2</v>
      </c>
      <c r="P260">
        <v>8.0898780822753896E-3</v>
      </c>
      <c r="Q260">
        <v>0</v>
      </c>
      <c r="R260">
        <v>160.274</v>
      </c>
      <c r="S260">
        <v>-0.41099999999999998</v>
      </c>
      <c r="T260">
        <v>0.33400000000000002</v>
      </c>
      <c r="U260">
        <v>0.749</v>
      </c>
      <c r="V260" t="b">
        <v>1</v>
      </c>
      <c r="W260" t="s">
        <v>51</v>
      </c>
    </row>
    <row r="261" spans="2:23" x14ac:dyDescent="0.3">
      <c r="B261" s="2">
        <f t="shared" si="4"/>
        <v>4.7241723000001912</v>
      </c>
      <c r="C261">
        <v>3226.3994699</v>
      </c>
      <c r="D261">
        <v>195</v>
      </c>
      <c r="E261">
        <v>48.75</v>
      </c>
      <c r="F261">
        <v>190.572</v>
      </c>
      <c r="G261">
        <v>50.976999999999997</v>
      </c>
      <c r="H261">
        <v>191.68559999999999</v>
      </c>
      <c r="I261">
        <v>47.180879999999902</v>
      </c>
      <c r="J261">
        <v>48.870145131601703</v>
      </c>
      <c r="K261">
        <v>0.1</v>
      </c>
      <c r="L261">
        <v>0</v>
      </c>
      <c r="M261">
        <v>0</v>
      </c>
      <c r="N261">
        <v>0</v>
      </c>
      <c r="O261">
        <v>-6.85362815856933E-3</v>
      </c>
      <c r="P261">
        <v>1.53215656280517E-2</v>
      </c>
      <c r="Q261">
        <v>0</v>
      </c>
      <c r="R261">
        <v>160.327</v>
      </c>
      <c r="S261">
        <v>-1.345</v>
      </c>
      <c r="T261">
        <v>0.28299999999999997</v>
      </c>
      <c r="U261">
        <v>0.749</v>
      </c>
      <c r="V261" t="b">
        <v>1</v>
      </c>
      <c r="W261" t="s">
        <v>51</v>
      </c>
    </row>
    <row r="262" spans="2:23" x14ac:dyDescent="0.3">
      <c r="B262" s="2">
        <f t="shared" si="4"/>
        <v>4.7552841000001536</v>
      </c>
      <c r="C262">
        <v>3226.4305816999999</v>
      </c>
      <c r="D262">
        <v>195</v>
      </c>
      <c r="E262">
        <v>48.75</v>
      </c>
      <c r="F262">
        <v>190.203</v>
      </c>
      <c r="G262">
        <v>50.322000000000003</v>
      </c>
      <c r="H262">
        <v>191.61671999999999</v>
      </c>
      <c r="I262">
        <v>47.885280000000002</v>
      </c>
      <c r="J262">
        <v>50.075490988117103</v>
      </c>
      <c r="K262">
        <v>0.1</v>
      </c>
      <c r="L262">
        <v>0</v>
      </c>
      <c r="M262">
        <v>0</v>
      </c>
      <c r="N262">
        <v>0</v>
      </c>
      <c r="O262">
        <v>-6.85362815856933E-3</v>
      </c>
      <c r="P262">
        <v>1.53215656280517E-2</v>
      </c>
      <c r="Q262">
        <v>0</v>
      </c>
      <c r="R262">
        <v>160.327</v>
      </c>
      <c r="S262">
        <v>-1.345</v>
      </c>
      <c r="T262">
        <v>0.28299999999999997</v>
      </c>
      <c r="U262">
        <v>0.749</v>
      </c>
      <c r="V262" t="b">
        <v>1</v>
      </c>
      <c r="W262" t="s">
        <v>51</v>
      </c>
    </row>
    <row r="263" spans="2:23" x14ac:dyDescent="0.3">
      <c r="B263" s="2">
        <f t="shared" si="4"/>
        <v>4.7871487000002162</v>
      </c>
      <c r="C263">
        <v>3226.4624463</v>
      </c>
      <c r="D263">
        <v>195</v>
      </c>
      <c r="E263">
        <v>48.75</v>
      </c>
      <c r="F263">
        <v>189.95699999999999</v>
      </c>
      <c r="G263">
        <v>49.929000000000002</v>
      </c>
      <c r="H263">
        <v>191.54292000000001</v>
      </c>
      <c r="I263">
        <v>48.600159999999903</v>
      </c>
      <c r="J263">
        <v>51.365767098946499</v>
      </c>
      <c r="K263">
        <v>0.1</v>
      </c>
      <c r="L263">
        <v>0</v>
      </c>
      <c r="M263">
        <v>0</v>
      </c>
      <c r="N263">
        <v>0</v>
      </c>
      <c r="O263">
        <v>1.1604148864746E-2</v>
      </c>
      <c r="P263">
        <v>2.3650562286376901E-2</v>
      </c>
      <c r="Q263">
        <v>0</v>
      </c>
      <c r="R263">
        <v>160.28299999999999</v>
      </c>
      <c r="S263">
        <v>-2.1469999999999998</v>
      </c>
      <c r="T263">
        <v>0.21</v>
      </c>
      <c r="U263">
        <v>0.751</v>
      </c>
      <c r="V263" t="b">
        <v>1</v>
      </c>
      <c r="W263" t="s">
        <v>51</v>
      </c>
    </row>
    <row r="264" spans="2:23" x14ac:dyDescent="0.3">
      <c r="B264" s="2">
        <f t="shared" si="4"/>
        <v>4.8184103000003233</v>
      </c>
      <c r="C264">
        <v>3226.4937079000001</v>
      </c>
      <c r="D264">
        <v>195</v>
      </c>
      <c r="E264">
        <v>48.75</v>
      </c>
      <c r="F264">
        <v>189.834</v>
      </c>
      <c r="G264">
        <v>49.798000000000002</v>
      </c>
      <c r="H264">
        <v>191.46420000000001</v>
      </c>
      <c r="I264">
        <v>49.3412399999999</v>
      </c>
      <c r="J264">
        <v>52.731115787156099</v>
      </c>
      <c r="K264">
        <v>0.1</v>
      </c>
      <c r="L264">
        <v>0</v>
      </c>
      <c r="M264">
        <v>0</v>
      </c>
      <c r="N264">
        <v>0</v>
      </c>
      <c r="O264">
        <v>1.1604148864746E-2</v>
      </c>
      <c r="P264">
        <v>2.3650562286376901E-2</v>
      </c>
      <c r="Q264">
        <v>0</v>
      </c>
      <c r="R264">
        <v>160.28299999999999</v>
      </c>
      <c r="S264">
        <v>-2.1469999999999998</v>
      </c>
      <c r="T264">
        <v>0.21</v>
      </c>
      <c r="U264">
        <v>0.751</v>
      </c>
      <c r="V264" t="b">
        <v>1</v>
      </c>
      <c r="W264" t="s">
        <v>51</v>
      </c>
    </row>
    <row r="265" spans="2:23" x14ac:dyDescent="0.3">
      <c r="B265" s="2">
        <f t="shared" si="4"/>
        <v>4.8648840000000746</v>
      </c>
      <c r="C265">
        <v>3226.5401815999999</v>
      </c>
      <c r="D265">
        <v>195</v>
      </c>
      <c r="E265">
        <v>48.75</v>
      </c>
      <c r="F265">
        <v>189.834</v>
      </c>
      <c r="G265">
        <v>49.798000000000002</v>
      </c>
      <c r="H265">
        <v>191.39184</v>
      </c>
      <c r="I265">
        <v>49.408760000000001</v>
      </c>
      <c r="J265">
        <v>53.832905373869501</v>
      </c>
      <c r="K265">
        <v>0.1</v>
      </c>
      <c r="L265">
        <v>0</v>
      </c>
      <c r="M265">
        <v>0</v>
      </c>
      <c r="N265">
        <v>0</v>
      </c>
      <c r="O265">
        <v>4.8526710510253902E-2</v>
      </c>
      <c r="P265">
        <v>2.0451021194458002E-2</v>
      </c>
      <c r="Q265">
        <v>0</v>
      </c>
      <c r="R265">
        <v>160.30000000000001</v>
      </c>
      <c r="S265">
        <v>-2.831</v>
      </c>
      <c r="T265">
        <v>7.4999999999999997E-2</v>
      </c>
      <c r="U265">
        <v>0.752</v>
      </c>
      <c r="V265" t="b">
        <v>1</v>
      </c>
      <c r="W265" t="s">
        <v>51</v>
      </c>
    </row>
    <row r="266" spans="2:23" x14ac:dyDescent="0.3">
      <c r="B266" s="2">
        <f t="shared" si="4"/>
        <v>4.8959517000002961</v>
      </c>
      <c r="C266">
        <v>3226.5712493000001</v>
      </c>
      <c r="D266">
        <v>195</v>
      </c>
      <c r="E266">
        <v>48.75</v>
      </c>
      <c r="F266">
        <v>189.71100000000001</v>
      </c>
      <c r="G266">
        <v>50.06</v>
      </c>
      <c r="H266">
        <v>191.27868000000001</v>
      </c>
      <c r="I266">
        <v>49.3353999999999</v>
      </c>
      <c r="J266">
        <v>54.519748935239697</v>
      </c>
      <c r="K266">
        <v>0.1</v>
      </c>
      <c r="L266">
        <v>0</v>
      </c>
      <c r="M266">
        <v>0</v>
      </c>
      <c r="N266">
        <v>0</v>
      </c>
      <c r="O266">
        <v>4.8526710510253902E-2</v>
      </c>
      <c r="P266">
        <v>2.0451021194458002E-2</v>
      </c>
      <c r="Q266">
        <v>0</v>
      </c>
      <c r="R266">
        <v>160.30000000000001</v>
      </c>
      <c r="S266">
        <v>-2.831</v>
      </c>
      <c r="T266">
        <v>7.4999999999999997E-2</v>
      </c>
      <c r="U266">
        <v>0.752</v>
      </c>
      <c r="V266" t="b">
        <v>1</v>
      </c>
      <c r="W266" t="s">
        <v>51</v>
      </c>
    </row>
    <row r="267" spans="2:23" x14ac:dyDescent="0.3">
      <c r="B267" s="2">
        <f t="shared" si="4"/>
        <v>4.9267509000001155</v>
      </c>
      <c r="C267">
        <v>3226.6020484999999</v>
      </c>
      <c r="D267">
        <v>195</v>
      </c>
      <c r="E267">
        <v>48.75</v>
      </c>
      <c r="F267">
        <v>189.71100000000001</v>
      </c>
      <c r="G267">
        <v>50.453000000000003</v>
      </c>
      <c r="H267">
        <v>191.15075999999999</v>
      </c>
      <c r="I267">
        <v>49.303959999999897</v>
      </c>
      <c r="J267">
        <v>55.294791599857398</v>
      </c>
      <c r="K267">
        <v>0.1</v>
      </c>
      <c r="L267">
        <v>0</v>
      </c>
      <c r="M267">
        <v>0</v>
      </c>
      <c r="N267">
        <v>0</v>
      </c>
      <c r="O267">
        <v>7.0969512939453097E-2</v>
      </c>
      <c r="P267">
        <v>1.2659514427184999E-2</v>
      </c>
      <c r="Q267">
        <v>0</v>
      </c>
      <c r="R267">
        <v>160.405</v>
      </c>
      <c r="S267">
        <v>-3.157</v>
      </c>
      <c r="T267">
        <v>-4.2999999999999997E-2</v>
      </c>
      <c r="U267">
        <v>0.754</v>
      </c>
      <c r="V267" t="b">
        <v>1</v>
      </c>
      <c r="W267" t="s">
        <v>51</v>
      </c>
    </row>
    <row r="268" spans="2:23" x14ac:dyDescent="0.3">
      <c r="B268" s="2">
        <f t="shared" si="4"/>
        <v>4.9738620000002811</v>
      </c>
      <c r="C268">
        <v>3226.6491596000001</v>
      </c>
      <c r="D268">
        <v>195</v>
      </c>
      <c r="E268">
        <v>48.75</v>
      </c>
      <c r="F268">
        <v>189.71100000000001</v>
      </c>
      <c r="G268">
        <v>50.845999999999997</v>
      </c>
      <c r="H268">
        <v>191.01300000000001</v>
      </c>
      <c r="I268">
        <v>49.303959999999996</v>
      </c>
      <c r="J268">
        <v>56.627269841491099</v>
      </c>
      <c r="K268">
        <v>0.1</v>
      </c>
      <c r="L268">
        <v>0</v>
      </c>
      <c r="M268">
        <v>0</v>
      </c>
      <c r="N268">
        <v>0</v>
      </c>
      <c r="O268">
        <v>7.0969512939453097E-2</v>
      </c>
      <c r="P268">
        <v>1.2659514427184999E-2</v>
      </c>
      <c r="Q268">
        <v>0</v>
      </c>
      <c r="R268">
        <v>160.405</v>
      </c>
      <c r="S268">
        <v>-3.157</v>
      </c>
      <c r="T268">
        <v>-4.2999999999999997E-2</v>
      </c>
      <c r="U268">
        <v>0.754</v>
      </c>
      <c r="V268" t="b">
        <v>1</v>
      </c>
      <c r="W268" t="s">
        <v>51</v>
      </c>
    </row>
    <row r="269" spans="2:23" x14ac:dyDescent="0.3">
      <c r="B269" s="2">
        <f t="shared" si="4"/>
        <v>4.9892149000002064</v>
      </c>
      <c r="C269">
        <v>3226.6645125</v>
      </c>
      <c r="D269">
        <v>195</v>
      </c>
      <c r="E269">
        <v>48.75</v>
      </c>
      <c r="F269">
        <v>189.834</v>
      </c>
      <c r="G269">
        <v>51.107999999999997</v>
      </c>
      <c r="H269">
        <v>190.87523999999999</v>
      </c>
      <c r="I269">
        <v>49.324919999999899</v>
      </c>
      <c r="J269">
        <v>57.107658238318002</v>
      </c>
      <c r="K269">
        <v>0.1</v>
      </c>
      <c r="L269">
        <v>0</v>
      </c>
      <c r="M269">
        <v>0</v>
      </c>
      <c r="N269">
        <v>0</v>
      </c>
      <c r="O269">
        <v>0.11867857360839799</v>
      </c>
      <c r="P269">
        <v>9.6928911209106395E-3</v>
      </c>
      <c r="Q269">
        <v>0</v>
      </c>
      <c r="R269">
        <v>160.36600000000001</v>
      </c>
      <c r="S269">
        <v>-3.3660000000000001</v>
      </c>
      <c r="T269">
        <v>-6.8000000000000005E-2</v>
      </c>
      <c r="U269">
        <v>0.754</v>
      </c>
      <c r="V269" t="b">
        <v>1</v>
      </c>
      <c r="W269" t="s">
        <v>51</v>
      </c>
    </row>
    <row r="270" spans="2:23" x14ac:dyDescent="0.3">
      <c r="B270" s="2">
        <f t="shared" si="4"/>
        <v>5.0212012000001778</v>
      </c>
      <c r="C270">
        <v>3226.6964988</v>
      </c>
      <c r="D270">
        <v>195</v>
      </c>
      <c r="E270">
        <v>48.75</v>
      </c>
      <c r="F270">
        <v>189.95699999999999</v>
      </c>
      <c r="G270">
        <v>51.500999999999998</v>
      </c>
      <c r="H270">
        <v>190.7424</v>
      </c>
      <c r="I270">
        <v>49.366839999999897</v>
      </c>
      <c r="J270">
        <v>58.145529776792998</v>
      </c>
      <c r="K270">
        <v>0.1</v>
      </c>
      <c r="L270">
        <v>0</v>
      </c>
      <c r="M270">
        <v>0</v>
      </c>
      <c r="N270">
        <v>0</v>
      </c>
      <c r="O270">
        <v>0.11867857360839799</v>
      </c>
      <c r="P270">
        <v>9.6928911209106395E-3</v>
      </c>
      <c r="Q270">
        <v>0</v>
      </c>
      <c r="R270">
        <v>160.36600000000001</v>
      </c>
      <c r="S270">
        <v>-3.3660000000000001</v>
      </c>
      <c r="T270">
        <v>-6.8000000000000005E-2</v>
      </c>
      <c r="U270">
        <v>0.754</v>
      </c>
      <c r="V270" t="b">
        <v>1</v>
      </c>
      <c r="W270" t="s">
        <v>51</v>
      </c>
    </row>
    <row r="271" spans="2:23" x14ac:dyDescent="0.3">
      <c r="B271" s="2">
        <f t="shared" si="4"/>
        <v>5.0516725000002225</v>
      </c>
      <c r="C271">
        <v>3226.7269701</v>
      </c>
      <c r="D271">
        <v>195</v>
      </c>
      <c r="E271">
        <v>48.75</v>
      </c>
      <c r="F271">
        <v>189.95699999999999</v>
      </c>
      <c r="G271">
        <v>52.024999999999999</v>
      </c>
      <c r="H271">
        <v>190.61447999999999</v>
      </c>
      <c r="I271">
        <v>49.419240000000002</v>
      </c>
      <c r="J271">
        <v>59.194437876320599</v>
      </c>
      <c r="K271">
        <v>0.1</v>
      </c>
      <c r="L271">
        <v>0</v>
      </c>
      <c r="M271">
        <v>0</v>
      </c>
      <c r="N271">
        <v>0</v>
      </c>
      <c r="O271">
        <v>0.18835075378417901</v>
      </c>
      <c r="P271">
        <v>-1.17118186950683E-2</v>
      </c>
      <c r="Q271">
        <v>0</v>
      </c>
      <c r="R271">
        <v>160.42500000000001</v>
      </c>
      <c r="S271">
        <v>-3.3820000000000001</v>
      </c>
      <c r="T271">
        <v>0.03</v>
      </c>
      <c r="U271">
        <v>0.75700000000000001</v>
      </c>
      <c r="V271" t="b">
        <v>1</v>
      </c>
      <c r="W271" t="s">
        <v>51</v>
      </c>
    </row>
    <row r="272" spans="2:23" x14ac:dyDescent="0.3">
      <c r="B272" s="2">
        <f t="shared" si="4"/>
        <v>5.0827851000003648</v>
      </c>
      <c r="C272">
        <v>3226.7580827000002</v>
      </c>
      <c r="D272">
        <v>195</v>
      </c>
      <c r="E272">
        <v>48.75</v>
      </c>
      <c r="F272">
        <v>190.08</v>
      </c>
      <c r="G272">
        <v>52.68</v>
      </c>
      <c r="H272">
        <v>190.50623999999999</v>
      </c>
      <c r="I272">
        <v>49.476880000000001</v>
      </c>
      <c r="J272">
        <v>60.316416111509497</v>
      </c>
      <c r="K272">
        <v>0.1</v>
      </c>
      <c r="L272">
        <v>0</v>
      </c>
      <c r="M272">
        <v>0</v>
      </c>
      <c r="N272">
        <v>0</v>
      </c>
      <c r="O272">
        <v>0.18835075378417901</v>
      </c>
      <c r="P272">
        <v>-1.17118186950683E-2</v>
      </c>
      <c r="Q272">
        <v>0</v>
      </c>
      <c r="R272">
        <v>160.42500000000001</v>
      </c>
      <c r="S272">
        <v>-3.3820000000000001</v>
      </c>
      <c r="T272">
        <v>0.03</v>
      </c>
      <c r="U272">
        <v>0.75700000000000001</v>
      </c>
      <c r="V272" t="b">
        <v>1</v>
      </c>
      <c r="W272" t="s">
        <v>51</v>
      </c>
    </row>
    <row r="273" spans="2:23" x14ac:dyDescent="0.3">
      <c r="B273" s="2">
        <f t="shared" si="4"/>
        <v>5.1137316000003921</v>
      </c>
      <c r="C273">
        <v>3226.7890292000002</v>
      </c>
      <c r="D273">
        <v>195</v>
      </c>
      <c r="E273">
        <v>48.75</v>
      </c>
      <c r="F273">
        <v>190.08</v>
      </c>
      <c r="G273">
        <v>53.466000000000001</v>
      </c>
      <c r="H273">
        <v>190.41275999999999</v>
      </c>
      <c r="I273">
        <v>49.539759999999902</v>
      </c>
      <c r="J273">
        <v>61.483765095936</v>
      </c>
      <c r="K273">
        <v>0.1</v>
      </c>
      <c r="L273">
        <v>0</v>
      </c>
      <c r="M273">
        <v>0</v>
      </c>
      <c r="N273">
        <v>0</v>
      </c>
      <c r="O273">
        <v>0.218739669799804</v>
      </c>
      <c r="P273">
        <v>-4.3821411132812498E-3</v>
      </c>
      <c r="Q273">
        <v>0</v>
      </c>
      <c r="R273">
        <v>160.42500000000001</v>
      </c>
      <c r="S273">
        <v>-3.2330000000000001</v>
      </c>
      <c r="T273">
        <v>0.17199999999999999</v>
      </c>
      <c r="U273">
        <v>0.75600000000000001</v>
      </c>
      <c r="V273" t="b">
        <v>1</v>
      </c>
      <c r="W273" t="s">
        <v>52</v>
      </c>
    </row>
    <row r="274" spans="2:23" x14ac:dyDescent="0.3">
      <c r="B274" s="2">
        <f t="shared" si="4"/>
        <v>5.1452981000002183</v>
      </c>
      <c r="C274">
        <v>3226.8205957</v>
      </c>
      <c r="D274">
        <v>195</v>
      </c>
      <c r="E274">
        <v>48.75</v>
      </c>
      <c r="F274">
        <v>190.203</v>
      </c>
      <c r="G274">
        <v>54.121000000000002</v>
      </c>
      <c r="H274">
        <v>190.35372000000001</v>
      </c>
      <c r="I274">
        <v>49.607880000000002</v>
      </c>
      <c r="J274">
        <v>62.724383898813201</v>
      </c>
      <c r="K274">
        <v>0.1</v>
      </c>
      <c r="L274">
        <v>0</v>
      </c>
      <c r="M274">
        <v>0</v>
      </c>
      <c r="N274">
        <v>0</v>
      </c>
      <c r="O274">
        <v>0.218739669799804</v>
      </c>
      <c r="P274">
        <v>-4.3821411132812498E-3</v>
      </c>
      <c r="Q274">
        <v>0</v>
      </c>
      <c r="R274">
        <v>160.42500000000001</v>
      </c>
      <c r="S274">
        <v>-3.2330000000000001</v>
      </c>
      <c r="T274">
        <v>0.17199999999999999</v>
      </c>
      <c r="U274">
        <v>0.75600000000000001</v>
      </c>
      <c r="V274" t="b">
        <v>1</v>
      </c>
      <c r="W274" t="s">
        <v>52</v>
      </c>
    </row>
    <row r="275" spans="2:23" x14ac:dyDescent="0.3">
      <c r="B275" s="2">
        <f t="shared" si="4"/>
        <v>5.1763471000003847</v>
      </c>
      <c r="C275">
        <v>3226.8516447000002</v>
      </c>
      <c r="D275">
        <v>199.875</v>
      </c>
      <c r="E275">
        <v>43.875</v>
      </c>
      <c r="F275">
        <v>190.15799999999999</v>
      </c>
      <c r="G275">
        <v>44.661000000000001</v>
      </c>
      <c r="H275">
        <v>190.31255999999999</v>
      </c>
      <c r="I275">
        <v>49.27664</v>
      </c>
      <c r="J275">
        <v>63.590520970445901</v>
      </c>
      <c r="K275">
        <v>0.1</v>
      </c>
      <c r="L275">
        <v>0</v>
      </c>
      <c r="M275">
        <v>0</v>
      </c>
      <c r="N275">
        <v>0</v>
      </c>
      <c r="O275">
        <v>0.24901806640624999</v>
      </c>
      <c r="P275">
        <v>9.1701292991638102E-4</v>
      </c>
      <c r="Q275">
        <v>0</v>
      </c>
      <c r="R275">
        <v>160.458</v>
      </c>
      <c r="S275">
        <v>-2.98</v>
      </c>
      <c r="T275">
        <v>0.218</v>
      </c>
      <c r="U275">
        <v>0.75900000000000001</v>
      </c>
      <c r="V275" t="b">
        <v>1</v>
      </c>
      <c r="W275" t="s">
        <v>52</v>
      </c>
    </row>
    <row r="276" spans="2:23" x14ac:dyDescent="0.3">
      <c r="B276" s="2">
        <f t="shared" si="4"/>
        <v>5.206453700000111</v>
      </c>
      <c r="C276">
        <v>3226.8817512999999</v>
      </c>
      <c r="D276">
        <v>195</v>
      </c>
      <c r="E276">
        <v>39</v>
      </c>
      <c r="F276">
        <v>190.203</v>
      </c>
      <c r="G276">
        <v>35.07</v>
      </c>
      <c r="H276">
        <v>190.28796</v>
      </c>
      <c r="I276">
        <v>48.551279999999899</v>
      </c>
      <c r="J276">
        <v>64.066931306427506</v>
      </c>
      <c r="K276">
        <v>0.1</v>
      </c>
      <c r="L276">
        <v>0</v>
      </c>
      <c r="M276">
        <v>0</v>
      </c>
      <c r="N276">
        <v>0</v>
      </c>
      <c r="O276">
        <v>0.24901806640624999</v>
      </c>
      <c r="P276">
        <v>9.1701292991638102E-4</v>
      </c>
      <c r="Q276">
        <v>0</v>
      </c>
      <c r="R276">
        <v>160.458</v>
      </c>
      <c r="S276">
        <v>-2.98</v>
      </c>
      <c r="T276">
        <v>0.218</v>
      </c>
      <c r="U276">
        <v>0.75900000000000001</v>
      </c>
      <c r="V276" t="b">
        <v>1</v>
      </c>
      <c r="W276" t="s">
        <v>52</v>
      </c>
    </row>
    <row r="277" spans="2:23" x14ac:dyDescent="0.3">
      <c r="B277" s="2">
        <f t="shared" si="4"/>
        <v>5.2538562000004276</v>
      </c>
      <c r="C277">
        <v>3226.9291538000002</v>
      </c>
      <c r="D277">
        <v>195</v>
      </c>
      <c r="E277">
        <v>39</v>
      </c>
      <c r="F277">
        <v>190.32599999999999</v>
      </c>
      <c r="G277">
        <v>35.594000000000001</v>
      </c>
      <c r="H277">
        <v>190.2732</v>
      </c>
      <c r="I277">
        <v>47.836399999999998</v>
      </c>
      <c r="J277">
        <v>65.3231785566947</v>
      </c>
      <c r="K277">
        <v>0.1</v>
      </c>
      <c r="L277">
        <v>0</v>
      </c>
      <c r="M277">
        <v>0</v>
      </c>
      <c r="N277">
        <v>0</v>
      </c>
      <c r="O277">
        <v>0.24953628540039</v>
      </c>
      <c r="P277">
        <v>-6.45036792755126E-3</v>
      </c>
      <c r="Q277">
        <v>0</v>
      </c>
      <c r="R277">
        <v>160.345</v>
      </c>
      <c r="S277">
        <v>-2.6360000000000001</v>
      </c>
      <c r="T277">
        <v>0.156</v>
      </c>
      <c r="U277">
        <v>0.76</v>
      </c>
      <c r="V277" t="b">
        <v>1</v>
      </c>
      <c r="W277" t="s">
        <v>52</v>
      </c>
    </row>
    <row r="278" spans="2:23" x14ac:dyDescent="0.3">
      <c r="B278" s="2">
        <f t="shared" si="4"/>
        <v>5.2850330000001122</v>
      </c>
      <c r="C278">
        <v>3226.9603305999999</v>
      </c>
      <c r="D278">
        <v>195</v>
      </c>
      <c r="E278">
        <v>39</v>
      </c>
      <c r="F278">
        <v>190.44900000000001</v>
      </c>
      <c r="G278">
        <v>35.987000000000002</v>
      </c>
      <c r="H278">
        <v>190.26827999999901</v>
      </c>
      <c r="I278">
        <v>47.552320000000002</v>
      </c>
      <c r="J278">
        <v>66.386645030740397</v>
      </c>
      <c r="K278">
        <v>0.1</v>
      </c>
      <c r="L278">
        <v>0</v>
      </c>
      <c r="M278">
        <v>0</v>
      </c>
      <c r="N278">
        <v>0</v>
      </c>
      <c r="O278">
        <v>0.24953628540039</v>
      </c>
      <c r="P278">
        <v>-6.45036792755126E-3</v>
      </c>
      <c r="Q278">
        <v>0</v>
      </c>
      <c r="R278">
        <v>160.345</v>
      </c>
      <c r="S278">
        <v>-2.6360000000000001</v>
      </c>
      <c r="T278">
        <v>0.156</v>
      </c>
      <c r="U278">
        <v>0.76</v>
      </c>
      <c r="V278" t="b">
        <v>1</v>
      </c>
      <c r="W278" t="s">
        <v>52</v>
      </c>
    </row>
    <row r="279" spans="2:23" x14ac:dyDescent="0.3">
      <c r="B279" s="2">
        <f t="shared" si="4"/>
        <v>5.3151507000002312</v>
      </c>
      <c r="C279">
        <v>3226.9904483</v>
      </c>
      <c r="D279">
        <v>195</v>
      </c>
      <c r="E279">
        <v>39</v>
      </c>
      <c r="F279">
        <v>190.69499999999999</v>
      </c>
      <c r="G279">
        <v>35.987000000000002</v>
      </c>
      <c r="H279">
        <v>190.2732</v>
      </c>
      <c r="I279">
        <v>47.678080000000001</v>
      </c>
      <c r="J279">
        <v>67.851590553699495</v>
      </c>
      <c r="K279">
        <v>0.1</v>
      </c>
      <c r="L279">
        <v>0</v>
      </c>
      <c r="M279">
        <v>0</v>
      </c>
      <c r="N279">
        <v>0</v>
      </c>
      <c r="O279">
        <v>0.29247509765625002</v>
      </c>
      <c r="P279">
        <v>3.72808051109313E-3</v>
      </c>
      <c r="Q279">
        <v>0</v>
      </c>
      <c r="R279">
        <v>160.345</v>
      </c>
      <c r="S279">
        <v>-2.5939999999999999</v>
      </c>
      <c r="T279">
        <v>9.9000000000000005E-2</v>
      </c>
      <c r="U279">
        <v>0.75700000000000001</v>
      </c>
      <c r="V279" t="b">
        <v>1</v>
      </c>
      <c r="W279" t="s">
        <v>52</v>
      </c>
    </row>
    <row r="280" spans="2:23" x14ac:dyDescent="0.3">
      <c r="B280" s="2">
        <f t="shared" si="4"/>
        <v>5.3462414000000535</v>
      </c>
      <c r="C280">
        <v>3227.0215389999998</v>
      </c>
      <c r="D280">
        <v>195</v>
      </c>
      <c r="E280">
        <v>39</v>
      </c>
      <c r="F280">
        <v>190.69499999999999</v>
      </c>
      <c r="G280">
        <v>35.987000000000002</v>
      </c>
      <c r="H280">
        <v>190.27319999999901</v>
      </c>
      <c r="I280">
        <v>47.7986</v>
      </c>
      <c r="J280">
        <v>69.392184959774994</v>
      </c>
      <c r="K280">
        <v>0.1</v>
      </c>
      <c r="L280">
        <v>0</v>
      </c>
      <c r="M280">
        <v>0</v>
      </c>
      <c r="N280">
        <v>0</v>
      </c>
      <c r="O280">
        <v>0.29247509765625002</v>
      </c>
      <c r="P280">
        <v>3.72808051109313E-3</v>
      </c>
      <c r="Q280">
        <v>0</v>
      </c>
      <c r="R280">
        <v>160.345</v>
      </c>
      <c r="S280">
        <v>-2.5939999999999999</v>
      </c>
      <c r="T280">
        <v>9.9000000000000005E-2</v>
      </c>
      <c r="U280">
        <v>0.75700000000000001</v>
      </c>
      <c r="V280" t="b">
        <v>1</v>
      </c>
      <c r="W280" t="s">
        <v>52</v>
      </c>
    </row>
    <row r="281" spans="2:23" x14ac:dyDescent="0.3">
      <c r="B281" s="2">
        <f t="shared" si="4"/>
        <v>5.3769308000000819</v>
      </c>
      <c r="C281">
        <v>3227.0522283999999</v>
      </c>
      <c r="D281">
        <v>195</v>
      </c>
      <c r="E281">
        <v>39</v>
      </c>
      <c r="F281">
        <v>190.81800000000001</v>
      </c>
      <c r="G281">
        <v>35.594000000000001</v>
      </c>
      <c r="H281">
        <v>190.27991999999901</v>
      </c>
      <c r="I281">
        <v>47.483080000000001</v>
      </c>
      <c r="J281">
        <v>70.514980581166398</v>
      </c>
      <c r="K281">
        <v>0.1</v>
      </c>
      <c r="L281">
        <v>0</v>
      </c>
      <c r="M281">
        <v>0</v>
      </c>
      <c r="N281">
        <v>0</v>
      </c>
      <c r="O281">
        <v>0.33987286376953102</v>
      </c>
      <c r="P281">
        <v>8.5738897323608398E-3</v>
      </c>
      <c r="Q281">
        <v>0</v>
      </c>
      <c r="R281">
        <v>160.35499999999999</v>
      </c>
      <c r="S281">
        <v>-2.601</v>
      </c>
      <c r="T281">
        <v>-2.1999999999999999E-2</v>
      </c>
      <c r="U281">
        <v>0.75700000000000001</v>
      </c>
      <c r="V281" t="b">
        <v>1</v>
      </c>
      <c r="W281" t="s">
        <v>52</v>
      </c>
    </row>
    <row r="282" spans="2:23" x14ac:dyDescent="0.3">
      <c r="B282" s="2">
        <f t="shared" si="4"/>
        <v>5.4089211000000432</v>
      </c>
      <c r="C282">
        <v>3227.0842186999998</v>
      </c>
      <c r="D282">
        <v>195</v>
      </c>
      <c r="E282">
        <v>39</v>
      </c>
      <c r="F282">
        <v>190.81800000000001</v>
      </c>
      <c r="G282">
        <v>35.463000000000001</v>
      </c>
      <c r="H282">
        <v>190.27007999999901</v>
      </c>
      <c r="I282">
        <v>46.752479999999998</v>
      </c>
      <c r="J282">
        <v>71.321378291341304</v>
      </c>
      <c r="K282">
        <v>0.1</v>
      </c>
      <c r="L282">
        <v>0</v>
      </c>
      <c r="M282">
        <v>0</v>
      </c>
      <c r="N282">
        <v>0</v>
      </c>
      <c r="O282">
        <v>0.33987286376953102</v>
      </c>
      <c r="P282">
        <v>8.5738897323608398E-3</v>
      </c>
      <c r="Q282">
        <v>0</v>
      </c>
      <c r="R282">
        <v>160.35499999999999</v>
      </c>
      <c r="S282">
        <v>-2.601</v>
      </c>
      <c r="T282">
        <v>-2.1999999999999999E-2</v>
      </c>
      <c r="U282">
        <v>0.75700000000000001</v>
      </c>
      <c r="V282" t="b">
        <v>1</v>
      </c>
      <c r="W282" t="s">
        <v>52</v>
      </c>
    </row>
    <row r="283" spans="2:23" x14ac:dyDescent="0.3">
      <c r="B283" s="2">
        <f t="shared" si="4"/>
        <v>5.4551541000000725</v>
      </c>
      <c r="C283">
        <v>3227.1304516999999</v>
      </c>
      <c r="D283">
        <v>195</v>
      </c>
      <c r="E283">
        <v>39</v>
      </c>
      <c r="F283">
        <v>190.572</v>
      </c>
      <c r="G283">
        <v>34.414999999999999</v>
      </c>
      <c r="H283">
        <v>190.25040000000001</v>
      </c>
      <c r="I283">
        <v>46.000919999999901</v>
      </c>
      <c r="J283">
        <v>72.857175504815203</v>
      </c>
      <c r="K283">
        <v>0.1</v>
      </c>
      <c r="L283">
        <v>0</v>
      </c>
      <c r="M283">
        <v>0</v>
      </c>
      <c r="N283">
        <v>0</v>
      </c>
      <c r="O283">
        <v>0.34663098144531201</v>
      </c>
      <c r="P283">
        <v>7.2232419252395597E-4</v>
      </c>
      <c r="Q283">
        <v>0</v>
      </c>
      <c r="R283">
        <v>160.34700000000001</v>
      </c>
      <c r="S283">
        <v>-2.548</v>
      </c>
      <c r="T283">
        <v>-0.13500000000000001</v>
      </c>
      <c r="U283">
        <v>0.75700000000000001</v>
      </c>
      <c r="V283" t="b">
        <v>1</v>
      </c>
      <c r="W283" t="s">
        <v>52</v>
      </c>
    </row>
    <row r="284" spans="2:23" x14ac:dyDescent="0.3">
      <c r="B284" s="2">
        <f t="shared" si="4"/>
        <v>5.4857228000000759</v>
      </c>
      <c r="C284">
        <v>3227.1610203999999</v>
      </c>
      <c r="D284">
        <v>198.9</v>
      </c>
      <c r="E284">
        <v>46.8</v>
      </c>
      <c r="F284">
        <v>190.536</v>
      </c>
      <c r="G284">
        <v>50.074999999999903</v>
      </c>
      <c r="H284">
        <v>190.22927999999999</v>
      </c>
      <c r="I284">
        <v>45.907200000000003</v>
      </c>
      <c r="J284">
        <v>74.317475189273296</v>
      </c>
      <c r="K284">
        <v>0.1</v>
      </c>
      <c r="L284">
        <v>0</v>
      </c>
      <c r="M284">
        <v>0</v>
      </c>
      <c r="N284">
        <v>0</v>
      </c>
      <c r="O284">
        <v>0.34663098144531201</v>
      </c>
      <c r="P284">
        <v>7.2232419252395597E-4</v>
      </c>
      <c r="Q284">
        <v>0</v>
      </c>
      <c r="R284">
        <v>160.34700000000001</v>
      </c>
      <c r="S284">
        <v>-2.548</v>
      </c>
      <c r="T284">
        <v>-0.13500000000000001</v>
      </c>
      <c r="U284">
        <v>0.75700000000000001</v>
      </c>
      <c r="V284" t="b">
        <v>1</v>
      </c>
      <c r="W284" t="s">
        <v>52</v>
      </c>
    </row>
    <row r="285" spans="2:23" x14ac:dyDescent="0.3">
      <c r="B285" s="2">
        <f t="shared" si="4"/>
        <v>5.5166819000000942</v>
      </c>
      <c r="C285">
        <v>3227.1919794999999</v>
      </c>
      <c r="D285">
        <v>195</v>
      </c>
      <c r="E285">
        <v>48.75</v>
      </c>
      <c r="F285">
        <v>190.32599999999999</v>
      </c>
      <c r="G285">
        <v>53.204000000000001</v>
      </c>
      <c r="H285">
        <v>190.20959999999999</v>
      </c>
      <c r="I285">
        <v>45.964839999999903</v>
      </c>
      <c r="J285">
        <v>75.981805939872402</v>
      </c>
      <c r="K285">
        <v>0.1</v>
      </c>
      <c r="L285">
        <v>0</v>
      </c>
      <c r="M285">
        <v>0</v>
      </c>
      <c r="N285">
        <v>0</v>
      </c>
      <c r="O285">
        <v>0.35235766601562502</v>
      </c>
      <c r="P285">
        <v>5.5185332298278798E-3</v>
      </c>
      <c r="Q285">
        <v>0</v>
      </c>
      <c r="R285">
        <v>160.381</v>
      </c>
      <c r="S285">
        <v>-2.4049999999999998</v>
      </c>
      <c r="T285">
        <v>-6.4000000000000001E-2</v>
      </c>
      <c r="U285">
        <v>0.75800000000000001</v>
      </c>
      <c r="V285" t="b">
        <v>1</v>
      </c>
      <c r="W285" t="s">
        <v>52</v>
      </c>
    </row>
    <row r="286" spans="2:23" x14ac:dyDescent="0.3">
      <c r="B286" s="2">
        <f t="shared" si="4"/>
        <v>5.5484199000002263</v>
      </c>
      <c r="C286">
        <v>3227.2237175</v>
      </c>
      <c r="D286">
        <v>195</v>
      </c>
      <c r="E286">
        <v>48.75</v>
      </c>
      <c r="F286">
        <v>190.203</v>
      </c>
      <c r="G286">
        <v>52.286999999999999</v>
      </c>
      <c r="H286">
        <v>190.19484</v>
      </c>
      <c r="I286">
        <v>46.017240000000001</v>
      </c>
      <c r="J286">
        <v>77.714759861313496</v>
      </c>
      <c r="K286">
        <v>0.1</v>
      </c>
      <c r="L286">
        <v>0</v>
      </c>
      <c r="M286">
        <v>0</v>
      </c>
      <c r="N286">
        <v>0</v>
      </c>
      <c r="O286">
        <v>0.35235766601562502</v>
      </c>
      <c r="P286">
        <v>5.5185332298278798E-3</v>
      </c>
      <c r="Q286">
        <v>0</v>
      </c>
      <c r="R286">
        <v>160.381</v>
      </c>
      <c r="S286">
        <v>-2.4049999999999998</v>
      </c>
      <c r="T286">
        <v>-6.4000000000000001E-2</v>
      </c>
      <c r="U286">
        <v>0.75800000000000001</v>
      </c>
      <c r="V286" t="b">
        <v>1</v>
      </c>
      <c r="W286" t="s">
        <v>52</v>
      </c>
    </row>
    <row r="287" spans="2:23" x14ac:dyDescent="0.3">
      <c r="B287" s="2">
        <f t="shared" si="4"/>
        <v>5.5797838000003139</v>
      </c>
      <c r="C287">
        <v>3227.2550814000001</v>
      </c>
      <c r="D287">
        <v>195</v>
      </c>
      <c r="E287">
        <v>48.75</v>
      </c>
      <c r="F287">
        <v>190.203</v>
      </c>
      <c r="G287">
        <v>51.107999999999997</v>
      </c>
      <c r="H287">
        <v>190.19484</v>
      </c>
      <c r="I287">
        <v>46.048679999999997</v>
      </c>
      <c r="J287">
        <v>79.439373828025197</v>
      </c>
      <c r="K287">
        <v>0.1</v>
      </c>
      <c r="L287">
        <v>0</v>
      </c>
      <c r="M287">
        <v>0</v>
      </c>
      <c r="N287">
        <v>0</v>
      </c>
      <c r="O287">
        <v>0.37517709350585898</v>
      </c>
      <c r="P287">
        <v>7.5686187744140598E-3</v>
      </c>
      <c r="Q287">
        <v>0</v>
      </c>
      <c r="R287">
        <v>160.40799999999999</v>
      </c>
      <c r="S287">
        <v>-2.3650000000000002</v>
      </c>
      <c r="T287">
        <v>-0.155</v>
      </c>
      <c r="U287">
        <v>0.75900000000000001</v>
      </c>
      <c r="V287" t="b">
        <v>1</v>
      </c>
      <c r="W287" t="s">
        <v>52</v>
      </c>
    </row>
    <row r="288" spans="2:23" x14ac:dyDescent="0.3">
      <c r="B288" s="2">
        <f t="shared" si="4"/>
        <v>5.6095580000001064</v>
      </c>
      <c r="C288">
        <v>3227.2848555999999</v>
      </c>
      <c r="D288">
        <v>195</v>
      </c>
      <c r="E288">
        <v>48.75</v>
      </c>
      <c r="F288">
        <v>190.08</v>
      </c>
      <c r="G288">
        <v>49.929000000000002</v>
      </c>
      <c r="H288">
        <v>190.19976</v>
      </c>
      <c r="I288">
        <v>46.048679999999997</v>
      </c>
      <c r="J288">
        <v>81.0758195577084</v>
      </c>
      <c r="K288">
        <v>0.1</v>
      </c>
      <c r="L288">
        <v>0</v>
      </c>
      <c r="M288">
        <v>0</v>
      </c>
      <c r="N288">
        <v>0</v>
      </c>
      <c r="O288">
        <v>0.37517709350585898</v>
      </c>
      <c r="P288">
        <v>7.5686187744140598E-3</v>
      </c>
      <c r="Q288">
        <v>0</v>
      </c>
      <c r="R288">
        <v>160.40799999999999</v>
      </c>
      <c r="S288">
        <v>-2.3650000000000002</v>
      </c>
      <c r="T288">
        <v>-0.155</v>
      </c>
      <c r="U288">
        <v>0.75900000000000001</v>
      </c>
      <c r="V288" t="b">
        <v>1</v>
      </c>
      <c r="W288" t="s">
        <v>52</v>
      </c>
    </row>
    <row r="289" spans="2:23" x14ac:dyDescent="0.3">
      <c r="B289" s="2">
        <f t="shared" si="4"/>
        <v>5.6410262000003968</v>
      </c>
      <c r="C289">
        <v>3227.3163238000002</v>
      </c>
      <c r="D289">
        <v>195</v>
      </c>
      <c r="E289">
        <v>48.75</v>
      </c>
      <c r="F289">
        <v>190.08</v>
      </c>
      <c r="G289">
        <v>48.75</v>
      </c>
      <c r="H289">
        <v>190.20959999999999</v>
      </c>
      <c r="I289">
        <v>46.00676</v>
      </c>
      <c r="J289">
        <v>82.793492218735906</v>
      </c>
      <c r="K289">
        <v>0.1</v>
      </c>
      <c r="L289">
        <v>0</v>
      </c>
      <c r="M289">
        <v>0</v>
      </c>
      <c r="N289">
        <v>0</v>
      </c>
      <c r="O289">
        <v>0.40075527954101497</v>
      </c>
      <c r="P289">
        <v>1.34560565948486E-2</v>
      </c>
      <c r="Q289">
        <v>0</v>
      </c>
      <c r="R289">
        <v>160.37200000000001</v>
      </c>
      <c r="S289">
        <v>-2.2610000000000001</v>
      </c>
      <c r="T289">
        <v>-0.216</v>
      </c>
      <c r="U289">
        <v>0.75900000000000001</v>
      </c>
      <c r="V289" t="b">
        <v>1</v>
      </c>
      <c r="W289" t="s">
        <v>52</v>
      </c>
    </row>
    <row r="290" spans="2:23" x14ac:dyDescent="0.3">
      <c r="B290" s="2">
        <f t="shared" si="4"/>
        <v>5.6720820000000458</v>
      </c>
      <c r="C290">
        <v>3227.3473795999998</v>
      </c>
      <c r="D290">
        <v>191.1</v>
      </c>
      <c r="E290">
        <v>46.8</v>
      </c>
      <c r="F290">
        <v>190.11599999999899</v>
      </c>
      <c r="G290">
        <v>43.524999999999999</v>
      </c>
      <c r="H290">
        <v>190.22087999999999</v>
      </c>
      <c r="I290">
        <v>45.755839999999999</v>
      </c>
      <c r="J290">
        <v>84.308631222085495</v>
      </c>
      <c r="K290">
        <v>0.1</v>
      </c>
      <c r="L290">
        <v>0</v>
      </c>
      <c r="M290">
        <v>0</v>
      </c>
      <c r="N290">
        <v>0</v>
      </c>
      <c r="O290">
        <v>0.40075527954101497</v>
      </c>
      <c r="P290">
        <v>1.34560565948486E-2</v>
      </c>
      <c r="Q290">
        <v>0</v>
      </c>
      <c r="R290">
        <v>160.37200000000001</v>
      </c>
      <c r="S290">
        <v>-2.2610000000000001</v>
      </c>
      <c r="T290">
        <v>-0.216</v>
      </c>
      <c r="U290">
        <v>0.75900000000000001</v>
      </c>
      <c r="V290" t="b">
        <v>1</v>
      </c>
      <c r="W290" t="s">
        <v>52</v>
      </c>
    </row>
    <row r="291" spans="2:23" x14ac:dyDescent="0.3">
      <c r="B291" s="2">
        <f t="shared" si="4"/>
        <v>5.7036822000000029</v>
      </c>
      <c r="C291">
        <v>3227.3789797999998</v>
      </c>
      <c r="D291">
        <v>195</v>
      </c>
      <c r="E291">
        <v>48.75</v>
      </c>
      <c r="F291">
        <v>190.08</v>
      </c>
      <c r="G291">
        <v>46.392000000000003</v>
      </c>
      <c r="H291">
        <v>190.23563999999999</v>
      </c>
      <c r="I291">
        <v>45.609119999999898</v>
      </c>
      <c r="J291">
        <v>85.988283654193495</v>
      </c>
      <c r="K291">
        <v>0.1</v>
      </c>
      <c r="L291">
        <v>0</v>
      </c>
      <c r="M291">
        <v>0</v>
      </c>
      <c r="N291">
        <v>0</v>
      </c>
      <c r="O291">
        <v>0.443825225830078</v>
      </c>
      <c r="P291">
        <v>7.3544092178344702E-3</v>
      </c>
      <c r="Q291">
        <v>0</v>
      </c>
      <c r="R291">
        <v>160.392</v>
      </c>
      <c r="S291">
        <v>-2.444</v>
      </c>
      <c r="T291">
        <v>-0.24</v>
      </c>
      <c r="U291">
        <v>0.75800000000000001</v>
      </c>
      <c r="V291" t="b">
        <v>1</v>
      </c>
      <c r="W291" t="s">
        <v>52</v>
      </c>
    </row>
    <row r="292" spans="2:23" x14ac:dyDescent="0.3">
      <c r="B292" s="2">
        <f t="shared" si="4"/>
        <v>5.7347582000002149</v>
      </c>
      <c r="C292">
        <v>3227.4100558</v>
      </c>
      <c r="D292">
        <v>195</v>
      </c>
      <c r="E292">
        <v>48.75</v>
      </c>
      <c r="F292">
        <v>190.203</v>
      </c>
      <c r="G292">
        <v>45.082000000000001</v>
      </c>
      <c r="H292">
        <v>190.25532000000001</v>
      </c>
      <c r="I292">
        <v>45.394280000000002</v>
      </c>
      <c r="J292">
        <v>87.594103130555695</v>
      </c>
      <c r="K292">
        <v>0.1</v>
      </c>
      <c r="L292">
        <v>0</v>
      </c>
      <c r="M292">
        <v>0</v>
      </c>
      <c r="N292">
        <v>0</v>
      </c>
      <c r="O292">
        <v>0.443825225830078</v>
      </c>
      <c r="P292">
        <v>7.3544092178344702E-3</v>
      </c>
      <c r="Q292">
        <v>0</v>
      </c>
      <c r="R292">
        <v>160.392</v>
      </c>
      <c r="S292">
        <v>-2.444</v>
      </c>
      <c r="T292">
        <v>-0.24</v>
      </c>
      <c r="U292">
        <v>0.75800000000000001</v>
      </c>
      <c r="V292" t="b">
        <v>1</v>
      </c>
      <c r="W292" t="s">
        <v>52</v>
      </c>
    </row>
    <row r="293" spans="2:23" x14ac:dyDescent="0.3">
      <c r="B293" s="2">
        <f t="shared" si="4"/>
        <v>5.7660101999999824</v>
      </c>
      <c r="C293">
        <v>3227.4413077999998</v>
      </c>
      <c r="D293">
        <v>195</v>
      </c>
      <c r="E293">
        <v>48.75</v>
      </c>
      <c r="F293">
        <v>190.203</v>
      </c>
      <c r="G293">
        <v>43.902999999999999</v>
      </c>
      <c r="H293">
        <v>190.27500000000001</v>
      </c>
      <c r="I293">
        <v>45.11656</v>
      </c>
      <c r="J293">
        <v>89.118973844071405</v>
      </c>
      <c r="K293">
        <v>0.1</v>
      </c>
      <c r="L293">
        <v>0</v>
      </c>
      <c r="M293">
        <v>0</v>
      </c>
      <c r="N293">
        <v>0</v>
      </c>
      <c r="O293">
        <v>0.49050595092773402</v>
      </c>
      <c r="P293">
        <v>2.19725227355957E-2</v>
      </c>
      <c r="Q293">
        <v>0</v>
      </c>
      <c r="R293">
        <v>160.52000000000001</v>
      </c>
      <c r="S293">
        <v>-2.4140000000000001</v>
      </c>
      <c r="T293">
        <v>-0.375</v>
      </c>
      <c r="U293">
        <v>0.75900000000000001</v>
      </c>
      <c r="V293" t="b">
        <v>1</v>
      </c>
      <c r="W293" t="s">
        <v>52</v>
      </c>
    </row>
    <row r="294" spans="2:23" x14ac:dyDescent="0.3">
      <c r="B294" s="2">
        <f t="shared" si="4"/>
        <v>5.7983756000003268</v>
      </c>
      <c r="C294">
        <v>3227.4736732000001</v>
      </c>
      <c r="D294">
        <v>195</v>
      </c>
      <c r="E294">
        <v>58.5</v>
      </c>
      <c r="F294">
        <v>190.44900000000001</v>
      </c>
      <c r="G294">
        <v>62.954000000000001</v>
      </c>
      <c r="H294">
        <v>190.2996</v>
      </c>
      <c r="I294">
        <v>45.590400000000002</v>
      </c>
      <c r="J294">
        <v>91.412334258681597</v>
      </c>
      <c r="K294">
        <v>0.1</v>
      </c>
      <c r="L294">
        <v>0</v>
      </c>
      <c r="M294">
        <v>0</v>
      </c>
      <c r="N294">
        <v>0</v>
      </c>
      <c r="O294">
        <v>0.49050595092773402</v>
      </c>
      <c r="P294">
        <v>2.19725227355957E-2</v>
      </c>
      <c r="Q294">
        <v>0</v>
      </c>
      <c r="R294">
        <v>160.52000000000001</v>
      </c>
      <c r="S294">
        <v>-2.4140000000000001</v>
      </c>
      <c r="T294">
        <v>-0.375</v>
      </c>
      <c r="U294">
        <v>0.75900000000000001</v>
      </c>
      <c r="V294" t="b">
        <v>1</v>
      </c>
      <c r="W294" t="s">
        <v>52</v>
      </c>
    </row>
    <row r="295" spans="2:23" x14ac:dyDescent="0.3">
      <c r="B295" s="2">
        <f t="shared" si="4"/>
        <v>5.8292917000003399</v>
      </c>
      <c r="C295">
        <v>3227.5045893000001</v>
      </c>
      <c r="D295">
        <v>195</v>
      </c>
      <c r="E295">
        <v>58.5</v>
      </c>
      <c r="F295">
        <v>190.44900000000001</v>
      </c>
      <c r="G295">
        <v>61.512999999999998</v>
      </c>
      <c r="H295">
        <v>190.31927999999999</v>
      </c>
      <c r="I295">
        <v>45.990879999999997</v>
      </c>
      <c r="J295">
        <v>93.507051502899898</v>
      </c>
      <c r="K295">
        <v>0.1</v>
      </c>
      <c r="L295">
        <v>0</v>
      </c>
      <c r="M295">
        <v>0</v>
      </c>
      <c r="N295">
        <v>0</v>
      </c>
      <c r="O295">
        <v>0.505907928466796</v>
      </c>
      <c r="P295">
        <v>-1.0987440109252899E-2</v>
      </c>
      <c r="Q295">
        <v>0</v>
      </c>
      <c r="R295">
        <v>160.36600000000001</v>
      </c>
      <c r="S295">
        <v>-2.3759999999999999</v>
      </c>
      <c r="T295">
        <v>-0.58499999999999996</v>
      </c>
      <c r="U295">
        <v>0.76700000000000002</v>
      </c>
      <c r="V295" t="b">
        <v>1</v>
      </c>
      <c r="W295" t="s">
        <v>52</v>
      </c>
    </row>
    <row r="296" spans="2:23" x14ac:dyDescent="0.3">
      <c r="B296" s="2">
        <f t="shared" si="4"/>
        <v>5.8760879999999815</v>
      </c>
      <c r="C296">
        <v>3227.5513855999998</v>
      </c>
      <c r="D296">
        <v>195</v>
      </c>
      <c r="E296">
        <v>58.5</v>
      </c>
      <c r="F296">
        <v>190.44900000000001</v>
      </c>
      <c r="G296">
        <v>59.941000000000003</v>
      </c>
      <c r="H296">
        <v>190.33895999999899</v>
      </c>
      <c r="I296">
        <v>46.307519999999997</v>
      </c>
      <c r="J296">
        <v>96.309125767298497</v>
      </c>
      <c r="K296">
        <v>0.1</v>
      </c>
      <c r="L296">
        <v>0</v>
      </c>
      <c r="M296">
        <v>0</v>
      </c>
      <c r="N296">
        <v>0</v>
      </c>
      <c r="O296">
        <v>0.505907928466796</v>
      </c>
      <c r="P296">
        <v>-1.0987440109252899E-2</v>
      </c>
      <c r="Q296">
        <v>0</v>
      </c>
      <c r="R296">
        <v>160.36600000000001</v>
      </c>
      <c r="S296">
        <v>-2.3759999999999999</v>
      </c>
      <c r="T296">
        <v>-0.58499999999999996</v>
      </c>
      <c r="U296">
        <v>0.76700000000000002</v>
      </c>
      <c r="V296" t="b">
        <v>1</v>
      </c>
      <c r="W296" t="s">
        <v>52</v>
      </c>
    </row>
    <row r="297" spans="2:23" x14ac:dyDescent="0.3">
      <c r="B297" s="2">
        <f t="shared" si="4"/>
        <v>5.9069489000003159</v>
      </c>
      <c r="C297">
        <v>3227.5822465000001</v>
      </c>
      <c r="D297">
        <v>195</v>
      </c>
      <c r="E297">
        <v>58.5</v>
      </c>
      <c r="F297">
        <v>190.44900000000001</v>
      </c>
      <c r="G297">
        <v>58.5</v>
      </c>
      <c r="H297">
        <v>190.35371999999899</v>
      </c>
      <c r="I297">
        <v>46.540320000000001</v>
      </c>
      <c r="J297">
        <v>98.130403603869695</v>
      </c>
      <c r="K297">
        <v>0.1</v>
      </c>
      <c r="L297">
        <v>0</v>
      </c>
      <c r="M297">
        <v>0</v>
      </c>
      <c r="N297">
        <v>0</v>
      </c>
      <c r="O297">
        <v>0.49874908447265598</v>
      </c>
      <c r="P297">
        <v>-3.1511272430419901E-2</v>
      </c>
      <c r="Q297">
        <v>0</v>
      </c>
      <c r="R297">
        <v>160.39699999999999</v>
      </c>
      <c r="S297">
        <v>-2.3559999999999999</v>
      </c>
      <c r="T297">
        <v>-0.48799999999999999</v>
      </c>
      <c r="U297">
        <v>0.76900000000000002</v>
      </c>
      <c r="V297" t="b">
        <v>1</v>
      </c>
      <c r="W297" t="s">
        <v>52</v>
      </c>
    </row>
    <row r="298" spans="2:23" x14ac:dyDescent="0.3">
      <c r="B298" s="2">
        <f t="shared" si="4"/>
        <v>5.9376335000001745</v>
      </c>
      <c r="C298">
        <v>3227.6129311</v>
      </c>
      <c r="D298">
        <v>195</v>
      </c>
      <c r="E298">
        <v>58.5</v>
      </c>
      <c r="F298">
        <v>190.44900000000001</v>
      </c>
      <c r="G298">
        <v>57.058999999999997</v>
      </c>
      <c r="H298">
        <v>190.36847999999901</v>
      </c>
      <c r="I298">
        <v>46.684039999999897</v>
      </c>
      <c r="J298">
        <v>99.814800828035004</v>
      </c>
      <c r="K298">
        <v>0.1</v>
      </c>
      <c r="L298">
        <v>0</v>
      </c>
      <c r="M298">
        <v>0</v>
      </c>
      <c r="N298">
        <v>0</v>
      </c>
      <c r="O298">
        <v>0.49874908447265598</v>
      </c>
      <c r="P298">
        <v>-3.1511272430419901E-2</v>
      </c>
      <c r="Q298">
        <v>0</v>
      </c>
      <c r="R298">
        <v>160.39699999999999</v>
      </c>
      <c r="S298">
        <v>-2.3559999999999999</v>
      </c>
      <c r="T298">
        <v>-0.48799999999999999</v>
      </c>
      <c r="U298">
        <v>0.76900000000000002</v>
      </c>
      <c r="V298" t="b">
        <v>1</v>
      </c>
      <c r="W298" t="s">
        <v>52</v>
      </c>
    </row>
    <row r="299" spans="2:23" x14ac:dyDescent="0.3">
      <c r="B299" s="2">
        <f t="shared" si="4"/>
        <v>5.9686227000001963</v>
      </c>
      <c r="C299">
        <v>3227.6439203</v>
      </c>
      <c r="D299">
        <v>195</v>
      </c>
      <c r="E299">
        <v>58.5</v>
      </c>
      <c r="F299">
        <v>190.44900000000001</v>
      </c>
      <c r="G299">
        <v>55.487000000000002</v>
      </c>
      <c r="H299">
        <v>190.37831999999901</v>
      </c>
      <c r="I299">
        <v>46.738680000000002</v>
      </c>
      <c r="J299">
        <v>101.38718320026901</v>
      </c>
      <c r="K299">
        <v>0.1</v>
      </c>
      <c r="L299">
        <v>0</v>
      </c>
      <c r="M299">
        <v>0</v>
      </c>
      <c r="N299">
        <v>0</v>
      </c>
      <c r="O299">
        <v>0.53758801269531198</v>
      </c>
      <c r="P299">
        <v>-1.5502121925354001E-2</v>
      </c>
      <c r="Q299">
        <v>0</v>
      </c>
      <c r="R299">
        <v>160.39699999999999</v>
      </c>
      <c r="S299">
        <v>-2.5209999999999999</v>
      </c>
      <c r="T299">
        <v>-0.45500000000000002</v>
      </c>
      <c r="U299">
        <v>0.77</v>
      </c>
      <c r="V299" t="b">
        <v>1</v>
      </c>
      <c r="W299" t="s">
        <v>52</v>
      </c>
    </row>
    <row r="300" spans="2:23" x14ac:dyDescent="0.3">
      <c r="B300" s="2">
        <f t="shared" si="4"/>
        <v>5.999062700000195</v>
      </c>
      <c r="C300">
        <v>3227.6743603</v>
      </c>
      <c r="D300">
        <v>195</v>
      </c>
      <c r="E300">
        <v>68.25</v>
      </c>
      <c r="F300">
        <v>190.32599999999999</v>
      </c>
      <c r="G300">
        <v>73.882999999999996</v>
      </c>
      <c r="H300">
        <v>190.38503999999901</v>
      </c>
      <c r="I300">
        <v>47.907559999999997</v>
      </c>
      <c r="J300">
        <v>104.01042034673399</v>
      </c>
      <c r="K300">
        <v>0.1</v>
      </c>
      <c r="L300">
        <v>0</v>
      </c>
      <c r="M300">
        <v>0</v>
      </c>
      <c r="N300">
        <v>0</v>
      </c>
      <c r="O300">
        <v>0.53758801269531198</v>
      </c>
      <c r="P300">
        <v>-1.5502121925354001E-2</v>
      </c>
      <c r="Q300">
        <v>0</v>
      </c>
      <c r="R300">
        <v>160.39699999999999</v>
      </c>
      <c r="S300">
        <v>-2.5209999999999999</v>
      </c>
      <c r="T300">
        <v>-0.45500000000000002</v>
      </c>
      <c r="U300">
        <v>0.77</v>
      </c>
      <c r="V300" t="b">
        <v>1</v>
      </c>
      <c r="W300" t="s">
        <v>52</v>
      </c>
    </row>
    <row r="301" spans="2:23" x14ac:dyDescent="0.3">
      <c r="B301" s="2">
        <f t="shared" si="4"/>
        <v>6.0304338000000826</v>
      </c>
      <c r="C301">
        <v>3227.7057313999999</v>
      </c>
      <c r="D301">
        <v>195</v>
      </c>
      <c r="E301">
        <v>68.25</v>
      </c>
      <c r="F301">
        <v>190.44900000000001</v>
      </c>
      <c r="G301">
        <v>72.180000000000007</v>
      </c>
      <c r="H301">
        <v>190.39487999999901</v>
      </c>
      <c r="I301">
        <v>49.391959999999997</v>
      </c>
      <c r="J301">
        <v>106.956758738262</v>
      </c>
      <c r="K301">
        <v>0.1</v>
      </c>
      <c r="L301">
        <v>0</v>
      </c>
      <c r="M301">
        <v>0</v>
      </c>
      <c r="N301">
        <v>0</v>
      </c>
      <c r="O301">
        <v>0.55968646240234299</v>
      </c>
      <c r="P301">
        <v>-3.1763208389282198E-2</v>
      </c>
      <c r="Q301">
        <v>0</v>
      </c>
      <c r="R301">
        <v>160.27099999999999</v>
      </c>
      <c r="S301">
        <v>-2.72</v>
      </c>
      <c r="T301">
        <v>-0.33200000000000002</v>
      </c>
      <c r="U301">
        <v>0.76600000000000001</v>
      </c>
      <c r="V301" t="b">
        <v>1</v>
      </c>
      <c r="W301" t="s">
        <v>52</v>
      </c>
    </row>
    <row r="302" spans="2:23" x14ac:dyDescent="0.3">
      <c r="B302" s="2">
        <f t="shared" si="4"/>
        <v>6.0618288000000575</v>
      </c>
      <c r="C302">
        <v>3227.7371263999999</v>
      </c>
      <c r="D302">
        <v>195</v>
      </c>
      <c r="E302">
        <v>68.25</v>
      </c>
      <c r="F302">
        <v>190.572</v>
      </c>
      <c r="G302">
        <v>70.608000000000004</v>
      </c>
      <c r="H302">
        <v>190.404719999999</v>
      </c>
      <c r="I302">
        <v>50.792520000000003</v>
      </c>
      <c r="J302">
        <v>109.783795699232</v>
      </c>
      <c r="K302">
        <v>0.1</v>
      </c>
      <c r="L302">
        <v>0</v>
      </c>
      <c r="M302">
        <v>0</v>
      </c>
      <c r="N302">
        <v>0</v>
      </c>
      <c r="O302">
        <v>0.55968646240234299</v>
      </c>
      <c r="P302">
        <v>-3.1763208389282198E-2</v>
      </c>
      <c r="Q302">
        <v>0</v>
      </c>
      <c r="R302">
        <v>160.27099999999999</v>
      </c>
      <c r="S302">
        <v>-2.72</v>
      </c>
      <c r="T302">
        <v>-0.33200000000000002</v>
      </c>
      <c r="U302">
        <v>0.76600000000000001</v>
      </c>
      <c r="V302" t="b">
        <v>1</v>
      </c>
      <c r="W302" t="s">
        <v>52</v>
      </c>
    </row>
    <row r="303" spans="2:23" x14ac:dyDescent="0.3">
      <c r="B303" s="2">
        <f t="shared" si="4"/>
        <v>6.0927022000000761</v>
      </c>
      <c r="C303">
        <v>3227.7679997999999</v>
      </c>
      <c r="D303">
        <v>195</v>
      </c>
      <c r="E303">
        <v>68.25</v>
      </c>
      <c r="F303">
        <v>190.572</v>
      </c>
      <c r="G303">
        <v>68.905000000000001</v>
      </c>
      <c r="H303">
        <v>190.40964</v>
      </c>
      <c r="I303">
        <v>52.10924</v>
      </c>
      <c r="J303">
        <v>112.468497970389</v>
      </c>
      <c r="K303">
        <v>0.1</v>
      </c>
      <c r="L303">
        <v>0</v>
      </c>
      <c r="M303">
        <v>0</v>
      </c>
      <c r="N303">
        <v>0</v>
      </c>
      <c r="O303">
        <v>0.63072106933593697</v>
      </c>
      <c r="P303">
        <v>-3.5307518005370998E-2</v>
      </c>
      <c r="Q303">
        <v>0</v>
      </c>
      <c r="R303">
        <v>160.41200000000001</v>
      </c>
      <c r="S303">
        <v>-2.8290000000000002</v>
      </c>
      <c r="T303">
        <v>-0.10199999999999999</v>
      </c>
      <c r="U303">
        <v>0.76200000000000001</v>
      </c>
      <c r="V303" t="b">
        <v>1</v>
      </c>
      <c r="W303" t="s">
        <v>52</v>
      </c>
    </row>
    <row r="304" spans="2:23" x14ac:dyDescent="0.3">
      <c r="B304" s="2">
        <f t="shared" si="4"/>
        <v>6.1397364000004018</v>
      </c>
      <c r="C304">
        <v>3227.8150340000002</v>
      </c>
      <c r="D304">
        <v>195</v>
      </c>
      <c r="E304">
        <v>68.25</v>
      </c>
      <c r="F304">
        <v>190.69499999999999</v>
      </c>
      <c r="G304">
        <v>67.201999999999998</v>
      </c>
      <c r="H304">
        <v>190.40964</v>
      </c>
      <c r="I304">
        <v>53.357839999999896</v>
      </c>
      <c r="J304">
        <v>115.736752622279</v>
      </c>
      <c r="K304">
        <v>0.1</v>
      </c>
      <c r="L304">
        <v>0</v>
      </c>
      <c r="M304">
        <v>0</v>
      </c>
      <c r="N304">
        <v>0</v>
      </c>
      <c r="O304">
        <v>0.63072106933593697</v>
      </c>
      <c r="P304">
        <v>-3.5307518005370998E-2</v>
      </c>
      <c r="Q304">
        <v>0</v>
      </c>
      <c r="R304">
        <v>160.41200000000001</v>
      </c>
      <c r="S304">
        <v>-2.8290000000000002</v>
      </c>
      <c r="T304">
        <v>-0.10199999999999999</v>
      </c>
      <c r="U304">
        <v>0.76200000000000001</v>
      </c>
      <c r="V304" t="b">
        <v>1</v>
      </c>
      <c r="W304" t="s">
        <v>52</v>
      </c>
    </row>
    <row r="305" spans="2:23" x14ac:dyDescent="0.3">
      <c r="B305" s="2">
        <f t="shared" si="4"/>
        <v>6.1711775000003399</v>
      </c>
      <c r="C305">
        <v>3227.8464751000001</v>
      </c>
      <c r="D305">
        <v>195</v>
      </c>
      <c r="E305">
        <v>68.25</v>
      </c>
      <c r="F305">
        <v>190.81800000000001</v>
      </c>
      <c r="G305">
        <v>65.236999999999995</v>
      </c>
      <c r="H305">
        <v>190.41455999999999</v>
      </c>
      <c r="I305">
        <v>54.527839999999998</v>
      </c>
      <c r="J305">
        <v>118.214728528389</v>
      </c>
      <c r="K305">
        <v>0.1</v>
      </c>
      <c r="L305">
        <v>0</v>
      </c>
      <c r="M305">
        <v>0</v>
      </c>
      <c r="N305">
        <v>0</v>
      </c>
      <c r="O305">
        <v>0.70933795166015601</v>
      </c>
      <c r="P305">
        <v>-6.5553979873657197E-3</v>
      </c>
      <c r="Q305">
        <v>0</v>
      </c>
      <c r="R305">
        <v>160.61199999999999</v>
      </c>
      <c r="S305">
        <v>-2.8140000000000001</v>
      </c>
      <c r="T305">
        <v>-5.7000000000000002E-2</v>
      </c>
      <c r="U305">
        <v>0.76500000000000001</v>
      </c>
      <c r="V305" t="b">
        <v>1</v>
      </c>
      <c r="W305" t="s">
        <v>52</v>
      </c>
    </row>
    <row r="306" spans="2:23" x14ac:dyDescent="0.3">
      <c r="B306" s="2">
        <f t="shared" si="4"/>
        <v>6.1872160000002623</v>
      </c>
      <c r="C306">
        <v>3227.8625136000001</v>
      </c>
      <c r="D306">
        <v>195</v>
      </c>
      <c r="E306">
        <v>68.25</v>
      </c>
      <c r="F306">
        <v>190.941</v>
      </c>
      <c r="G306">
        <v>63.402999999999999</v>
      </c>
      <c r="H306">
        <v>190.41947999999999</v>
      </c>
      <c r="I306">
        <v>55.640199999999901</v>
      </c>
      <c r="J306">
        <v>119.98163411319899</v>
      </c>
      <c r="K306">
        <v>0.1</v>
      </c>
      <c r="L306">
        <v>0</v>
      </c>
      <c r="M306">
        <v>0</v>
      </c>
      <c r="N306">
        <v>0</v>
      </c>
      <c r="O306">
        <v>0.70933795166015601</v>
      </c>
      <c r="P306">
        <v>-6.5553979873657197E-3</v>
      </c>
      <c r="Q306">
        <v>0</v>
      </c>
      <c r="R306">
        <v>160.61199999999999</v>
      </c>
      <c r="S306">
        <v>-2.8140000000000001</v>
      </c>
      <c r="T306">
        <v>-5.7000000000000002E-2</v>
      </c>
      <c r="U306">
        <v>0.76500000000000001</v>
      </c>
      <c r="V306" t="b">
        <v>1</v>
      </c>
      <c r="W306" t="s">
        <v>52</v>
      </c>
    </row>
    <row r="307" spans="2:23" x14ac:dyDescent="0.3">
      <c r="B307" s="2">
        <f t="shared" si="4"/>
        <v>6.2184366000001319</v>
      </c>
      <c r="C307">
        <v>3227.8937341999999</v>
      </c>
      <c r="D307">
        <v>195</v>
      </c>
      <c r="E307">
        <v>78</v>
      </c>
      <c r="F307">
        <v>191.06399999999999</v>
      </c>
      <c r="G307">
        <v>81.406000000000006</v>
      </c>
      <c r="H307">
        <v>190.42931999999999</v>
      </c>
      <c r="I307">
        <v>57.477919999999997</v>
      </c>
      <c r="J307">
        <v>123.069461205282</v>
      </c>
      <c r="K307">
        <v>0.1</v>
      </c>
      <c r="L307">
        <v>0</v>
      </c>
      <c r="M307">
        <v>0</v>
      </c>
      <c r="N307">
        <v>0</v>
      </c>
      <c r="O307">
        <v>0.71848199462890605</v>
      </c>
      <c r="P307">
        <v>-1.25344562530517E-2</v>
      </c>
      <c r="Q307">
        <v>0</v>
      </c>
      <c r="R307">
        <v>160.58199999999999</v>
      </c>
      <c r="S307">
        <v>-2.476</v>
      </c>
      <c r="T307">
        <v>-0.20100000000000001</v>
      </c>
      <c r="U307">
        <v>0.76100000000000001</v>
      </c>
      <c r="V307" t="b">
        <v>1</v>
      </c>
      <c r="W307" t="s">
        <v>52</v>
      </c>
    </row>
    <row r="308" spans="2:23" x14ac:dyDescent="0.3">
      <c r="B308" s="2">
        <f t="shared" si="4"/>
        <v>6.2489861000003657</v>
      </c>
      <c r="C308">
        <v>3227.9242837000002</v>
      </c>
      <c r="D308">
        <v>195</v>
      </c>
      <c r="E308">
        <v>78</v>
      </c>
      <c r="F308">
        <v>190.941</v>
      </c>
      <c r="G308">
        <v>79.441000000000003</v>
      </c>
      <c r="H308">
        <v>190.44408000000001</v>
      </c>
      <c r="I308">
        <v>59.278959999999998</v>
      </c>
      <c r="J308">
        <v>126.063634595008</v>
      </c>
      <c r="K308">
        <v>0.1</v>
      </c>
      <c r="L308">
        <v>0</v>
      </c>
      <c r="M308">
        <v>0</v>
      </c>
      <c r="N308">
        <v>0</v>
      </c>
      <c r="O308">
        <v>0.71848199462890605</v>
      </c>
      <c r="P308">
        <v>-1.25344562530517E-2</v>
      </c>
      <c r="Q308">
        <v>0</v>
      </c>
      <c r="R308">
        <v>160.58199999999999</v>
      </c>
      <c r="S308">
        <v>-2.476</v>
      </c>
      <c r="T308">
        <v>-0.20100000000000001</v>
      </c>
      <c r="U308">
        <v>0.76100000000000001</v>
      </c>
      <c r="V308" t="b">
        <v>1</v>
      </c>
      <c r="W308" t="s">
        <v>52</v>
      </c>
    </row>
    <row r="309" spans="2:23" x14ac:dyDescent="0.3">
      <c r="B309" s="2">
        <f t="shared" si="4"/>
        <v>6.2801828999999998</v>
      </c>
      <c r="C309">
        <v>3227.9554804999998</v>
      </c>
      <c r="D309">
        <v>195</v>
      </c>
      <c r="E309">
        <v>78</v>
      </c>
      <c r="F309">
        <v>190.81800000000001</v>
      </c>
      <c r="G309">
        <v>77.344999999999999</v>
      </c>
      <c r="H309">
        <v>190.45536000000001</v>
      </c>
      <c r="I309">
        <v>60.369759999999999</v>
      </c>
      <c r="J309">
        <v>128.342879323902</v>
      </c>
      <c r="K309">
        <v>0.1</v>
      </c>
      <c r="L309">
        <v>0</v>
      </c>
      <c r="M309">
        <v>0</v>
      </c>
      <c r="N309">
        <v>0</v>
      </c>
      <c r="O309">
        <v>0.67906951904296797</v>
      </c>
      <c r="P309">
        <v>-3.8282566070556599E-2</v>
      </c>
      <c r="Q309">
        <v>0</v>
      </c>
      <c r="R309">
        <v>160.70099999999999</v>
      </c>
      <c r="S309">
        <v>-2.0859999999999999</v>
      </c>
      <c r="T309">
        <v>-0.22800000000000001</v>
      </c>
      <c r="U309">
        <v>0.76300000000000001</v>
      </c>
      <c r="V309" t="b">
        <v>1</v>
      </c>
      <c r="W309" t="s">
        <v>52</v>
      </c>
    </row>
    <row r="310" spans="2:23" x14ac:dyDescent="0.3">
      <c r="B310" s="2">
        <f t="shared" si="4"/>
        <v>6.3263348000000406</v>
      </c>
      <c r="C310">
        <v>3228.0016323999998</v>
      </c>
      <c r="D310">
        <v>195</v>
      </c>
      <c r="E310">
        <v>78</v>
      </c>
      <c r="F310">
        <v>190.69499999999999</v>
      </c>
      <c r="G310">
        <v>75.510999999999996</v>
      </c>
      <c r="H310">
        <v>190.47012000000001</v>
      </c>
      <c r="I310">
        <v>61.262039999999999</v>
      </c>
      <c r="J310">
        <v>130.939367204343</v>
      </c>
      <c r="K310">
        <v>0.1</v>
      </c>
      <c r="L310">
        <v>0</v>
      </c>
      <c r="M310">
        <v>0</v>
      </c>
      <c r="N310">
        <v>0</v>
      </c>
      <c r="O310">
        <v>0.67906951904296797</v>
      </c>
      <c r="P310">
        <v>-3.8282566070556599E-2</v>
      </c>
      <c r="Q310">
        <v>0</v>
      </c>
      <c r="R310">
        <v>160.70099999999999</v>
      </c>
      <c r="S310">
        <v>-2.0859999999999999</v>
      </c>
      <c r="T310">
        <v>-0.22800000000000001</v>
      </c>
      <c r="U310">
        <v>0.76300000000000001</v>
      </c>
      <c r="V310" t="b">
        <v>1</v>
      </c>
      <c r="W310" t="s">
        <v>52</v>
      </c>
    </row>
    <row r="311" spans="2:23" x14ac:dyDescent="0.3">
      <c r="B311" s="2">
        <f t="shared" si="4"/>
        <v>6.3577290000002904</v>
      </c>
      <c r="C311">
        <v>3228.0330266000001</v>
      </c>
      <c r="D311">
        <v>199.875</v>
      </c>
      <c r="E311">
        <v>82.875</v>
      </c>
      <c r="F311">
        <v>190.52699999999999</v>
      </c>
      <c r="G311">
        <v>83.661000000000001</v>
      </c>
      <c r="H311">
        <v>190.48308</v>
      </c>
      <c r="I311">
        <v>62.516999999999904</v>
      </c>
      <c r="J311">
        <v>133.31785745665499</v>
      </c>
      <c r="K311">
        <v>0.1</v>
      </c>
      <c r="L311">
        <v>0</v>
      </c>
      <c r="M311">
        <v>0</v>
      </c>
      <c r="N311">
        <v>0</v>
      </c>
      <c r="O311">
        <v>0.62334271240234296</v>
      </c>
      <c r="P311">
        <v>-4.1342998504638601E-2</v>
      </c>
      <c r="Q311">
        <v>0</v>
      </c>
      <c r="R311">
        <v>160.751</v>
      </c>
      <c r="S311">
        <v>-1.8580000000000001</v>
      </c>
      <c r="T311">
        <v>-0.33500000000000002</v>
      </c>
      <c r="U311">
        <v>0.76500000000000001</v>
      </c>
      <c r="V311" t="b">
        <v>1</v>
      </c>
      <c r="W311" t="s">
        <v>52</v>
      </c>
    </row>
    <row r="312" spans="2:23" x14ac:dyDescent="0.3">
      <c r="B312" s="2">
        <f t="shared" si="4"/>
        <v>6.3879193000002488</v>
      </c>
      <c r="C312">
        <v>3228.0632169</v>
      </c>
      <c r="D312">
        <v>195</v>
      </c>
      <c r="E312">
        <v>87.75</v>
      </c>
      <c r="F312">
        <v>190.32599999999999</v>
      </c>
      <c r="G312">
        <v>91.811000000000007</v>
      </c>
      <c r="H312">
        <v>190.488</v>
      </c>
      <c r="I312">
        <v>64.145119999999906</v>
      </c>
      <c r="J312">
        <v>135.99991245228301</v>
      </c>
      <c r="K312">
        <v>0.1</v>
      </c>
      <c r="L312">
        <v>0</v>
      </c>
      <c r="M312">
        <v>0</v>
      </c>
      <c r="N312">
        <v>0</v>
      </c>
      <c r="O312">
        <v>0.62334271240234296</v>
      </c>
      <c r="P312">
        <v>-4.1342998504638601E-2</v>
      </c>
      <c r="Q312">
        <v>0</v>
      </c>
      <c r="R312">
        <v>160.751</v>
      </c>
      <c r="S312">
        <v>-1.8580000000000001</v>
      </c>
      <c r="T312">
        <v>-0.33500000000000002</v>
      </c>
      <c r="U312">
        <v>0.76500000000000001</v>
      </c>
      <c r="V312" t="b">
        <v>1</v>
      </c>
      <c r="W312" t="s">
        <v>52</v>
      </c>
    </row>
    <row r="313" spans="2:23" x14ac:dyDescent="0.3">
      <c r="B313" s="2">
        <f t="shared" si="4"/>
        <v>6.4188283000003139</v>
      </c>
      <c r="C313">
        <v>3228.0941259000001</v>
      </c>
      <c r="D313">
        <v>195</v>
      </c>
      <c r="E313">
        <v>87.75</v>
      </c>
      <c r="F313">
        <v>190.203</v>
      </c>
      <c r="G313">
        <v>89.715000000000003</v>
      </c>
      <c r="H313">
        <v>190.49292</v>
      </c>
      <c r="I313">
        <v>65.736559999999898</v>
      </c>
      <c r="J313">
        <v>138.644111016805</v>
      </c>
      <c r="K313">
        <v>0.1</v>
      </c>
      <c r="L313">
        <v>0</v>
      </c>
      <c r="M313">
        <v>0</v>
      </c>
      <c r="N313">
        <v>0</v>
      </c>
      <c r="O313">
        <v>0.61376123046874997</v>
      </c>
      <c r="P313">
        <v>-5.2382995605468698E-2</v>
      </c>
      <c r="Q313">
        <v>0</v>
      </c>
      <c r="R313">
        <v>160.79900000000001</v>
      </c>
      <c r="S313">
        <v>-2.1219999999999999</v>
      </c>
      <c r="T313">
        <v>-0.36299999999999999</v>
      </c>
      <c r="U313">
        <v>0.76500000000000001</v>
      </c>
      <c r="V313" t="b">
        <v>1</v>
      </c>
      <c r="W313" t="s">
        <v>52</v>
      </c>
    </row>
    <row r="314" spans="2:23" x14ac:dyDescent="0.3">
      <c r="B314" s="2">
        <f t="shared" si="4"/>
        <v>6.4498166000003039</v>
      </c>
      <c r="C314">
        <v>3228.1251142000001</v>
      </c>
      <c r="D314">
        <v>195</v>
      </c>
      <c r="E314">
        <v>87.75</v>
      </c>
      <c r="F314">
        <v>189.95699999999999</v>
      </c>
      <c r="G314">
        <v>87.619</v>
      </c>
      <c r="H314">
        <v>190.488</v>
      </c>
      <c r="I314">
        <v>67.291319999999899</v>
      </c>
      <c r="J314">
        <v>141.22830562175699</v>
      </c>
      <c r="K314">
        <v>0.1</v>
      </c>
      <c r="L314">
        <v>0</v>
      </c>
      <c r="M314">
        <v>0</v>
      </c>
      <c r="N314">
        <v>0</v>
      </c>
      <c r="O314">
        <v>0.61376123046874997</v>
      </c>
      <c r="P314">
        <v>-5.2382995605468698E-2</v>
      </c>
      <c r="Q314">
        <v>0</v>
      </c>
      <c r="R314">
        <v>160.79900000000001</v>
      </c>
      <c r="S314">
        <v>-2.1219999999999999</v>
      </c>
      <c r="T314">
        <v>-0.36299999999999999</v>
      </c>
      <c r="U314">
        <v>0.76500000000000001</v>
      </c>
      <c r="V314" t="b">
        <v>1</v>
      </c>
      <c r="W314" t="s">
        <v>52</v>
      </c>
    </row>
    <row r="315" spans="2:23" x14ac:dyDescent="0.3">
      <c r="B315" s="2">
        <f t="shared" si="4"/>
        <v>6.4810206000001926</v>
      </c>
      <c r="C315">
        <v>3228.1563182</v>
      </c>
      <c r="D315">
        <v>195</v>
      </c>
      <c r="E315">
        <v>87.75</v>
      </c>
      <c r="F315">
        <v>189.58799999999999</v>
      </c>
      <c r="G315">
        <v>85.260999999999996</v>
      </c>
      <c r="H315">
        <v>190.46688</v>
      </c>
      <c r="I315">
        <v>68.960759999999993</v>
      </c>
      <c r="J315">
        <v>143.90866585031199</v>
      </c>
      <c r="K315">
        <v>0.1</v>
      </c>
      <c r="L315">
        <v>0</v>
      </c>
      <c r="M315">
        <v>0</v>
      </c>
      <c r="N315">
        <v>0</v>
      </c>
      <c r="O315">
        <v>0.63363220214843696</v>
      </c>
      <c r="P315">
        <v>-5.04085540771484E-2</v>
      </c>
      <c r="Q315">
        <v>0</v>
      </c>
      <c r="R315">
        <v>160.82900000000001</v>
      </c>
      <c r="S315">
        <v>-2.4980000000000002</v>
      </c>
      <c r="T315">
        <v>-0.26300000000000001</v>
      </c>
      <c r="U315">
        <v>0.76700000000000002</v>
      </c>
      <c r="V315" t="b">
        <v>1</v>
      </c>
      <c r="W315" t="s">
        <v>52</v>
      </c>
    </row>
    <row r="316" spans="2:23" x14ac:dyDescent="0.3">
      <c r="B316" s="2">
        <f t="shared" si="4"/>
        <v>6.5271981000000778</v>
      </c>
      <c r="C316">
        <v>3228.2024956999999</v>
      </c>
      <c r="D316">
        <v>195</v>
      </c>
      <c r="E316">
        <v>87.75</v>
      </c>
      <c r="F316">
        <v>189.34200000000001</v>
      </c>
      <c r="G316">
        <v>82.641000000000005</v>
      </c>
      <c r="H316">
        <v>190.43736000000001</v>
      </c>
      <c r="I316">
        <v>70.410719999999998</v>
      </c>
      <c r="J316">
        <v>146.808717179307</v>
      </c>
      <c r="K316">
        <v>0.1</v>
      </c>
      <c r="L316">
        <v>0</v>
      </c>
      <c r="M316">
        <v>0</v>
      </c>
      <c r="N316">
        <v>0</v>
      </c>
      <c r="O316">
        <v>0.63363220214843696</v>
      </c>
      <c r="P316">
        <v>-5.04085540771484E-2</v>
      </c>
      <c r="Q316">
        <v>0</v>
      </c>
      <c r="R316">
        <v>160.82900000000001</v>
      </c>
      <c r="S316">
        <v>-2.4980000000000002</v>
      </c>
      <c r="T316">
        <v>-0.26300000000000001</v>
      </c>
      <c r="U316">
        <v>0.76700000000000002</v>
      </c>
      <c r="V316" t="b">
        <v>1</v>
      </c>
      <c r="W316" t="s">
        <v>52</v>
      </c>
    </row>
    <row r="317" spans="2:23" x14ac:dyDescent="0.3">
      <c r="B317" s="2">
        <f t="shared" si="4"/>
        <v>6.5573610000001281</v>
      </c>
      <c r="C317">
        <v>3228.2326585999999</v>
      </c>
      <c r="D317">
        <v>195</v>
      </c>
      <c r="E317">
        <v>97.5</v>
      </c>
      <c r="F317">
        <v>189.096</v>
      </c>
      <c r="G317">
        <v>100.12</v>
      </c>
      <c r="H317">
        <v>190.39308</v>
      </c>
      <c r="I317">
        <v>72.61224</v>
      </c>
      <c r="J317">
        <v>149.92867696203001</v>
      </c>
      <c r="K317">
        <v>0.1</v>
      </c>
      <c r="L317">
        <v>0</v>
      </c>
      <c r="M317">
        <v>0</v>
      </c>
      <c r="N317">
        <v>0</v>
      </c>
      <c r="O317">
        <v>0.65022113037109297</v>
      </c>
      <c r="P317">
        <v>-2.8895160675048801E-2</v>
      </c>
      <c r="Q317">
        <v>0</v>
      </c>
      <c r="R317">
        <v>160.904</v>
      </c>
      <c r="S317">
        <v>-2.6320000000000001</v>
      </c>
      <c r="T317">
        <v>-0.127</v>
      </c>
      <c r="U317">
        <v>0.76200000000000001</v>
      </c>
      <c r="V317" t="b">
        <v>1</v>
      </c>
      <c r="W317" t="s">
        <v>52</v>
      </c>
    </row>
    <row r="318" spans="2:23" x14ac:dyDescent="0.3">
      <c r="B318" s="2">
        <f t="shared" si="4"/>
        <v>6.5885600000001432</v>
      </c>
      <c r="C318">
        <v>3228.2638575999999</v>
      </c>
      <c r="D318">
        <v>195</v>
      </c>
      <c r="E318">
        <v>97.5</v>
      </c>
      <c r="F318">
        <v>189.21899999999999</v>
      </c>
      <c r="G318">
        <v>97.106999999999999</v>
      </c>
      <c r="H318">
        <v>190.35371999999899</v>
      </c>
      <c r="I318">
        <v>74.740399999999994</v>
      </c>
      <c r="J318">
        <v>152.98360261395999</v>
      </c>
      <c r="K318">
        <v>0.1</v>
      </c>
      <c r="L318">
        <v>0</v>
      </c>
      <c r="M318">
        <v>0</v>
      </c>
      <c r="N318">
        <v>0</v>
      </c>
      <c r="O318">
        <v>0.65022113037109297</v>
      </c>
      <c r="P318">
        <v>-2.8895160675048801E-2</v>
      </c>
      <c r="Q318">
        <v>0</v>
      </c>
      <c r="R318">
        <v>160.904</v>
      </c>
      <c r="S318">
        <v>-2.6320000000000001</v>
      </c>
      <c r="T318">
        <v>-0.127</v>
      </c>
      <c r="U318">
        <v>0.76200000000000001</v>
      </c>
      <c r="V318" t="b">
        <v>1</v>
      </c>
      <c r="W318" t="s">
        <v>52</v>
      </c>
    </row>
    <row r="319" spans="2:23" x14ac:dyDescent="0.3">
      <c r="B319" s="2">
        <f t="shared" si="4"/>
        <v>6.6192061000001559</v>
      </c>
      <c r="C319">
        <v>3228.2945037</v>
      </c>
      <c r="D319">
        <v>195</v>
      </c>
      <c r="E319">
        <v>97.5</v>
      </c>
      <c r="F319">
        <v>189.34200000000001</v>
      </c>
      <c r="G319">
        <v>93.962999999999994</v>
      </c>
      <c r="H319">
        <v>190.309439999999</v>
      </c>
      <c r="I319">
        <v>75.980760000000004</v>
      </c>
      <c r="J319">
        <v>155.11187545363401</v>
      </c>
      <c r="K319">
        <v>0.1</v>
      </c>
      <c r="L319">
        <v>0</v>
      </c>
      <c r="M319">
        <v>0</v>
      </c>
      <c r="N319">
        <v>0</v>
      </c>
      <c r="O319">
        <v>0.64894165039062501</v>
      </c>
      <c r="P319">
        <v>-4.9829917907714801E-2</v>
      </c>
      <c r="Q319">
        <v>0</v>
      </c>
      <c r="R319">
        <v>160.917</v>
      </c>
      <c r="S319">
        <v>-2.7229999999999999</v>
      </c>
      <c r="T319">
        <v>-0.19600000000000001</v>
      </c>
      <c r="U319">
        <v>0.76</v>
      </c>
      <c r="V319" t="b">
        <v>1</v>
      </c>
      <c r="W319" t="s">
        <v>52</v>
      </c>
    </row>
    <row r="320" spans="2:23" x14ac:dyDescent="0.3">
      <c r="B320" s="2">
        <f t="shared" si="4"/>
        <v>6.6495939999999791</v>
      </c>
      <c r="C320">
        <v>3228.3248915999998</v>
      </c>
      <c r="D320">
        <v>195</v>
      </c>
      <c r="E320">
        <v>107.25</v>
      </c>
      <c r="F320">
        <v>189.34200000000001</v>
      </c>
      <c r="G320">
        <v>111.18</v>
      </c>
      <c r="H320">
        <v>190.26516000000001</v>
      </c>
      <c r="I320">
        <v>77.967439999999897</v>
      </c>
      <c r="J320">
        <v>157.95757684445499</v>
      </c>
      <c r="K320">
        <v>0.1</v>
      </c>
      <c r="L320">
        <v>0</v>
      </c>
      <c r="M320">
        <v>0</v>
      </c>
      <c r="N320">
        <v>0</v>
      </c>
      <c r="O320">
        <v>0.64894165039062501</v>
      </c>
      <c r="P320">
        <v>-4.9829917907714801E-2</v>
      </c>
      <c r="Q320">
        <v>0</v>
      </c>
      <c r="R320">
        <v>160.917</v>
      </c>
      <c r="S320">
        <v>-2.7229999999999999</v>
      </c>
      <c r="T320">
        <v>-0.19600000000000001</v>
      </c>
      <c r="U320">
        <v>0.76</v>
      </c>
      <c r="V320" t="b">
        <v>1</v>
      </c>
      <c r="W320" t="s">
        <v>52</v>
      </c>
    </row>
    <row r="321" spans="2:23" x14ac:dyDescent="0.3">
      <c r="B321" s="2">
        <f t="shared" si="4"/>
        <v>6.6809850000004189</v>
      </c>
      <c r="C321">
        <v>3228.3562826000002</v>
      </c>
      <c r="D321">
        <v>195</v>
      </c>
      <c r="E321">
        <v>107.25</v>
      </c>
      <c r="F321">
        <v>189.21899999999999</v>
      </c>
      <c r="G321">
        <v>108.298</v>
      </c>
      <c r="H321">
        <v>190.215959999999</v>
      </c>
      <c r="I321">
        <v>79.901719999999997</v>
      </c>
      <c r="J321">
        <v>160.757396631619</v>
      </c>
      <c r="K321">
        <v>0.1</v>
      </c>
      <c r="L321">
        <v>0</v>
      </c>
      <c r="M321">
        <v>0</v>
      </c>
      <c r="N321">
        <v>0</v>
      </c>
      <c r="O321">
        <v>0.62600683593749995</v>
      </c>
      <c r="P321">
        <v>-6.39214744567871E-2</v>
      </c>
      <c r="Q321">
        <v>0</v>
      </c>
      <c r="R321">
        <v>160.83199999999999</v>
      </c>
      <c r="S321">
        <v>-2.6789999999999998</v>
      </c>
      <c r="T321">
        <v>3.4000000000000002E-2</v>
      </c>
      <c r="U321">
        <v>0.76100000000000001</v>
      </c>
      <c r="V321" t="b">
        <v>1</v>
      </c>
      <c r="W321" t="s">
        <v>52</v>
      </c>
    </row>
    <row r="322" spans="2:23" x14ac:dyDescent="0.3">
      <c r="B322" s="2">
        <f t="shared" si="4"/>
        <v>6.7279085000000123</v>
      </c>
      <c r="C322">
        <v>3228.4032060999998</v>
      </c>
      <c r="D322">
        <v>195</v>
      </c>
      <c r="E322">
        <v>107.25</v>
      </c>
      <c r="F322">
        <v>188.97300000000001</v>
      </c>
      <c r="G322">
        <v>105.547</v>
      </c>
      <c r="H322">
        <v>190.15691999999899</v>
      </c>
      <c r="I322">
        <v>81.783599999999893</v>
      </c>
      <c r="J322">
        <v>163.89290221491601</v>
      </c>
      <c r="K322">
        <v>0.1</v>
      </c>
      <c r="L322">
        <v>0</v>
      </c>
      <c r="M322">
        <v>0</v>
      </c>
      <c r="N322">
        <v>0</v>
      </c>
      <c r="O322">
        <v>0.62600683593749995</v>
      </c>
      <c r="P322">
        <v>-6.39214744567871E-2</v>
      </c>
      <c r="Q322">
        <v>0</v>
      </c>
      <c r="R322">
        <v>160.83199999999999</v>
      </c>
      <c r="S322">
        <v>-2.6789999999999998</v>
      </c>
      <c r="T322">
        <v>3.4000000000000002E-2</v>
      </c>
      <c r="U322">
        <v>0.76100000000000001</v>
      </c>
      <c r="V322" t="b">
        <v>1</v>
      </c>
      <c r="W322" t="s">
        <v>52</v>
      </c>
    </row>
    <row r="323" spans="2:23" x14ac:dyDescent="0.3">
      <c r="B323" s="2">
        <f t="shared" si="4"/>
        <v>6.7590113000001111</v>
      </c>
      <c r="C323">
        <v>3228.4343088999999</v>
      </c>
      <c r="D323">
        <v>195</v>
      </c>
      <c r="E323">
        <v>107.25</v>
      </c>
      <c r="F323">
        <v>188.85</v>
      </c>
      <c r="G323">
        <v>102.926999999999</v>
      </c>
      <c r="H323">
        <v>190.09296000000001</v>
      </c>
      <c r="I323">
        <v>83.618319999999898</v>
      </c>
      <c r="J323">
        <v>166.53280433468601</v>
      </c>
      <c r="K323">
        <v>0.1</v>
      </c>
      <c r="L323">
        <v>0</v>
      </c>
      <c r="M323">
        <v>0</v>
      </c>
      <c r="N323">
        <v>0</v>
      </c>
      <c r="O323">
        <v>0.64617486572265603</v>
      </c>
      <c r="P323">
        <v>-5.8254581451416002E-2</v>
      </c>
      <c r="Q323">
        <v>0</v>
      </c>
      <c r="R323">
        <v>160.78200000000001</v>
      </c>
      <c r="S323">
        <v>-2.6989999999999998</v>
      </c>
      <c r="T323">
        <v>0.313</v>
      </c>
      <c r="U323">
        <v>0.76</v>
      </c>
      <c r="V323" t="b">
        <v>1</v>
      </c>
      <c r="W323" t="s">
        <v>52</v>
      </c>
    </row>
    <row r="324" spans="2:23" x14ac:dyDescent="0.3">
      <c r="B324" s="2">
        <f t="shared" ref="B324:B387" si="5">C324-$C$3</f>
        <v>6.7899225000001024</v>
      </c>
      <c r="C324">
        <v>3228.4652200999999</v>
      </c>
      <c r="D324">
        <v>195</v>
      </c>
      <c r="E324">
        <v>117</v>
      </c>
      <c r="F324">
        <v>188.727</v>
      </c>
      <c r="G324">
        <v>120.40600000000001</v>
      </c>
      <c r="H324">
        <v>190.02408</v>
      </c>
      <c r="I324">
        <v>86.21508</v>
      </c>
      <c r="J324">
        <v>169.910017850907</v>
      </c>
      <c r="K324">
        <v>0.1</v>
      </c>
      <c r="L324">
        <v>0</v>
      </c>
      <c r="M324">
        <v>0</v>
      </c>
      <c r="N324">
        <v>0</v>
      </c>
      <c r="O324">
        <v>0.64617486572265603</v>
      </c>
      <c r="P324">
        <v>-5.8254581451416002E-2</v>
      </c>
      <c r="Q324">
        <v>0</v>
      </c>
      <c r="R324">
        <v>160.78200000000001</v>
      </c>
      <c r="S324">
        <v>-2.6989999999999998</v>
      </c>
      <c r="T324">
        <v>0.313</v>
      </c>
      <c r="U324">
        <v>0.76</v>
      </c>
      <c r="V324" t="b">
        <v>1</v>
      </c>
      <c r="W324" t="s">
        <v>52</v>
      </c>
    </row>
    <row r="325" spans="2:23" x14ac:dyDescent="0.3">
      <c r="B325" s="2">
        <f t="shared" si="5"/>
        <v>6.8056283000000803</v>
      </c>
      <c r="C325">
        <v>3228.4809258999999</v>
      </c>
      <c r="D325">
        <v>195</v>
      </c>
      <c r="E325">
        <v>117</v>
      </c>
      <c r="F325">
        <v>188.48099999999999</v>
      </c>
      <c r="G325">
        <v>118.31</v>
      </c>
      <c r="H325">
        <v>189.95027999999999</v>
      </c>
      <c r="I325">
        <v>87.992159999999899</v>
      </c>
      <c r="J325">
        <v>172.07624759328101</v>
      </c>
      <c r="K325">
        <v>0.1</v>
      </c>
      <c r="L325">
        <v>0</v>
      </c>
      <c r="M325">
        <v>0</v>
      </c>
      <c r="N325">
        <v>0</v>
      </c>
      <c r="O325">
        <v>0.67682653808593696</v>
      </c>
      <c r="P325">
        <v>-7.9294448852539001E-2</v>
      </c>
      <c r="Q325">
        <v>0</v>
      </c>
      <c r="R325">
        <v>160.60900000000001</v>
      </c>
      <c r="S325">
        <v>-2.8039999999999998</v>
      </c>
      <c r="T325">
        <v>0.24199999999999999</v>
      </c>
      <c r="U325">
        <v>0.76100000000000001</v>
      </c>
      <c r="V325" t="b">
        <v>1</v>
      </c>
      <c r="W325" t="s">
        <v>52</v>
      </c>
    </row>
    <row r="326" spans="2:23" x14ac:dyDescent="0.3">
      <c r="B326" s="2">
        <f t="shared" si="5"/>
        <v>6.8376799000002393</v>
      </c>
      <c r="C326">
        <v>3228.5129775</v>
      </c>
      <c r="D326">
        <v>195</v>
      </c>
      <c r="E326">
        <v>117</v>
      </c>
      <c r="F326">
        <v>188.23500000000001</v>
      </c>
      <c r="G326">
        <v>115.952</v>
      </c>
      <c r="H326">
        <v>189.86171999999999</v>
      </c>
      <c r="I326">
        <v>89.743039999999993</v>
      </c>
      <c r="J326">
        <v>174.60614951166801</v>
      </c>
      <c r="K326">
        <v>0.1</v>
      </c>
      <c r="L326">
        <v>0</v>
      </c>
      <c r="M326">
        <v>0</v>
      </c>
      <c r="N326">
        <v>0</v>
      </c>
      <c r="O326">
        <v>0.67682653808593696</v>
      </c>
      <c r="P326">
        <v>-7.9294448852539001E-2</v>
      </c>
      <c r="Q326">
        <v>0</v>
      </c>
      <c r="R326">
        <v>160.60900000000001</v>
      </c>
      <c r="S326">
        <v>-2.8039999999999998</v>
      </c>
      <c r="T326">
        <v>0.24199999999999999</v>
      </c>
      <c r="U326">
        <v>0.76100000000000001</v>
      </c>
      <c r="V326" t="b">
        <v>1</v>
      </c>
      <c r="W326" t="s">
        <v>52</v>
      </c>
    </row>
    <row r="327" spans="2:23" x14ac:dyDescent="0.3">
      <c r="B327" s="2">
        <f t="shared" si="5"/>
        <v>6.8684104000003572</v>
      </c>
      <c r="C327">
        <v>3228.5437080000002</v>
      </c>
      <c r="D327">
        <v>185.25</v>
      </c>
      <c r="E327">
        <v>117</v>
      </c>
      <c r="F327">
        <v>188.07900000000001</v>
      </c>
      <c r="G327">
        <v>113.85599999999999</v>
      </c>
      <c r="H327">
        <v>189.76199999999901</v>
      </c>
      <c r="I327">
        <v>91.472959999999901</v>
      </c>
      <c r="J327">
        <v>177.064303161211</v>
      </c>
      <c r="K327">
        <v>0.1</v>
      </c>
      <c r="L327">
        <v>0</v>
      </c>
      <c r="M327">
        <v>0</v>
      </c>
      <c r="N327">
        <v>0</v>
      </c>
      <c r="O327">
        <v>0.68564288330078105</v>
      </c>
      <c r="P327">
        <v>-8.1583328247070305E-2</v>
      </c>
      <c r="Q327">
        <v>0</v>
      </c>
      <c r="R327">
        <v>160.50299999999999</v>
      </c>
      <c r="S327">
        <v>-2.85</v>
      </c>
      <c r="T327">
        <v>0.23899999999999999</v>
      </c>
      <c r="U327">
        <v>0.75600000000000001</v>
      </c>
      <c r="V327" t="b">
        <v>1</v>
      </c>
      <c r="W327" t="s">
        <v>52</v>
      </c>
    </row>
    <row r="328" spans="2:23" x14ac:dyDescent="0.3">
      <c r="B328" s="2">
        <f t="shared" si="5"/>
        <v>6.9149276000002828</v>
      </c>
      <c r="C328">
        <v>3228.5902252000001</v>
      </c>
      <c r="D328">
        <v>185.25</v>
      </c>
      <c r="E328">
        <v>126.75</v>
      </c>
      <c r="F328">
        <v>187.95599999999999</v>
      </c>
      <c r="G328">
        <v>131.72800000000001</v>
      </c>
      <c r="H328">
        <v>189.65736000000001</v>
      </c>
      <c r="I328">
        <v>93.985879999999995</v>
      </c>
      <c r="J328">
        <v>180.64577884098401</v>
      </c>
      <c r="K328">
        <v>0.1</v>
      </c>
      <c r="L328">
        <v>0</v>
      </c>
      <c r="M328">
        <v>0</v>
      </c>
      <c r="N328">
        <v>0</v>
      </c>
      <c r="O328">
        <v>0.68564288330078105</v>
      </c>
      <c r="P328">
        <v>-8.1583328247070305E-2</v>
      </c>
      <c r="Q328">
        <v>0</v>
      </c>
      <c r="R328">
        <v>160.50299999999999</v>
      </c>
      <c r="S328">
        <v>-2.85</v>
      </c>
      <c r="T328">
        <v>0.23899999999999999</v>
      </c>
      <c r="U328">
        <v>0.75600000000000001</v>
      </c>
      <c r="V328" t="b">
        <v>1</v>
      </c>
      <c r="W328" t="s">
        <v>52</v>
      </c>
    </row>
    <row r="329" spans="2:23" x14ac:dyDescent="0.3">
      <c r="B329" s="2">
        <f t="shared" si="5"/>
        <v>6.946722900000168</v>
      </c>
      <c r="C329">
        <v>3228.6220205</v>
      </c>
      <c r="D329">
        <v>185.25</v>
      </c>
      <c r="E329">
        <v>126.75</v>
      </c>
      <c r="F329">
        <v>187.58699999999999</v>
      </c>
      <c r="G329">
        <v>129.37</v>
      </c>
      <c r="H329">
        <v>189.533039999999</v>
      </c>
      <c r="I329">
        <v>96.4725999999999</v>
      </c>
      <c r="J329">
        <v>183.84014235439</v>
      </c>
      <c r="K329">
        <v>0.1</v>
      </c>
      <c r="L329">
        <v>0</v>
      </c>
      <c r="M329">
        <v>0</v>
      </c>
      <c r="N329">
        <v>0</v>
      </c>
      <c r="O329">
        <v>0.69708111572265596</v>
      </c>
      <c r="P329">
        <v>-8.8636795043945296E-2</v>
      </c>
      <c r="Q329">
        <v>0</v>
      </c>
      <c r="R329">
        <v>160.40600000000001</v>
      </c>
      <c r="S329">
        <v>-2.883</v>
      </c>
      <c r="T329">
        <v>0.159</v>
      </c>
      <c r="U329">
        <v>0.755</v>
      </c>
      <c r="V329" t="b">
        <v>1</v>
      </c>
      <c r="W329" t="s">
        <v>52</v>
      </c>
    </row>
    <row r="330" spans="2:23" x14ac:dyDescent="0.3">
      <c r="B330" s="2">
        <f t="shared" si="5"/>
        <v>6.9777452000002995</v>
      </c>
      <c r="C330">
        <v>3228.6530428000001</v>
      </c>
      <c r="D330">
        <v>185.25</v>
      </c>
      <c r="E330">
        <v>126.75</v>
      </c>
      <c r="F330">
        <v>187.34100000000001</v>
      </c>
      <c r="G330">
        <v>127.012</v>
      </c>
      <c r="H330">
        <v>189.39395999999999</v>
      </c>
      <c r="I330">
        <v>98.943599999999904</v>
      </c>
      <c r="J330">
        <v>186.98430643705001</v>
      </c>
      <c r="K330">
        <v>0.1</v>
      </c>
      <c r="L330">
        <v>0</v>
      </c>
      <c r="M330">
        <v>0</v>
      </c>
      <c r="N330">
        <v>0</v>
      </c>
      <c r="O330">
        <v>0.69708111572265596</v>
      </c>
      <c r="P330">
        <v>-8.8636795043945296E-2</v>
      </c>
      <c r="Q330">
        <v>0</v>
      </c>
      <c r="R330">
        <v>160.40600000000001</v>
      </c>
      <c r="S330">
        <v>-2.883</v>
      </c>
      <c r="T330">
        <v>0.159</v>
      </c>
      <c r="U330">
        <v>0.755</v>
      </c>
      <c r="V330" t="b">
        <v>1</v>
      </c>
      <c r="W330" t="s">
        <v>52</v>
      </c>
    </row>
    <row r="331" spans="2:23" x14ac:dyDescent="0.3">
      <c r="B331" s="2">
        <f t="shared" si="5"/>
        <v>7.0080390000002808</v>
      </c>
      <c r="C331">
        <v>3228.6833366000001</v>
      </c>
      <c r="D331">
        <v>185.25</v>
      </c>
      <c r="E331">
        <v>126.75</v>
      </c>
      <c r="F331">
        <v>187.21799999999999</v>
      </c>
      <c r="G331">
        <v>124.523</v>
      </c>
      <c r="H331">
        <v>189.24503999999999</v>
      </c>
      <c r="I331">
        <v>101.3884</v>
      </c>
      <c r="J331">
        <v>190.070403287478</v>
      </c>
      <c r="K331">
        <v>0.1</v>
      </c>
      <c r="L331">
        <v>0</v>
      </c>
      <c r="M331">
        <v>0</v>
      </c>
      <c r="N331">
        <v>0</v>
      </c>
      <c r="O331">
        <v>0.70412438964843704</v>
      </c>
      <c r="P331">
        <v>-7.4277885437011706E-2</v>
      </c>
      <c r="Q331">
        <v>0</v>
      </c>
      <c r="R331">
        <v>160.256</v>
      </c>
      <c r="S331">
        <v>-2.7919999999999998</v>
      </c>
      <c r="T331">
        <v>0.18099999999999999</v>
      </c>
      <c r="U331">
        <v>0.75700000000000001</v>
      </c>
      <c r="V331" t="b">
        <v>1</v>
      </c>
      <c r="W331" t="s">
        <v>52</v>
      </c>
    </row>
    <row r="332" spans="2:23" x14ac:dyDescent="0.3">
      <c r="B332" s="2">
        <f t="shared" si="5"/>
        <v>7.039289700000154</v>
      </c>
      <c r="C332">
        <v>3228.7145872999999</v>
      </c>
      <c r="D332">
        <v>185.25</v>
      </c>
      <c r="E332">
        <v>126.75</v>
      </c>
      <c r="F332">
        <v>186.97200000000001</v>
      </c>
      <c r="G332">
        <v>122.03400000000001</v>
      </c>
      <c r="H332">
        <v>189.08135999999999</v>
      </c>
      <c r="I332">
        <v>103.01352</v>
      </c>
      <c r="J332">
        <v>192.34085754942001</v>
      </c>
      <c r="K332">
        <v>0.1</v>
      </c>
      <c r="L332">
        <v>0</v>
      </c>
      <c r="M332">
        <v>0</v>
      </c>
      <c r="N332">
        <v>0</v>
      </c>
      <c r="O332">
        <v>0.70412438964843704</v>
      </c>
      <c r="P332">
        <v>-7.4277885437011706E-2</v>
      </c>
      <c r="Q332">
        <v>0</v>
      </c>
      <c r="R332">
        <v>160.256</v>
      </c>
      <c r="S332">
        <v>-2.7919999999999998</v>
      </c>
      <c r="T332">
        <v>0.18099999999999999</v>
      </c>
      <c r="U332">
        <v>0.75700000000000001</v>
      </c>
      <c r="V332" t="b">
        <v>1</v>
      </c>
      <c r="W332" t="s">
        <v>52</v>
      </c>
    </row>
    <row r="333" spans="2:23" x14ac:dyDescent="0.3">
      <c r="B333" s="2">
        <f t="shared" si="5"/>
        <v>7.0705900000002657</v>
      </c>
      <c r="C333">
        <v>3228.7458876000001</v>
      </c>
      <c r="D333">
        <v>185.25</v>
      </c>
      <c r="E333">
        <v>136.5</v>
      </c>
      <c r="F333">
        <v>186.48</v>
      </c>
      <c r="G333">
        <v>139.64400000000001</v>
      </c>
      <c r="H333">
        <v>188.902919999999</v>
      </c>
      <c r="I333">
        <v>105.42164</v>
      </c>
      <c r="J333">
        <v>195.379232292822</v>
      </c>
      <c r="K333">
        <v>0.1</v>
      </c>
      <c r="L333">
        <v>0</v>
      </c>
      <c r="M333">
        <v>0</v>
      </c>
      <c r="N333">
        <v>0</v>
      </c>
      <c r="O333">
        <v>0.69974774169921805</v>
      </c>
      <c r="P333">
        <v>-8.2299110412597604E-2</v>
      </c>
      <c r="Q333">
        <v>0</v>
      </c>
      <c r="R333">
        <v>160.12799999999999</v>
      </c>
      <c r="S333">
        <v>-2.6440000000000001</v>
      </c>
      <c r="T333">
        <v>0.19600000000000001</v>
      </c>
      <c r="U333">
        <v>0.75800000000000001</v>
      </c>
      <c r="V333" t="b">
        <v>1</v>
      </c>
      <c r="W333" t="s">
        <v>52</v>
      </c>
    </row>
    <row r="334" spans="2:23" x14ac:dyDescent="0.3">
      <c r="B334" s="2">
        <f t="shared" si="5"/>
        <v>7.1177352000004248</v>
      </c>
      <c r="C334">
        <v>3228.7930328000002</v>
      </c>
      <c r="D334">
        <v>185.25</v>
      </c>
      <c r="E334">
        <v>136.5</v>
      </c>
      <c r="F334">
        <v>185.86500000000001</v>
      </c>
      <c r="G334">
        <v>137.155</v>
      </c>
      <c r="H334">
        <v>188.70479999999901</v>
      </c>
      <c r="I334">
        <v>107.81404000000001</v>
      </c>
      <c r="J334">
        <v>198.69139973501601</v>
      </c>
      <c r="K334">
        <v>0.1</v>
      </c>
      <c r="L334">
        <v>0</v>
      </c>
      <c r="M334">
        <v>0</v>
      </c>
      <c r="N334">
        <v>0</v>
      </c>
      <c r="O334">
        <v>0.69974774169921805</v>
      </c>
      <c r="P334">
        <v>-8.2299110412597604E-2</v>
      </c>
      <c r="Q334">
        <v>0</v>
      </c>
      <c r="R334">
        <v>160.12799999999999</v>
      </c>
      <c r="S334">
        <v>-2.6440000000000001</v>
      </c>
      <c r="T334">
        <v>0.19600000000000001</v>
      </c>
      <c r="U334">
        <v>0.75800000000000001</v>
      </c>
      <c r="V334" t="b">
        <v>1</v>
      </c>
      <c r="W334" t="s">
        <v>52</v>
      </c>
    </row>
    <row r="335" spans="2:23" x14ac:dyDescent="0.3">
      <c r="B335" s="2">
        <f t="shared" si="5"/>
        <v>7.149779700000181</v>
      </c>
      <c r="C335">
        <v>3228.8250773</v>
      </c>
      <c r="D335">
        <v>185.25</v>
      </c>
      <c r="E335">
        <v>136.5</v>
      </c>
      <c r="F335">
        <v>185.49600000000001</v>
      </c>
      <c r="G335">
        <v>134.535</v>
      </c>
      <c r="H335">
        <v>188.496839999999</v>
      </c>
      <c r="I335">
        <v>110.175</v>
      </c>
      <c r="J335">
        <v>201.657851013347</v>
      </c>
      <c r="K335">
        <v>0.1</v>
      </c>
      <c r="L335">
        <v>0</v>
      </c>
      <c r="M335">
        <v>0</v>
      </c>
      <c r="N335">
        <v>0</v>
      </c>
      <c r="O335">
        <v>0.70006134033203105</v>
      </c>
      <c r="P335">
        <v>-9.2050003051757798E-2</v>
      </c>
      <c r="Q335">
        <v>0</v>
      </c>
      <c r="R335">
        <v>159.91499999999999</v>
      </c>
      <c r="S335">
        <v>-2.66</v>
      </c>
      <c r="T335">
        <v>0.14099999999999999</v>
      </c>
      <c r="U335">
        <v>0.76</v>
      </c>
      <c r="V335" t="b">
        <v>1</v>
      </c>
      <c r="W335" t="s">
        <v>52</v>
      </c>
    </row>
    <row r="336" spans="2:23" x14ac:dyDescent="0.3">
      <c r="B336" s="2">
        <f t="shared" si="5"/>
        <v>7.1810393000000659</v>
      </c>
      <c r="C336">
        <v>3228.8563368999999</v>
      </c>
      <c r="D336">
        <v>191.75</v>
      </c>
      <c r="E336">
        <v>143</v>
      </c>
      <c r="F336">
        <v>184.86199999999999</v>
      </c>
      <c r="G336">
        <v>145.489</v>
      </c>
      <c r="H336">
        <v>188.27024</v>
      </c>
      <c r="I336">
        <v>112.648119999999</v>
      </c>
      <c r="J336">
        <v>204.706739527726</v>
      </c>
      <c r="K336">
        <v>0.1</v>
      </c>
      <c r="L336">
        <v>0</v>
      </c>
      <c r="M336">
        <v>0</v>
      </c>
      <c r="N336">
        <v>0</v>
      </c>
      <c r="O336">
        <v>0.70006134033203105</v>
      </c>
      <c r="P336">
        <v>-9.2050003051757798E-2</v>
      </c>
      <c r="Q336">
        <v>0</v>
      </c>
      <c r="R336">
        <v>159.91499999999999</v>
      </c>
      <c r="S336">
        <v>-2.66</v>
      </c>
      <c r="T336">
        <v>0.14099999999999999</v>
      </c>
      <c r="U336">
        <v>0.76</v>
      </c>
      <c r="V336" t="b">
        <v>1</v>
      </c>
      <c r="W336" t="s">
        <v>52</v>
      </c>
    </row>
    <row r="337" spans="2:23" x14ac:dyDescent="0.3">
      <c r="B337" s="2">
        <f t="shared" si="5"/>
        <v>7.2121169000001828</v>
      </c>
      <c r="C337">
        <v>3228.8874145</v>
      </c>
      <c r="D337">
        <v>185.25</v>
      </c>
      <c r="E337">
        <v>146.25</v>
      </c>
      <c r="F337">
        <v>184.512</v>
      </c>
      <c r="G337">
        <v>149.78700000000001</v>
      </c>
      <c r="H337">
        <v>188.03767999999999</v>
      </c>
      <c r="I337">
        <v>114.967159999999</v>
      </c>
      <c r="J337">
        <v>207.58398218539401</v>
      </c>
      <c r="K337">
        <v>0.1</v>
      </c>
      <c r="L337">
        <v>0</v>
      </c>
      <c r="M337">
        <v>0</v>
      </c>
      <c r="N337">
        <v>0</v>
      </c>
      <c r="O337">
        <v>0.70603729248046798</v>
      </c>
      <c r="P337">
        <v>-9.0188354492187497E-2</v>
      </c>
      <c r="Q337">
        <v>0</v>
      </c>
      <c r="R337">
        <v>159.85300000000001</v>
      </c>
      <c r="S337">
        <v>-2.7149999999999999</v>
      </c>
      <c r="T337">
        <v>3.5999999999999997E-2</v>
      </c>
      <c r="U337">
        <v>0.76200000000000001</v>
      </c>
      <c r="V337" t="b">
        <v>1</v>
      </c>
      <c r="W337" t="s">
        <v>52</v>
      </c>
    </row>
    <row r="338" spans="2:23" x14ac:dyDescent="0.3">
      <c r="B338" s="2">
        <f t="shared" si="5"/>
        <v>7.2427593000002162</v>
      </c>
      <c r="C338">
        <v>3228.9180569</v>
      </c>
      <c r="D338">
        <v>186.642857142857</v>
      </c>
      <c r="E338">
        <v>144.85714285714201</v>
      </c>
      <c r="F338">
        <v>184.059857142857</v>
      </c>
      <c r="G338">
        <v>144.20214285714201</v>
      </c>
      <c r="H338">
        <v>187.79195428571401</v>
      </c>
      <c r="I338">
        <v>117.146645714285</v>
      </c>
      <c r="J338">
        <v>210.300320513549</v>
      </c>
      <c r="K338">
        <v>0.1</v>
      </c>
      <c r="L338">
        <v>0</v>
      </c>
      <c r="M338">
        <v>0</v>
      </c>
      <c r="N338">
        <v>0</v>
      </c>
      <c r="O338">
        <v>0.70603729248046798</v>
      </c>
      <c r="P338">
        <v>-9.0188354492187497E-2</v>
      </c>
      <c r="Q338">
        <v>0</v>
      </c>
      <c r="R338">
        <v>159.85300000000001</v>
      </c>
      <c r="S338">
        <v>-2.7149999999999999</v>
      </c>
      <c r="T338">
        <v>3.5999999999999997E-2</v>
      </c>
      <c r="U338">
        <v>0.76200000000000001</v>
      </c>
      <c r="V338" t="b">
        <v>1</v>
      </c>
      <c r="W338" t="s">
        <v>52</v>
      </c>
    </row>
    <row r="339" spans="2:23" x14ac:dyDescent="0.3">
      <c r="B339" s="2">
        <f t="shared" si="5"/>
        <v>7.2730527000003349</v>
      </c>
      <c r="C339">
        <v>3228.9483503000001</v>
      </c>
      <c r="D339">
        <v>185.25</v>
      </c>
      <c r="E339">
        <v>146.25</v>
      </c>
      <c r="F339">
        <v>183.774</v>
      </c>
      <c r="G339">
        <v>144.416</v>
      </c>
      <c r="H339">
        <v>187.54463428571401</v>
      </c>
      <c r="I339">
        <v>119.418525714285</v>
      </c>
      <c r="J339">
        <v>213.090052467687</v>
      </c>
      <c r="K339">
        <v>0.1</v>
      </c>
      <c r="L339">
        <v>0</v>
      </c>
      <c r="M339">
        <v>0</v>
      </c>
      <c r="N339">
        <v>0</v>
      </c>
      <c r="O339">
        <v>0.707997863769531</v>
      </c>
      <c r="P339">
        <v>-8.3274505615234307E-2</v>
      </c>
      <c r="Q339">
        <v>0</v>
      </c>
      <c r="R339">
        <v>159.744</v>
      </c>
      <c r="S339">
        <v>-2.8570000000000002</v>
      </c>
      <c r="T339">
        <v>-5.7000000000000002E-2</v>
      </c>
      <c r="U339">
        <v>0.76300000000000001</v>
      </c>
      <c r="V339" t="b">
        <v>1</v>
      </c>
      <c r="W339" t="s">
        <v>52</v>
      </c>
    </row>
    <row r="340" spans="2:23" x14ac:dyDescent="0.3">
      <c r="B340" s="2">
        <f t="shared" si="5"/>
        <v>7.3046481000001222</v>
      </c>
      <c r="C340">
        <v>3228.9799456999999</v>
      </c>
      <c r="D340">
        <v>185.25</v>
      </c>
      <c r="E340">
        <v>146.25</v>
      </c>
      <c r="F340">
        <v>183.405</v>
      </c>
      <c r="G340">
        <v>141.66499999999999</v>
      </c>
      <c r="H340">
        <v>187.29731428571401</v>
      </c>
      <c r="I340">
        <v>121.674685714285</v>
      </c>
      <c r="J340">
        <v>215.873006711427</v>
      </c>
      <c r="K340">
        <v>0.1</v>
      </c>
      <c r="L340">
        <v>0</v>
      </c>
      <c r="M340">
        <v>0</v>
      </c>
      <c r="N340">
        <v>0</v>
      </c>
      <c r="O340">
        <v>0.707997863769531</v>
      </c>
      <c r="P340">
        <v>-8.3274505615234307E-2</v>
      </c>
      <c r="Q340">
        <v>0</v>
      </c>
      <c r="R340">
        <v>159.744</v>
      </c>
      <c r="S340">
        <v>-2.8570000000000002</v>
      </c>
      <c r="T340">
        <v>-5.7000000000000002E-2</v>
      </c>
      <c r="U340">
        <v>0.76300000000000001</v>
      </c>
      <c r="V340" t="b">
        <v>1</v>
      </c>
      <c r="W340" t="s">
        <v>52</v>
      </c>
    </row>
    <row r="341" spans="2:23" x14ac:dyDescent="0.3">
      <c r="B341" s="2">
        <f t="shared" si="5"/>
        <v>7.3364228000000367</v>
      </c>
      <c r="C341">
        <v>3229.0117203999998</v>
      </c>
      <c r="D341">
        <v>188.5</v>
      </c>
      <c r="E341">
        <v>156</v>
      </c>
      <c r="F341">
        <v>182.965</v>
      </c>
      <c r="G341">
        <v>159.14400000000001</v>
      </c>
      <c r="H341">
        <v>187.04223428571399</v>
      </c>
      <c r="I341">
        <v>124.734805714285</v>
      </c>
      <c r="J341">
        <v>219.449540562648</v>
      </c>
      <c r="K341">
        <v>0.1</v>
      </c>
      <c r="L341">
        <v>0</v>
      </c>
      <c r="M341">
        <v>0</v>
      </c>
      <c r="N341">
        <v>0</v>
      </c>
      <c r="O341">
        <v>0.72976989746093701</v>
      </c>
      <c r="P341">
        <v>-6.6205764770507797E-2</v>
      </c>
      <c r="Q341">
        <v>0</v>
      </c>
      <c r="R341">
        <v>159.67599999999999</v>
      </c>
      <c r="S341">
        <v>-3.0619999999999998</v>
      </c>
      <c r="T341">
        <v>-0.21199999999999999</v>
      </c>
      <c r="U341">
        <v>0.76600000000000001</v>
      </c>
      <c r="V341" t="b">
        <v>1</v>
      </c>
      <c r="W341" t="s">
        <v>52</v>
      </c>
    </row>
    <row r="342" spans="2:23" x14ac:dyDescent="0.3">
      <c r="B342" s="2">
        <f t="shared" si="5"/>
        <v>7.367167000000336</v>
      </c>
      <c r="C342">
        <v>3229.0424646000001</v>
      </c>
      <c r="D342">
        <v>175.5</v>
      </c>
      <c r="E342">
        <v>156</v>
      </c>
      <c r="F342">
        <v>182.26499999999999</v>
      </c>
      <c r="G342">
        <v>155.214</v>
      </c>
      <c r="H342">
        <v>186.768994285714</v>
      </c>
      <c r="I342">
        <v>126.93856571428501</v>
      </c>
      <c r="J342">
        <v>222.14052279524299</v>
      </c>
      <c r="K342">
        <v>0.1</v>
      </c>
      <c r="L342">
        <v>0</v>
      </c>
      <c r="M342">
        <v>0</v>
      </c>
      <c r="N342">
        <v>0</v>
      </c>
      <c r="O342">
        <v>0.72976989746093701</v>
      </c>
      <c r="P342">
        <v>-6.6205764770507797E-2</v>
      </c>
      <c r="Q342">
        <v>0</v>
      </c>
      <c r="R342">
        <v>159.67599999999999</v>
      </c>
      <c r="S342">
        <v>-3.0619999999999998</v>
      </c>
      <c r="T342">
        <v>-0.21199999999999999</v>
      </c>
      <c r="U342">
        <v>0.76600000000000001</v>
      </c>
      <c r="V342" t="b">
        <v>1</v>
      </c>
      <c r="W342" t="s">
        <v>52</v>
      </c>
    </row>
    <row r="343" spans="2:23" x14ac:dyDescent="0.3">
      <c r="B343" s="2">
        <f t="shared" si="5"/>
        <v>7.3981877000001077</v>
      </c>
      <c r="C343">
        <v>3229.0734852999999</v>
      </c>
      <c r="D343">
        <v>175.5</v>
      </c>
      <c r="E343">
        <v>156</v>
      </c>
      <c r="F343">
        <v>182.142</v>
      </c>
      <c r="G343">
        <v>153.904</v>
      </c>
      <c r="H343">
        <v>186.48591428571399</v>
      </c>
      <c r="I343">
        <v>129.21044571428499</v>
      </c>
      <c r="J343">
        <v>224.891910968085</v>
      </c>
      <c r="K343">
        <v>0.1</v>
      </c>
      <c r="L343">
        <v>0</v>
      </c>
      <c r="M343">
        <v>0</v>
      </c>
      <c r="N343">
        <v>0</v>
      </c>
      <c r="O343">
        <v>0.76586566162109304</v>
      </c>
      <c r="P343">
        <v>-6.5607521057128901E-2</v>
      </c>
      <c r="Q343">
        <v>0</v>
      </c>
      <c r="R343">
        <v>159.697</v>
      </c>
      <c r="S343">
        <v>-3.1869999999999998</v>
      </c>
      <c r="T343">
        <v>-0.438</v>
      </c>
      <c r="U343">
        <v>0.76900000000000002</v>
      </c>
      <c r="V343" t="b">
        <v>1</v>
      </c>
      <c r="W343" t="s">
        <v>52</v>
      </c>
    </row>
    <row r="344" spans="2:23" x14ac:dyDescent="0.3">
      <c r="B344" s="2">
        <f t="shared" si="5"/>
        <v>7.4297265000000152</v>
      </c>
      <c r="C344">
        <v>3229.1050240999998</v>
      </c>
      <c r="D344">
        <v>175.5</v>
      </c>
      <c r="E344">
        <v>156</v>
      </c>
      <c r="F344">
        <v>181.773</v>
      </c>
      <c r="G344">
        <v>151.15299999999999</v>
      </c>
      <c r="H344">
        <v>186.18315428571401</v>
      </c>
      <c r="I344">
        <v>131.49804571428501</v>
      </c>
      <c r="J344">
        <v>227.65488022410099</v>
      </c>
      <c r="K344">
        <v>0.1</v>
      </c>
      <c r="L344">
        <v>0</v>
      </c>
      <c r="M344">
        <v>0</v>
      </c>
      <c r="N344">
        <v>0</v>
      </c>
      <c r="O344">
        <v>0.76586566162109304</v>
      </c>
      <c r="P344">
        <v>-6.5607521057128901E-2</v>
      </c>
      <c r="Q344">
        <v>0</v>
      </c>
      <c r="R344">
        <v>159.697</v>
      </c>
      <c r="S344">
        <v>-3.1869999999999998</v>
      </c>
      <c r="T344">
        <v>-0.438</v>
      </c>
      <c r="U344">
        <v>0.76900000000000002</v>
      </c>
      <c r="V344" t="b">
        <v>1</v>
      </c>
      <c r="W344" t="s">
        <v>52</v>
      </c>
    </row>
    <row r="345" spans="2:23" x14ac:dyDescent="0.3">
      <c r="B345" s="2">
        <f t="shared" si="5"/>
        <v>7.4607101999999941</v>
      </c>
      <c r="C345">
        <v>3229.1360077999998</v>
      </c>
      <c r="D345">
        <v>175.5</v>
      </c>
      <c r="E345">
        <v>165.75</v>
      </c>
      <c r="F345">
        <v>181.28100000000001</v>
      </c>
      <c r="G345">
        <v>168.89400000000001</v>
      </c>
      <c r="H345">
        <v>185.86071428571401</v>
      </c>
      <c r="I345">
        <v>133.80660571428501</v>
      </c>
      <c r="J345">
        <v>230.41881230606</v>
      </c>
      <c r="K345">
        <v>0.1</v>
      </c>
      <c r="L345">
        <v>0</v>
      </c>
      <c r="M345">
        <v>0</v>
      </c>
      <c r="N345">
        <v>0</v>
      </c>
      <c r="O345">
        <v>0.69989739990234301</v>
      </c>
      <c r="P345">
        <v>-6.6954994201660095E-2</v>
      </c>
      <c r="Q345">
        <v>0</v>
      </c>
      <c r="R345">
        <v>159.83199999999999</v>
      </c>
      <c r="S345">
        <v>-2.84</v>
      </c>
      <c r="T345">
        <v>-0.78300000000000003</v>
      </c>
      <c r="U345">
        <v>0.77100000000000002</v>
      </c>
      <c r="V345" t="b">
        <v>1</v>
      </c>
      <c r="W345" t="s">
        <v>52</v>
      </c>
    </row>
    <row r="346" spans="2:23" x14ac:dyDescent="0.3">
      <c r="B346" s="2">
        <f t="shared" si="5"/>
        <v>7.4922096000000238</v>
      </c>
      <c r="C346">
        <v>3229.1675071999998</v>
      </c>
      <c r="D346">
        <v>180.375</v>
      </c>
      <c r="E346">
        <v>160.875</v>
      </c>
      <c r="F346">
        <v>180.99</v>
      </c>
      <c r="G346">
        <v>155.63499999999999</v>
      </c>
      <c r="H346">
        <v>185.53155428571401</v>
      </c>
      <c r="I346">
        <v>135.700085714285</v>
      </c>
      <c r="J346">
        <v>232.76372217464399</v>
      </c>
      <c r="K346">
        <v>0.1</v>
      </c>
      <c r="L346">
        <v>0</v>
      </c>
      <c r="M346">
        <v>0</v>
      </c>
      <c r="N346">
        <v>0</v>
      </c>
      <c r="O346">
        <v>0.69989739990234301</v>
      </c>
      <c r="P346">
        <v>-6.6954994201660095E-2</v>
      </c>
      <c r="Q346">
        <v>0</v>
      </c>
      <c r="R346">
        <v>159.83199999999999</v>
      </c>
      <c r="S346">
        <v>-2.84</v>
      </c>
      <c r="T346">
        <v>-0.78300000000000003</v>
      </c>
      <c r="U346">
        <v>0.77100000000000002</v>
      </c>
      <c r="V346" t="b">
        <v>1</v>
      </c>
      <c r="W346" t="s">
        <v>52</v>
      </c>
    </row>
    <row r="347" spans="2:23" x14ac:dyDescent="0.3">
      <c r="B347" s="2">
        <f t="shared" si="5"/>
        <v>7.5385995000001458</v>
      </c>
      <c r="C347">
        <v>3229.2138970999999</v>
      </c>
      <c r="D347">
        <v>175.5</v>
      </c>
      <c r="E347">
        <v>165.75</v>
      </c>
      <c r="F347">
        <v>180.17400000000001</v>
      </c>
      <c r="G347">
        <v>161.68899999999999</v>
      </c>
      <c r="H347">
        <v>185.17959428571399</v>
      </c>
      <c r="I347">
        <v>137.94576571428499</v>
      </c>
      <c r="J347">
        <v>235.653691336609</v>
      </c>
      <c r="K347">
        <v>0.1</v>
      </c>
      <c r="L347">
        <v>0</v>
      </c>
      <c r="M347">
        <v>0</v>
      </c>
      <c r="N347">
        <v>0</v>
      </c>
      <c r="O347">
        <v>0.66568493652343697</v>
      </c>
      <c r="P347">
        <v>-9.4758941650390602E-2</v>
      </c>
      <c r="Q347">
        <v>0</v>
      </c>
      <c r="R347">
        <v>159.846</v>
      </c>
      <c r="S347">
        <v>-2.8149999999999999</v>
      </c>
      <c r="T347">
        <v>-1.268</v>
      </c>
      <c r="U347">
        <v>0.78</v>
      </c>
      <c r="V347" t="b">
        <v>1</v>
      </c>
      <c r="W347" t="s">
        <v>52</v>
      </c>
    </row>
    <row r="348" spans="2:23" x14ac:dyDescent="0.3">
      <c r="B348" s="2">
        <f t="shared" si="5"/>
        <v>7.570056200000181</v>
      </c>
      <c r="C348">
        <v>3229.2453538</v>
      </c>
      <c r="D348">
        <v>175.5</v>
      </c>
      <c r="E348">
        <v>175.5</v>
      </c>
      <c r="F348">
        <v>179.559</v>
      </c>
      <c r="G348">
        <v>179.43</v>
      </c>
      <c r="H348">
        <v>184.807954285714</v>
      </c>
      <c r="I348">
        <v>141.005885714285</v>
      </c>
      <c r="J348">
        <v>239.13718131901501</v>
      </c>
      <c r="K348">
        <v>0.1</v>
      </c>
      <c r="L348">
        <v>0</v>
      </c>
      <c r="M348">
        <v>0</v>
      </c>
      <c r="N348">
        <v>0</v>
      </c>
      <c r="O348">
        <v>0.66568493652343697</v>
      </c>
      <c r="P348">
        <v>-9.4758941650390602E-2</v>
      </c>
      <c r="Q348">
        <v>0</v>
      </c>
      <c r="R348">
        <v>159.846</v>
      </c>
      <c r="S348">
        <v>-2.8149999999999999</v>
      </c>
      <c r="T348">
        <v>-1.268</v>
      </c>
      <c r="U348">
        <v>0.78</v>
      </c>
      <c r="V348" t="b">
        <v>1</v>
      </c>
      <c r="W348" t="s">
        <v>52</v>
      </c>
    </row>
    <row r="349" spans="2:23" x14ac:dyDescent="0.3">
      <c r="B349" s="2">
        <f t="shared" si="5"/>
        <v>7.6007871000001614</v>
      </c>
      <c r="C349">
        <v>3229.2760847</v>
      </c>
      <c r="D349">
        <v>175.5</v>
      </c>
      <c r="E349">
        <v>175.5</v>
      </c>
      <c r="F349">
        <v>179.19</v>
      </c>
      <c r="G349">
        <v>176.679</v>
      </c>
      <c r="H349">
        <v>184.42647428571399</v>
      </c>
      <c r="I349">
        <v>143.25680571428501</v>
      </c>
      <c r="J349">
        <v>241.79145676174201</v>
      </c>
      <c r="K349">
        <v>0.1</v>
      </c>
      <c r="L349">
        <v>0</v>
      </c>
      <c r="M349">
        <v>0</v>
      </c>
      <c r="N349">
        <v>0</v>
      </c>
      <c r="O349">
        <v>0.67317053222656198</v>
      </c>
      <c r="P349">
        <v>-0.12201015472412099</v>
      </c>
      <c r="Q349">
        <v>0</v>
      </c>
      <c r="R349">
        <v>159.851</v>
      </c>
      <c r="S349">
        <v>-3.0609999999999999</v>
      </c>
      <c r="T349">
        <v>-1.452</v>
      </c>
      <c r="U349">
        <v>0.78300000000000003</v>
      </c>
      <c r="V349" t="b">
        <v>1</v>
      </c>
      <c r="W349" t="s">
        <v>52</v>
      </c>
    </row>
    <row r="350" spans="2:23" x14ac:dyDescent="0.3">
      <c r="B350" s="2">
        <f t="shared" si="5"/>
        <v>7.6318452000000434</v>
      </c>
      <c r="C350">
        <v>3229.3071427999998</v>
      </c>
      <c r="D350">
        <v>175.5</v>
      </c>
      <c r="E350">
        <v>175.5</v>
      </c>
      <c r="F350">
        <v>178.94399999999999</v>
      </c>
      <c r="G350">
        <v>174.19</v>
      </c>
      <c r="H350">
        <v>184.04499428571401</v>
      </c>
      <c r="I350">
        <v>145.492005714285</v>
      </c>
      <c r="J350">
        <v>244.42427276958901</v>
      </c>
      <c r="K350">
        <v>0.1</v>
      </c>
      <c r="L350">
        <v>0</v>
      </c>
      <c r="M350">
        <v>0</v>
      </c>
      <c r="N350">
        <v>0</v>
      </c>
      <c r="O350">
        <v>0.67317053222656198</v>
      </c>
      <c r="P350">
        <v>-0.12201015472412099</v>
      </c>
      <c r="Q350">
        <v>0</v>
      </c>
      <c r="R350">
        <v>159.851</v>
      </c>
      <c r="S350">
        <v>-3.0609999999999999</v>
      </c>
      <c r="T350">
        <v>-1.452</v>
      </c>
      <c r="U350">
        <v>0.78300000000000003</v>
      </c>
      <c r="V350" t="b">
        <v>1</v>
      </c>
      <c r="W350" t="s">
        <v>52</v>
      </c>
    </row>
    <row r="351" spans="2:23" x14ac:dyDescent="0.3">
      <c r="B351" s="2">
        <f t="shared" si="5"/>
        <v>7.6628080000000409</v>
      </c>
      <c r="C351">
        <v>3229.3381055999998</v>
      </c>
      <c r="D351">
        <v>179.4</v>
      </c>
      <c r="E351">
        <v>183.3</v>
      </c>
      <c r="F351">
        <v>178.29300000000001</v>
      </c>
      <c r="G351">
        <v>187.23</v>
      </c>
      <c r="H351">
        <v>183.647314285714</v>
      </c>
      <c r="I351">
        <v>148.34312571428501</v>
      </c>
      <c r="J351">
        <v>247.66199522483299</v>
      </c>
      <c r="K351">
        <v>0.1</v>
      </c>
      <c r="L351">
        <v>0</v>
      </c>
      <c r="M351">
        <v>0</v>
      </c>
      <c r="N351">
        <v>0</v>
      </c>
      <c r="O351">
        <v>0.63644873046874995</v>
      </c>
      <c r="P351">
        <v>-0.158420669555664</v>
      </c>
      <c r="Q351">
        <v>0</v>
      </c>
      <c r="R351">
        <v>159.83699999999999</v>
      </c>
      <c r="S351">
        <v>-3.1360000000000001</v>
      </c>
      <c r="T351">
        <v>-1.288</v>
      </c>
      <c r="U351">
        <v>0.78200000000000003</v>
      </c>
      <c r="V351" t="b">
        <v>1</v>
      </c>
      <c r="W351" t="s">
        <v>52</v>
      </c>
    </row>
    <row r="352" spans="2:23" x14ac:dyDescent="0.3">
      <c r="B352" s="2">
        <f t="shared" si="5"/>
        <v>7.693853300000228</v>
      </c>
      <c r="C352">
        <v>3229.3691509</v>
      </c>
      <c r="D352">
        <v>175.5</v>
      </c>
      <c r="E352">
        <v>185.25</v>
      </c>
      <c r="F352">
        <v>177.83699999999999</v>
      </c>
      <c r="G352">
        <v>188.65600000000001</v>
      </c>
      <c r="H352">
        <v>183.23763428571399</v>
      </c>
      <c r="I352">
        <v>151.335125714285</v>
      </c>
      <c r="J352">
        <v>251.03205286314</v>
      </c>
      <c r="K352">
        <v>0.1</v>
      </c>
      <c r="L352">
        <v>0</v>
      </c>
      <c r="M352">
        <v>0</v>
      </c>
      <c r="N352">
        <v>0</v>
      </c>
      <c r="O352">
        <v>0.63644873046874995</v>
      </c>
      <c r="P352">
        <v>-0.158420669555664</v>
      </c>
      <c r="Q352">
        <v>0</v>
      </c>
      <c r="R352">
        <v>159.83699999999999</v>
      </c>
      <c r="S352">
        <v>-3.1360000000000001</v>
      </c>
      <c r="T352">
        <v>-1.288</v>
      </c>
      <c r="U352">
        <v>0.78200000000000003</v>
      </c>
      <c r="V352" t="b">
        <v>1</v>
      </c>
      <c r="W352" t="s">
        <v>52</v>
      </c>
    </row>
    <row r="353" spans="2:23" x14ac:dyDescent="0.3">
      <c r="B353" s="2">
        <f t="shared" si="5"/>
        <v>7.740906300000006</v>
      </c>
      <c r="C353">
        <v>3229.4162038999998</v>
      </c>
      <c r="D353">
        <v>175.5</v>
      </c>
      <c r="E353">
        <v>187.2</v>
      </c>
      <c r="F353">
        <v>177.59100000000001</v>
      </c>
      <c r="G353">
        <v>190.08199999999999</v>
      </c>
      <c r="H353">
        <v>182.82303428571399</v>
      </c>
      <c r="I353">
        <v>153.669285714285</v>
      </c>
      <c r="J353">
        <v>253.92145613837499</v>
      </c>
      <c r="K353">
        <v>0.1</v>
      </c>
      <c r="L353">
        <v>0</v>
      </c>
      <c r="M353">
        <v>0</v>
      </c>
      <c r="N353">
        <v>0</v>
      </c>
      <c r="O353">
        <v>0.63532794189453101</v>
      </c>
      <c r="P353">
        <v>-0.18059512329101499</v>
      </c>
      <c r="Q353">
        <v>0</v>
      </c>
      <c r="R353">
        <v>159.83000000000001</v>
      </c>
      <c r="S353">
        <v>-3.375</v>
      </c>
      <c r="T353">
        <v>-0.90700000000000003</v>
      </c>
      <c r="U353">
        <v>0.78600000000000003</v>
      </c>
      <c r="V353" t="b">
        <v>1</v>
      </c>
      <c r="W353" t="s">
        <v>52</v>
      </c>
    </row>
    <row r="354" spans="2:23" x14ac:dyDescent="0.3">
      <c r="B354" s="2">
        <f t="shared" si="5"/>
        <v>7.7560024000003978</v>
      </c>
      <c r="C354">
        <v>3229.4313000000002</v>
      </c>
      <c r="D354">
        <v>175.5</v>
      </c>
      <c r="E354">
        <v>185.25</v>
      </c>
      <c r="F354">
        <v>177.46799999999999</v>
      </c>
      <c r="G354">
        <v>183.154</v>
      </c>
      <c r="H354">
        <v>182.41827428571401</v>
      </c>
      <c r="I354">
        <v>155.82064571428501</v>
      </c>
      <c r="J354">
        <v>256.24653636221899</v>
      </c>
      <c r="K354">
        <v>0.1</v>
      </c>
      <c r="L354">
        <v>0</v>
      </c>
      <c r="M354">
        <v>0</v>
      </c>
      <c r="N354">
        <v>0</v>
      </c>
      <c r="O354">
        <v>0.63532794189453101</v>
      </c>
      <c r="P354">
        <v>-0.18059512329101499</v>
      </c>
      <c r="Q354">
        <v>0</v>
      </c>
      <c r="R354">
        <v>159.83000000000001</v>
      </c>
      <c r="S354">
        <v>-3.375</v>
      </c>
      <c r="T354">
        <v>-0.90700000000000003</v>
      </c>
      <c r="U354">
        <v>0.78600000000000003</v>
      </c>
      <c r="V354" t="b">
        <v>1</v>
      </c>
      <c r="W354" t="s">
        <v>52</v>
      </c>
    </row>
    <row r="355" spans="2:23" x14ac:dyDescent="0.3">
      <c r="B355" s="2">
        <f t="shared" si="5"/>
        <v>7.8027047000000493</v>
      </c>
      <c r="C355">
        <v>3229.4780022999998</v>
      </c>
      <c r="D355">
        <v>175.5</v>
      </c>
      <c r="E355">
        <v>183.3</v>
      </c>
      <c r="F355">
        <v>177.46799999999999</v>
      </c>
      <c r="G355">
        <v>176.357</v>
      </c>
      <c r="H355">
        <v>182.02335428571399</v>
      </c>
      <c r="I355">
        <v>157.79444571428499</v>
      </c>
      <c r="J355">
        <v>258.74456571772299</v>
      </c>
      <c r="K355">
        <v>0.1</v>
      </c>
      <c r="L355">
        <v>0</v>
      </c>
      <c r="M355">
        <v>0</v>
      </c>
      <c r="N355">
        <v>0</v>
      </c>
      <c r="O355">
        <v>0.68238909912109302</v>
      </c>
      <c r="P355">
        <v>-0.21718957519531201</v>
      </c>
      <c r="Q355">
        <v>0</v>
      </c>
      <c r="R355">
        <v>159.83600000000001</v>
      </c>
      <c r="S355">
        <v>-3.4089999999999998</v>
      </c>
      <c r="T355">
        <v>-0.54600000000000004</v>
      </c>
      <c r="U355">
        <v>0.78600000000000003</v>
      </c>
      <c r="V355" t="b">
        <v>1</v>
      </c>
      <c r="W355" t="s">
        <v>52</v>
      </c>
    </row>
    <row r="356" spans="2:23" x14ac:dyDescent="0.3">
      <c r="B356" s="2">
        <f t="shared" si="5"/>
        <v>7.818170800000189</v>
      </c>
      <c r="C356">
        <v>3229.4934684</v>
      </c>
      <c r="D356">
        <v>175.5</v>
      </c>
      <c r="E356">
        <v>195</v>
      </c>
      <c r="F356">
        <v>176.85300000000001</v>
      </c>
      <c r="G356">
        <v>197.227</v>
      </c>
      <c r="H356">
        <v>181.60875428571401</v>
      </c>
      <c r="I356">
        <v>160.702605714285</v>
      </c>
      <c r="J356">
        <v>261.82202325789501</v>
      </c>
      <c r="K356">
        <v>0.1</v>
      </c>
      <c r="L356">
        <v>0</v>
      </c>
      <c r="M356">
        <v>0</v>
      </c>
      <c r="N356">
        <v>0</v>
      </c>
      <c r="O356">
        <v>0.68238909912109302</v>
      </c>
      <c r="P356">
        <v>-0.21718957519531201</v>
      </c>
      <c r="Q356">
        <v>0</v>
      </c>
      <c r="R356">
        <v>159.83600000000001</v>
      </c>
      <c r="S356">
        <v>-3.4089999999999998</v>
      </c>
      <c r="T356">
        <v>-0.54600000000000004</v>
      </c>
      <c r="U356">
        <v>0.78600000000000003</v>
      </c>
      <c r="V356" t="b">
        <v>1</v>
      </c>
      <c r="W356" t="s">
        <v>52</v>
      </c>
    </row>
    <row r="357" spans="2:23" x14ac:dyDescent="0.3">
      <c r="B357" s="2">
        <f t="shared" si="5"/>
        <v>7.849333900000147</v>
      </c>
      <c r="C357">
        <v>3229.5246314999999</v>
      </c>
      <c r="D357">
        <v>175.5</v>
      </c>
      <c r="E357">
        <v>195</v>
      </c>
      <c r="F357">
        <v>176.607</v>
      </c>
      <c r="G357">
        <v>194.345</v>
      </c>
      <c r="H357">
        <v>181.19415428571401</v>
      </c>
      <c r="I357">
        <v>163.59504571428499</v>
      </c>
      <c r="J357">
        <v>265.04923656696599</v>
      </c>
      <c r="K357">
        <v>0.1</v>
      </c>
      <c r="L357">
        <v>0</v>
      </c>
      <c r="M357">
        <v>0</v>
      </c>
      <c r="N357">
        <v>0</v>
      </c>
      <c r="O357">
        <v>0.67810552978515604</v>
      </c>
      <c r="P357">
        <v>-0.22711698913574199</v>
      </c>
      <c r="Q357">
        <v>0</v>
      </c>
      <c r="R357">
        <v>159.98500000000001</v>
      </c>
      <c r="S357">
        <v>-3.14</v>
      </c>
      <c r="T357">
        <v>-0.45200000000000001</v>
      </c>
      <c r="U357">
        <v>0.78300000000000003</v>
      </c>
      <c r="V357" t="b">
        <v>1</v>
      </c>
      <c r="W357" t="s">
        <v>52</v>
      </c>
    </row>
    <row r="358" spans="2:23" x14ac:dyDescent="0.3">
      <c r="B358" s="2">
        <f t="shared" si="5"/>
        <v>7.8953836000000592</v>
      </c>
      <c r="C358">
        <v>3229.5706811999999</v>
      </c>
      <c r="D358">
        <v>180.375</v>
      </c>
      <c r="E358">
        <v>199.875</v>
      </c>
      <c r="F358">
        <v>176.56200000000001</v>
      </c>
      <c r="G358">
        <v>201.316</v>
      </c>
      <c r="H358">
        <v>180.79743428571399</v>
      </c>
      <c r="I358">
        <v>166.061925714285</v>
      </c>
      <c r="J358">
        <v>267.99565645921803</v>
      </c>
      <c r="K358">
        <v>0.1</v>
      </c>
      <c r="L358">
        <v>0</v>
      </c>
      <c r="M358">
        <v>0</v>
      </c>
      <c r="N358">
        <v>0</v>
      </c>
      <c r="O358">
        <v>0.67810552978515604</v>
      </c>
      <c r="P358">
        <v>-0.22711698913574199</v>
      </c>
      <c r="Q358">
        <v>0</v>
      </c>
      <c r="R358">
        <v>159.98500000000001</v>
      </c>
      <c r="S358">
        <v>-3.14</v>
      </c>
      <c r="T358">
        <v>-0.45200000000000001</v>
      </c>
      <c r="U358">
        <v>0.78300000000000003</v>
      </c>
      <c r="V358" t="b">
        <v>1</v>
      </c>
      <c r="W358" t="s">
        <v>52</v>
      </c>
    </row>
    <row r="359" spans="2:23" x14ac:dyDescent="0.3">
      <c r="B359" s="2">
        <f t="shared" si="5"/>
        <v>7.9105360000003202</v>
      </c>
      <c r="C359">
        <v>3229.5858336000001</v>
      </c>
      <c r="D359">
        <v>175.5</v>
      </c>
      <c r="E359">
        <v>204.75</v>
      </c>
      <c r="F359">
        <v>176.36099999999999</v>
      </c>
      <c r="G359">
        <v>208.94200000000001</v>
      </c>
      <c r="H359">
        <v>180.417274285714</v>
      </c>
      <c r="I359">
        <v>168.93340571428499</v>
      </c>
      <c r="J359">
        <v>271.021070971808</v>
      </c>
      <c r="K359">
        <v>0.1</v>
      </c>
      <c r="L359">
        <v>0</v>
      </c>
      <c r="M359">
        <v>0</v>
      </c>
      <c r="N359">
        <v>0</v>
      </c>
      <c r="O359">
        <v>0.67810552978515604</v>
      </c>
      <c r="P359">
        <v>-0.22711698913574199</v>
      </c>
      <c r="Q359">
        <v>0</v>
      </c>
      <c r="R359">
        <v>159.98500000000001</v>
      </c>
      <c r="S359">
        <v>-3.14</v>
      </c>
      <c r="T359">
        <v>-0.45200000000000001</v>
      </c>
      <c r="U359">
        <v>0.78300000000000003</v>
      </c>
      <c r="V359" t="b">
        <v>1</v>
      </c>
      <c r="W359" t="s">
        <v>52</v>
      </c>
    </row>
    <row r="360" spans="2:23" x14ac:dyDescent="0.3">
      <c r="B360" s="2">
        <f t="shared" si="5"/>
        <v>7.9416419000003771</v>
      </c>
      <c r="C360">
        <v>3229.6169395000002</v>
      </c>
      <c r="D360">
        <v>175.5</v>
      </c>
      <c r="E360">
        <v>204.75</v>
      </c>
      <c r="F360">
        <v>176.36099999999999</v>
      </c>
      <c r="G360">
        <v>206.584</v>
      </c>
      <c r="H360">
        <v>180.05187428571401</v>
      </c>
      <c r="I360">
        <v>171.81536571428501</v>
      </c>
      <c r="J360">
        <v>274.21320306952401</v>
      </c>
      <c r="K360">
        <v>0.1</v>
      </c>
      <c r="L360">
        <v>0</v>
      </c>
      <c r="M360">
        <v>0</v>
      </c>
      <c r="N360">
        <v>0</v>
      </c>
      <c r="O360">
        <v>0.64149597167968697</v>
      </c>
      <c r="P360">
        <v>-0.23632420349121</v>
      </c>
      <c r="Q360">
        <v>0</v>
      </c>
      <c r="R360">
        <v>160.197</v>
      </c>
      <c r="S360">
        <v>-2.9830000000000001</v>
      </c>
      <c r="T360">
        <v>-0.439</v>
      </c>
      <c r="U360">
        <v>0.78500000000000003</v>
      </c>
      <c r="V360" t="b">
        <v>1</v>
      </c>
      <c r="W360" t="s">
        <v>52</v>
      </c>
    </row>
    <row r="361" spans="2:23" x14ac:dyDescent="0.3">
      <c r="B361" s="2">
        <f t="shared" si="5"/>
        <v>7.988133000000289</v>
      </c>
      <c r="C361">
        <v>3229.6634306000001</v>
      </c>
      <c r="D361">
        <v>175.5</v>
      </c>
      <c r="E361">
        <v>204.75</v>
      </c>
      <c r="F361">
        <v>176.11500000000001</v>
      </c>
      <c r="G361">
        <v>204.095</v>
      </c>
      <c r="H361">
        <v>179.70199428571399</v>
      </c>
      <c r="I361">
        <v>174.15960571428499</v>
      </c>
      <c r="J361">
        <v>277.00675790935702</v>
      </c>
      <c r="K361">
        <v>0.1</v>
      </c>
      <c r="L361">
        <v>0</v>
      </c>
      <c r="M361">
        <v>0</v>
      </c>
      <c r="N361">
        <v>0</v>
      </c>
      <c r="O361">
        <v>0.66260729980468702</v>
      </c>
      <c r="P361">
        <v>-0.243663467407226</v>
      </c>
      <c r="Q361">
        <v>0</v>
      </c>
      <c r="R361">
        <v>160.232</v>
      </c>
      <c r="S361">
        <v>-3.0920000000000001</v>
      </c>
      <c r="T361">
        <v>-0.438</v>
      </c>
      <c r="U361">
        <v>0.78300000000000003</v>
      </c>
      <c r="V361" t="b">
        <v>1</v>
      </c>
      <c r="W361" t="s">
        <v>52</v>
      </c>
    </row>
    <row r="362" spans="2:23" x14ac:dyDescent="0.3">
      <c r="B362" s="2">
        <f t="shared" si="5"/>
        <v>8.0195339000001695</v>
      </c>
      <c r="C362">
        <v>3229.6948315</v>
      </c>
      <c r="D362">
        <v>175.5</v>
      </c>
      <c r="E362">
        <v>204.75</v>
      </c>
      <c r="F362">
        <v>175.74600000000001</v>
      </c>
      <c r="G362">
        <v>201.73699999999999</v>
      </c>
      <c r="H362">
        <v>179.351354285714</v>
      </c>
      <c r="I362">
        <v>176.237605714285</v>
      </c>
      <c r="J362">
        <v>279.37883720135</v>
      </c>
      <c r="K362">
        <v>0.1</v>
      </c>
      <c r="L362">
        <v>0</v>
      </c>
      <c r="M362">
        <v>0</v>
      </c>
      <c r="N362">
        <v>0</v>
      </c>
      <c r="O362">
        <v>0.66260729980468702</v>
      </c>
      <c r="P362">
        <v>-0.243663467407226</v>
      </c>
      <c r="Q362">
        <v>0</v>
      </c>
      <c r="R362">
        <v>160.232</v>
      </c>
      <c r="S362">
        <v>-3.0920000000000001</v>
      </c>
      <c r="T362">
        <v>-0.438</v>
      </c>
      <c r="U362">
        <v>0.78300000000000003</v>
      </c>
      <c r="V362" t="b">
        <v>1</v>
      </c>
      <c r="W362" t="s">
        <v>52</v>
      </c>
    </row>
    <row r="363" spans="2:23" x14ac:dyDescent="0.3">
      <c r="B363" s="2">
        <f t="shared" si="5"/>
        <v>8.0499366000003647</v>
      </c>
      <c r="C363">
        <v>3229.7252342000002</v>
      </c>
      <c r="D363">
        <v>175.5</v>
      </c>
      <c r="E363">
        <v>204.75</v>
      </c>
      <c r="F363">
        <v>175.131</v>
      </c>
      <c r="G363">
        <v>199.37899999999999</v>
      </c>
      <c r="H363">
        <v>178.99419999999901</v>
      </c>
      <c r="I363">
        <v>178.44467999999901</v>
      </c>
      <c r="J363">
        <v>281.86363158822297</v>
      </c>
      <c r="K363">
        <v>0.1</v>
      </c>
      <c r="L363">
        <v>0</v>
      </c>
      <c r="M363">
        <v>0</v>
      </c>
      <c r="N363">
        <v>0</v>
      </c>
      <c r="O363">
        <v>0.65894897460937496</v>
      </c>
      <c r="P363">
        <v>-0.25430310058593703</v>
      </c>
      <c r="Q363">
        <v>0</v>
      </c>
      <c r="R363">
        <v>160.32900000000001</v>
      </c>
      <c r="S363">
        <v>-3.0880000000000001</v>
      </c>
      <c r="T363">
        <v>-0.34799999999999998</v>
      </c>
      <c r="U363">
        <v>0.79400000000000004</v>
      </c>
      <c r="V363" t="b">
        <v>1</v>
      </c>
      <c r="W363" t="s">
        <v>52</v>
      </c>
    </row>
    <row r="364" spans="2:23" x14ac:dyDescent="0.3">
      <c r="B364" s="2">
        <f t="shared" si="5"/>
        <v>8.0813528000003316</v>
      </c>
      <c r="C364">
        <v>3229.7566504000001</v>
      </c>
      <c r="D364">
        <v>175.5</v>
      </c>
      <c r="E364">
        <v>214.5</v>
      </c>
      <c r="F364">
        <v>173.90100000000001</v>
      </c>
      <c r="G364">
        <v>216.989</v>
      </c>
      <c r="H364">
        <v>178.59927999999999</v>
      </c>
      <c r="I364">
        <v>181.34759999999901</v>
      </c>
      <c r="J364">
        <v>285.04646287466602</v>
      </c>
      <c r="K364">
        <v>0.1</v>
      </c>
      <c r="L364">
        <v>0</v>
      </c>
      <c r="M364">
        <v>0</v>
      </c>
      <c r="N364">
        <v>0</v>
      </c>
      <c r="O364">
        <v>0.65894897460937496</v>
      </c>
      <c r="P364">
        <v>-0.25430310058593703</v>
      </c>
      <c r="Q364">
        <v>0</v>
      </c>
      <c r="R364">
        <v>160.32900000000001</v>
      </c>
      <c r="S364">
        <v>-3.0880000000000001</v>
      </c>
      <c r="T364">
        <v>-0.34799999999999998</v>
      </c>
      <c r="U364">
        <v>0.79400000000000004</v>
      </c>
      <c r="V364" t="b">
        <v>1</v>
      </c>
      <c r="W364" t="s">
        <v>52</v>
      </c>
    </row>
    <row r="365" spans="2:23" x14ac:dyDescent="0.3">
      <c r="B365" s="2">
        <f t="shared" si="5"/>
        <v>8.1119710000002669</v>
      </c>
      <c r="C365">
        <v>3229.7872686000001</v>
      </c>
      <c r="D365">
        <v>175.5</v>
      </c>
      <c r="E365">
        <v>214.5</v>
      </c>
      <c r="F365">
        <v>172.917</v>
      </c>
      <c r="G365">
        <v>214.762</v>
      </c>
      <c r="H365">
        <v>178.17975999999999</v>
      </c>
      <c r="I365">
        <v>184.271479999999</v>
      </c>
      <c r="J365">
        <v>288.236402477345</v>
      </c>
      <c r="K365">
        <v>0.1</v>
      </c>
      <c r="L365">
        <v>0</v>
      </c>
      <c r="M365">
        <v>0</v>
      </c>
      <c r="N365">
        <v>0</v>
      </c>
      <c r="O365">
        <v>0.65894897460937496</v>
      </c>
      <c r="P365">
        <v>-0.25430310058593703</v>
      </c>
      <c r="Q365">
        <v>0</v>
      </c>
      <c r="R365">
        <v>160.32900000000001</v>
      </c>
      <c r="S365">
        <v>-3.0880000000000001</v>
      </c>
      <c r="T365">
        <v>-0.34799999999999998</v>
      </c>
      <c r="U365">
        <v>0.79400000000000004</v>
      </c>
      <c r="V365" t="b">
        <v>1</v>
      </c>
      <c r="W365" t="s">
        <v>52</v>
      </c>
    </row>
    <row r="366" spans="2:23" x14ac:dyDescent="0.3">
      <c r="B366" s="2">
        <f t="shared" si="5"/>
        <v>8.1418160000002899</v>
      </c>
      <c r="C366">
        <v>3229.8171136000001</v>
      </c>
      <c r="D366">
        <v>175.5</v>
      </c>
      <c r="E366">
        <v>214.5</v>
      </c>
      <c r="F366">
        <v>171.93299999999999</v>
      </c>
      <c r="G366">
        <v>212.535</v>
      </c>
      <c r="H366">
        <v>177.73847999999899</v>
      </c>
      <c r="I366">
        <v>186.407119999999</v>
      </c>
      <c r="J366">
        <v>290.62513461799898</v>
      </c>
      <c r="K366">
        <v>0.1</v>
      </c>
      <c r="L366">
        <v>0</v>
      </c>
      <c r="M366">
        <v>0</v>
      </c>
      <c r="N366">
        <v>0</v>
      </c>
      <c r="O366">
        <v>0.68983624267578103</v>
      </c>
      <c r="P366">
        <v>-0.25878350830078101</v>
      </c>
      <c r="Q366">
        <v>0</v>
      </c>
      <c r="R366">
        <v>160.44900000000001</v>
      </c>
      <c r="S366">
        <v>-3.2050000000000001</v>
      </c>
      <c r="T366">
        <v>-0.21</v>
      </c>
      <c r="U366">
        <v>0.79100000000000004</v>
      </c>
      <c r="V366" t="b">
        <v>1</v>
      </c>
      <c r="W366" t="s">
        <v>52</v>
      </c>
    </row>
    <row r="367" spans="2:23" x14ac:dyDescent="0.3">
      <c r="B367" s="2">
        <f t="shared" si="5"/>
        <v>8.1884018000000651</v>
      </c>
      <c r="C367">
        <v>3229.8636993999999</v>
      </c>
      <c r="D367">
        <v>175.5</v>
      </c>
      <c r="E367">
        <v>226.2</v>
      </c>
      <c r="F367">
        <v>170.45699999999999</v>
      </c>
      <c r="G367">
        <v>233.798</v>
      </c>
      <c r="H367">
        <v>177.26615999999899</v>
      </c>
      <c r="I367">
        <v>189.550479999999</v>
      </c>
      <c r="J367">
        <v>294.15157235824</v>
      </c>
      <c r="K367">
        <v>0.1</v>
      </c>
      <c r="L367">
        <v>0</v>
      </c>
      <c r="M367">
        <v>0</v>
      </c>
      <c r="N367">
        <v>0</v>
      </c>
      <c r="O367">
        <v>0.69072875976562498</v>
      </c>
      <c r="P367">
        <v>-0.25765896606445299</v>
      </c>
      <c r="Q367">
        <v>0</v>
      </c>
      <c r="R367">
        <v>160.60499999999999</v>
      </c>
      <c r="S367">
        <v>-3.2589999999999999</v>
      </c>
      <c r="T367">
        <v>-0.221</v>
      </c>
      <c r="U367">
        <v>0.78500000000000003</v>
      </c>
      <c r="V367" t="b">
        <v>1</v>
      </c>
      <c r="W367" t="s">
        <v>52</v>
      </c>
    </row>
    <row r="368" spans="2:23" x14ac:dyDescent="0.3">
      <c r="B368" s="2">
        <f t="shared" si="5"/>
        <v>8.2195125000002918</v>
      </c>
      <c r="C368">
        <v>3229.8948101000001</v>
      </c>
      <c r="D368">
        <v>172.25</v>
      </c>
      <c r="E368">
        <v>227.5</v>
      </c>
      <c r="F368">
        <v>169.17500000000001</v>
      </c>
      <c r="G368">
        <v>234.05</v>
      </c>
      <c r="H368">
        <v>176.74748</v>
      </c>
      <c r="I368">
        <v>192.75631999999899</v>
      </c>
      <c r="J368">
        <v>297.60533630615902</v>
      </c>
      <c r="K368">
        <v>0.1</v>
      </c>
      <c r="L368">
        <v>0</v>
      </c>
      <c r="M368">
        <v>0</v>
      </c>
      <c r="N368">
        <v>0</v>
      </c>
      <c r="O368">
        <v>0.69072875976562498</v>
      </c>
      <c r="P368">
        <v>-0.25765896606445299</v>
      </c>
      <c r="Q368">
        <v>0</v>
      </c>
      <c r="R368">
        <v>160.60499999999999</v>
      </c>
      <c r="S368">
        <v>-3.2589999999999999</v>
      </c>
      <c r="T368">
        <v>-0.221</v>
      </c>
      <c r="U368">
        <v>0.78500000000000003</v>
      </c>
      <c r="V368" t="b">
        <v>1</v>
      </c>
      <c r="W368" t="s">
        <v>52</v>
      </c>
    </row>
    <row r="369" spans="2:23" x14ac:dyDescent="0.3">
      <c r="B369" s="2">
        <f t="shared" si="5"/>
        <v>8.2505235000003267</v>
      </c>
      <c r="C369">
        <v>3229.9258211000001</v>
      </c>
      <c r="D369">
        <v>165.75</v>
      </c>
      <c r="E369">
        <v>224.25</v>
      </c>
      <c r="F369">
        <v>168.21</v>
      </c>
      <c r="G369">
        <v>224.774</v>
      </c>
      <c r="H369">
        <v>176.20495999999901</v>
      </c>
      <c r="I369">
        <v>195.70115999999999</v>
      </c>
      <c r="J369">
        <v>300.79119027235402</v>
      </c>
      <c r="K369">
        <v>0.1</v>
      </c>
      <c r="L369">
        <v>0</v>
      </c>
      <c r="M369">
        <v>0</v>
      </c>
      <c r="N369">
        <v>0</v>
      </c>
      <c r="O369">
        <v>0.68332287597656205</v>
      </c>
      <c r="P369">
        <v>-0.26644631958007797</v>
      </c>
      <c r="Q369">
        <v>0</v>
      </c>
      <c r="R369">
        <v>160.63</v>
      </c>
      <c r="S369">
        <v>-3.2480000000000002</v>
      </c>
      <c r="T369">
        <v>-0.27300000000000002</v>
      </c>
      <c r="U369">
        <v>0.78300000000000003</v>
      </c>
      <c r="V369" t="b">
        <v>1</v>
      </c>
      <c r="W369" t="s">
        <v>52</v>
      </c>
    </row>
    <row r="370" spans="2:23" x14ac:dyDescent="0.3">
      <c r="B370" s="2">
        <f t="shared" si="5"/>
        <v>8.2813416000003599</v>
      </c>
      <c r="C370">
        <v>3229.9566392000002</v>
      </c>
      <c r="D370">
        <v>161.57142857142799</v>
      </c>
      <c r="E370">
        <v>225.642857142857</v>
      </c>
      <c r="F370">
        <v>167.10642857142801</v>
      </c>
      <c r="G370">
        <v>225.118857142857</v>
      </c>
      <c r="H370">
        <v>175.63797714285701</v>
      </c>
      <c r="I370">
        <v>197.95015428571401</v>
      </c>
      <c r="J370">
        <v>303.27379983001299</v>
      </c>
      <c r="K370">
        <v>0.1</v>
      </c>
      <c r="L370">
        <v>0</v>
      </c>
      <c r="M370">
        <v>0</v>
      </c>
      <c r="N370">
        <v>0</v>
      </c>
      <c r="O370">
        <v>0.68332287597656205</v>
      </c>
      <c r="P370">
        <v>-0.26644631958007797</v>
      </c>
      <c r="Q370">
        <v>0</v>
      </c>
      <c r="R370">
        <v>160.63</v>
      </c>
      <c r="S370">
        <v>-3.2480000000000002</v>
      </c>
      <c r="T370">
        <v>-0.27300000000000002</v>
      </c>
      <c r="U370">
        <v>0.78300000000000003</v>
      </c>
      <c r="V370" t="b">
        <v>1</v>
      </c>
      <c r="W370" t="s">
        <v>52</v>
      </c>
    </row>
    <row r="371" spans="2:23" x14ac:dyDescent="0.3">
      <c r="B371" s="2">
        <f t="shared" si="5"/>
        <v>8.3130092000001241</v>
      </c>
      <c r="C371">
        <v>3229.9883067999999</v>
      </c>
      <c r="D371">
        <v>165.75</v>
      </c>
      <c r="E371">
        <v>224.25</v>
      </c>
      <c r="F371">
        <v>166.36500000000001</v>
      </c>
      <c r="G371">
        <v>219.40299999999999</v>
      </c>
      <c r="H371">
        <v>175.052977142857</v>
      </c>
      <c r="I371">
        <v>200.50087428571399</v>
      </c>
      <c r="J371">
        <v>306.05860030911299</v>
      </c>
      <c r="K371">
        <v>0.1</v>
      </c>
      <c r="L371">
        <v>0</v>
      </c>
      <c r="M371">
        <v>0</v>
      </c>
      <c r="N371">
        <v>0</v>
      </c>
      <c r="O371">
        <v>0.68332287597656205</v>
      </c>
      <c r="P371">
        <v>-0.26644631958007797</v>
      </c>
      <c r="Q371">
        <v>0</v>
      </c>
      <c r="R371">
        <v>160.63</v>
      </c>
      <c r="S371">
        <v>-3.2480000000000002</v>
      </c>
      <c r="T371">
        <v>-0.27300000000000002</v>
      </c>
      <c r="U371">
        <v>0.78300000000000003</v>
      </c>
      <c r="V371" t="b">
        <v>1</v>
      </c>
      <c r="W371" t="s">
        <v>52</v>
      </c>
    </row>
    <row r="372" spans="2:23" x14ac:dyDescent="0.3">
      <c r="B372" s="2">
        <f t="shared" si="5"/>
        <v>8.3439578000002257</v>
      </c>
      <c r="C372">
        <v>3230.0192554</v>
      </c>
      <c r="D372">
        <v>175.5</v>
      </c>
      <c r="E372">
        <v>234</v>
      </c>
      <c r="F372">
        <v>165.291</v>
      </c>
      <c r="G372">
        <v>236.62</v>
      </c>
      <c r="H372">
        <v>174.45765714285699</v>
      </c>
      <c r="I372">
        <v>203.498114285714</v>
      </c>
      <c r="J372">
        <v>309.27890031855202</v>
      </c>
      <c r="K372">
        <v>0.1</v>
      </c>
      <c r="L372">
        <v>0</v>
      </c>
      <c r="M372">
        <v>0</v>
      </c>
      <c r="N372">
        <v>0</v>
      </c>
      <c r="O372">
        <v>0.69398614501953104</v>
      </c>
      <c r="P372">
        <v>-0.25644610595703099</v>
      </c>
      <c r="Q372">
        <v>0</v>
      </c>
      <c r="R372">
        <v>160.739</v>
      </c>
      <c r="S372">
        <v>-3.2919999999999998</v>
      </c>
      <c r="T372">
        <v>0.01</v>
      </c>
      <c r="U372">
        <v>0.78</v>
      </c>
      <c r="V372" t="b">
        <v>1</v>
      </c>
      <c r="W372" t="s">
        <v>52</v>
      </c>
    </row>
    <row r="373" spans="2:23" x14ac:dyDescent="0.3">
      <c r="B373" s="2">
        <f t="shared" si="5"/>
        <v>8.3752976000000672</v>
      </c>
      <c r="C373">
        <v>3230.0505951999999</v>
      </c>
      <c r="D373">
        <v>162.5</v>
      </c>
      <c r="E373">
        <v>234</v>
      </c>
      <c r="F373">
        <v>164.22200000000001</v>
      </c>
      <c r="G373">
        <v>234.524</v>
      </c>
      <c r="H373">
        <v>173.84417714285701</v>
      </c>
      <c r="I373">
        <v>205.70187428571401</v>
      </c>
      <c r="J373">
        <v>311.702935632954</v>
      </c>
      <c r="K373">
        <v>0.1</v>
      </c>
      <c r="L373">
        <v>0</v>
      </c>
      <c r="M373">
        <v>0</v>
      </c>
      <c r="N373">
        <v>0</v>
      </c>
      <c r="O373">
        <v>0.68773815917968695</v>
      </c>
      <c r="P373">
        <v>-0.241605682373046</v>
      </c>
      <c r="Q373">
        <v>0</v>
      </c>
      <c r="R373">
        <v>160.83799999999999</v>
      </c>
      <c r="S373">
        <v>-3.2519999999999998</v>
      </c>
      <c r="T373">
        <v>9.7000000000000003E-2</v>
      </c>
      <c r="U373">
        <v>0.77500000000000002</v>
      </c>
      <c r="V373" t="b">
        <v>1</v>
      </c>
      <c r="W373" t="s">
        <v>52</v>
      </c>
    </row>
    <row r="374" spans="2:23" x14ac:dyDescent="0.3">
      <c r="B374" s="2">
        <f t="shared" si="5"/>
        <v>8.4216149000003497</v>
      </c>
      <c r="C374">
        <v>3230.0969125000001</v>
      </c>
      <c r="D374">
        <v>165.75</v>
      </c>
      <c r="E374">
        <v>234</v>
      </c>
      <c r="F374">
        <v>163.41300000000001</v>
      </c>
      <c r="G374">
        <v>231.904</v>
      </c>
      <c r="H374">
        <v>173.21309714285701</v>
      </c>
      <c r="I374">
        <v>207.91087428571399</v>
      </c>
      <c r="J374">
        <v>314.22745276016099</v>
      </c>
      <c r="K374">
        <v>0.1</v>
      </c>
      <c r="L374">
        <v>0</v>
      </c>
      <c r="M374">
        <v>0</v>
      </c>
      <c r="N374">
        <v>0</v>
      </c>
      <c r="O374">
        <v>0.68773815917968695</v>
      </c>
      <c r="P374">
        <v>-0.241605682373046</v>
      </c>
      <c r="Q374">
        <v>0</v>
      </c>
      <c r="R374">
        <v>160.83799999999999</v>
      </c>
      <c r="S374">
        <v>-3.2519999999999998</v>
      </c>
      <c r="T374">
        <v>9.7000000000000003E-2</v>
      </c>
      <c r="U374">
        <v>0.77500000000000002</v>
      </c>
      <c r="V374" t="b">
        <v>1</v>
      </c>
      <c r="W374" t="s">
        <v>52</v>
      </c>
    </row>
    <row r="375" spans="2:23" x14ac:dyDescent="0.3">
      <c r="B375" s="2">
        <f t="shared" si="5"/>
        <v>8.435135100000025</v>
      </c>
      <c r="C375">
        <v>3230.1104326999998</v>
      </c>
      <c r="D375">
        <v>172.25</v>
      </c>
      <c r="E375">
        <v>240.5</v>
      </c>
      <c r="F375">
        <v>162.41</v>
      </c>
      <c r="G375">
        <v>242.596</v>
      </c>
      <c r="H375">
        <v>172.55173714285701</v>
      </c>
      <c r="I375">
        <v>210.647114285714</v>
      </c>
      <c r="J375">
        <v>317.053592339663</v>
      </c>
      <c r="K375">
        <v>0.1</v>
      </c>
      <c r="L375">
        <v>0</v>
      </c>
      <c r="M375">
        <v>0</v>
      </c>
      <c r="N375">
        <v>0</v>
      </c>
      <c r="O375">
        <v>0.66156420898437496</v>
      </c>
      <c r="P375">
        <v>-0.25066206359863202</v>
      </c>
      <c r="Q375">
        <v>0</v>
      </c>
      <c r="R375">
        <v>160.82900000000001</v>
      </c>
      <c r="S375">
        <v>-3.2120000000000002</v>
      </c>
      <c r="T375">
        <v>0.372</v>
      </c>
      <c r="U375">
        <v>0.77200000000000002</v>
      </c>
      <c r="V375" t="b">
        <v>1</v>
      </c>
      <c r="W375" t="s">
        <v>52</v>
      </c>
    </row>
    <row r="376" spans="2:23" x14ac:dyDescent="0.3">
      <c r="B376" s="2">
        <f t="shared" si="5"/>
        <v>8.4680778000001737</v>
      </c>
      <c r="C376">
        <v>3230.1433754</v>
      </c>
      <c r="D376">
        <v>161.57142857142799</v>
      </c>
      <c r="E376">
        <v>242.35714285714201</v>
      </c>
      <c r="F376">
        <v>160.95642857142801</v>
      </c>
      <c r="G376">
        <v>244.06014285714201</v>
      </c>
      <c r="H376">
        <v>171.858274285714</v>
      </c>
      <c r="I376">
        <v>212.92032</v>
      </c>
      <c r="J376">
        <v>319.541781595327</v>
      </c>
      <c r="K376">
        <v>0.1</v>
      </c>
      <c r="L376">
        <v>0</v>
      </c>
      <c r="M376">
        <v>0</v>
      </c>
      <c r="N376">
        <v>0</v>
      </c>
      <c r="O376">
        <v>0.66156420898437496</v>
      </c>
      <c r="P376">
        <v>-0.25066206359863202</v>
      </c>
      <c r="Q376">
        <v>0</v>
      </c>
      <c r="R376">
        <v>160.82900000000001</v>
      </c>
      <c r="S376">
        <v>-3.2120000000000002</v>
      </c>
      <c r="T376">
        <v>0.372</v>
      </c>
      <c r="U376">
        <v>0.77200000000000002</v>
      </c>
      <c r="V376" t="b">
        <v>1</v>
      </c>
      <c r="W376" t="s">
        <v>52</v>
      </c>
    </row>
    <row r="377" spans="2:23" x14ac:dyDescent="0.3">
      <c r="B377" s="2">
        <f t="shared" si="5"/>
        <v>8.4993426000000909</v>
      </c>
      <c r="C377">
        <v>3230.1746401999999</v>
      </c>
      <c r="D377">
        <v>159.9</v>
      </c>
      <c r="E377">
        <v>245.7</v>
      </c>
      <c r="F377">
        <v>159.654</v>
      </c>
      <c r="G377">
        <v>248.58199999999999</v>
      </c>
      <c r="H377">
        <v>171.13095428571401</v>
      </c>
      <c r="I377">
        <v>215.31736000000001</v>
      </c>
      <c r="J377">
        <v>322.13763828690099</v>
      </c>
      <c r="K377">
        <v>0.1</v>
      </c>
      <c r="L377">
        <v>0</v>
      </c>
      <c r="M377">
        <v>0</v>
      </c>
      <c r="N377">
        <v>0</v>
      </c>
      <c r="O377">
        <v>0.66156420898437496</v>
      </c>
      <c r="P377">
        <v>-0.25066206359863202</v>
      </c>
      <c r="Q377">
        <v>0</v>
      </c>
      <c r="R377">
        <v>160.82900000000001</v>
      </c>
      <c r="S377">
        <v>-3.2120000000000002</v>
      </c>
      <c r="T377">
        <v>0.372</v>
      </c>
      <c r="U377">
        <v>0.77200000000000002</v>
      </c>
      <c r="V377" t="b">
        <v>1</v>
      </c>
      <c r="W377" t="s">
        <v>52</v>
      </c>
    </row>
    <row r="378" spans="2:23" x14ac:dyDescent="0.3">
      <c r="B378" s="2">
        <f t="shared" si="5"/>
        <v>8.5301843000002009</v>
      </c>
      <c r="C378">
        <v>3230.2054819</v>
      </c>
      <c r="D378" t="s">
        <v>39</v>
      </c>
      <c r="E378" t="s">
        <v>41</v>
      </c>
    </row>
    <row r="379" spans="2:23" x14ac:dyDescent="0.3">
      <c r="B379" s="2">
        <f t="shared" si="5"/>
        <v>8.5301843000002009</v>
      </c>
      <c r="C379">
        <v>3230.2054819</v>
      </c>
      <c r="D379">
        <v>156</v>
      </c>
      <c r="E379">
        <v>243.75</v>
      </c>
      <c r="F379">
        <v>158.583</v>
      </c>
      <c r="G379">
        <v>242.047</v>
      </c>
      <c r="H379">
        <v>170.370634285714</v>
      </c>
      <c r="I379">
        <v>217.39595999999901</v>
      </c>
      <c r="J379">
        <v>322.13763828690099</v>
      </c>
      <c r="K379">
        <v>0</v>
      </c>
      <c r="L379">
        <v>0</v>
      </c>
      <c r="M379">
        <v>0</v>
      </c>
      <c r="N379">
        <v>0</v>
      </c>
      <c r="O379">
        <v>0.67368945312499995</v>
      </c>
      <c r="P379">
        <v>-0.25379972839355402</v>
      </c>
      <c r="Q379">
        <v>0</v>
      </c>
      <c r="R379">
        <v>160.887</v>
      </c>
      <c r="S379">
        <v>-3.3050000000000002</v>
      </c>
      <c r="T379">
        <v>0.629</v>
      </c>
      <c r="U379">
        <v>0.76900000000000002</v>
      </c>
      <c r="V379" t="b">
        <v>1</v>
      </c>
      <c r="W379" t="s">
        <v>52</v>
      </c>
    </row>
    <row r="380" spans="2:23" x14ac:dyDescent="0.3">
      <c r="B380" s="2">
        <f t="shared" si="5"/>
        <v>8.5615048000004208</v>
      </c>
      <c r="C380">
        <v>3230.2368024000002</v>
      </c>
      <c r="D380">
        <v>156</v>
      </c>
      <c r="E380">
        <v>243.75</v>
      </c>
      <c r="F380">
        <v>157.59899999999999</v>
      </c>
      <c r="G380">
        <v>239.42699999999999</v>
      </c>
      <c r="H380">
        <v>169.57587428571401</v>
      </c>
      <c r="I380">
        <v>219.64687999999899</v>
      </c>
      <c r="J380">
        <v>322.13763828690099</v>
      </c>
      <c r="K380">
        <v>0</v>
      </c>
      <c r="L380">
        <v>0</v>
      </c>
      <c r="M380">
        <v>0</v>
      </c>
      <c r="N380">
        <v>0</v>
      </c>
      <c r="O380">
        <v>0.67806115722656202</v>
      </c>
      <c r="P380">
        <v>-0.25110415649413997</v>
      </c>
      <c r="Q380">
        <v>0</v>
      </c>
      <c r="R380">
        <v>160.852</v>
      </c>
      <c r="S380">
        <v>-3.42</v>
      </c>
      <c r="T380">
        <v>0.754</v>
      </c>
      <c r="U380">
        <v>0.76600000000000001</v>
      </c>
      <c r="V380" t="b">
        <v>1</v>
      </c>
      <c r="W380" t="s">
        <v>52</v>
      </c>
    </row>
    <row r="381" spans="2:23" x14ac:dyDescent="0.3">
      <c r="B381" s="2">
        <f t="shared" si="5"/>
        <v>8.6084997000002659</v>
      </c>
      <c r="C381">
        <v>3230.2837973000001</v>
      </c>
      <c r="D381">
        <v>156</v>
      </c>
      <c r="E381">
        <v>253.5</v>
      </c>
      <c r="F381">
        <v>156.369</v>
      </c>
      <c r="G381">
        <v>256.77499999999998</v>
      </c>
      <c r="H381">
        <v>168.731914285714</v>
      </c>
      <c r="I381">
        <v>222.863599999999</v>
      </c>
      <c r="J381">
        <v>322.13763828690099</v>
      </c>
      <c r="K381">
        <v>0</v>
      </c>
      <c r="L381">
        <v>0</v>
      </c>
      <c r="M381">
        <v>0</v>
      </c>
      <c r="N381">
        <v>0</v>
      </c>
      <c r="O381">
        <v>0.67806115722656202</v>
      </c>
      <c r="P381">
        <v>-0.25110415649413997</v>
      </c>
      <c r="Q381">
        <v>0</v>
      </c>
      <c r="R381">
        <v>160.852</v>
      </c>
      <c r="S381">
        <v>-3.42</v>
      </c>
      <c r="T381">
        <v>0.754</v>
      </c>
      <c r="U381">
        <v>0.76600000000000001</v>
      </c>
      <c r="V381" t="b">
        <v>1</v>
      </c>
      <c r="W381" t="s">
        <v>52</v>
      </c>
    </row>
    <row r="382" spans="2:23" x14ac:dyDescent="0.3">
      <c r="B382" s="2">
        <f t="shared" si="5"/>
        <v>8.6396508000002541</v>
      </c>
      <c r="C382">
        <v>3230.3149484</v>
      </c>
      <c r="D382">
        <v>165.75</v>
      </c>
      <c r="E382">
        <v>253.5</v>
      </c>
      <c r="F382">
        <v>155.66399999999999</v>
      </c>
      <c r="G382">
        <v>254.155</v>
      </c>
      <c r="H382">
        <v>167.88435428571401</v>
      </c>
      <c r="I382">
        <v>225.14071999999899</v>
      </c>
      <c r="J382">
        <v>322.13763828690099</v>
      </c>
      <c r="K382">
        <v>0</v>
      </c>
      <c r="L382">
        <v>0</v>
      </c>
      <c r="M382">
        <v>0</v>
      </c>
      <c r="N382">
        <v>0</v>
      </c>
      <c r="O382">
        <v>0.64984100341796802</v>
      </c>
      <c r="P382">
        <v>-0.24312356567382801</v>
      </c>
      <c r="Q382">
        <v>0</v>
      </c>
      <c r="R382">
        <v>160.815</v>
      </c>
      <c r="S382">
        <v>-3.1230000000000002</v>
      </c>
      <c r="T382">
        <v>0.874</v>
      </c>
      <c r="U382">
        <v>0.77</v>
      </c>
      <c r="V382" t="b">
        <v>1</v>
      </c>
      <c r="W382" t="s">
        <v>52</v>
      </c>
    </row>
    <row r="383" spans="2:23" x14ac:dyDescent="0.3">
      <c r="B383" s="2">
        <f t="shared" si="5"/>
        <v>8.6708717999999863</v>
      </c>
      <c r="C383">
        <v>3230.3461693999998</v>
      </c>
      <c r="D383">
        <v>156</v>
      </c>
      <c r="E383">
        <v>253.5</v>
      </c>
      <c r="F383">
        <v>154.40100000000001</v>
      </c>
      <c r="G383">
        <v>251.666</v>
      </c>
      <c r="H383">
        <v>166.99611428571399</v>
      </c>
      <c r="I383">
        <v>227.43355999999901</v>
      </c>
      <c r="J383">
        <v>322.13763828690099</v>
      </c>
      <c r="K383">
        <v>0</v>
      </c>
      <c r="L383">
        <v>0</v>
      </c>
      <c r="M383">
        <v>0</v>
      </c>
      <c r="N383">
        <v>0</v>
      </c>
      <c r="O383">
        <v>0.64984100341796802</v>
      </c>
      <c r="P383">
        <v>-0.24312356567382801</v>
      </c>
      <c r="Q383">
        <v>0</v>
      </c>
      <c r="R383">
        <v>160.815</v>
      </c>
      <c r="S383">
        <v>-3.1230000000000002</v>
      </c>
      <c r="T383">
        <v>0.874</v>
      </c>
      <c r="U383">
        <v>0.77</v>
      </c>
      <c r="V383" t="b">
        <v>1</v>
      </c>
      <c r="W383" t="s">
        <v>52</v>
      </c>
    </row>
    <row r="384" spans="2:23" x14ac:dyDescent="0.3">
      <c r="B384" s="2">
        <f t="shared" si="5"/>
        <v>8.7026233000001412</v>
      </c>
      <c r="C384">
        <v>3230.3779208999999</v>
      </c>
      <c r="D384">
        <v>159.9</v>
      </c>
      <c r="E384">
        <v>261.3</v>
      </c>
      <c r="F384">
        <v>153.25800000000001</v>
      </c>
      <c r="G384">
        <v>265.09899999999999</v>
      </c>
      <c r="H384">
        <v>166.063954285714</v>
      </c>
      <c r="I384">
        <v>229.98487999999901</v>
      </c>
      <c r="J384">
        <v>322.13763828690099</v>
      </c>
      <c r="K384">
        <v>0</v>
      </c>
      <c r="L384">
        <v>0</v>
      </c>
      <c r="M384">
        <v>0</v>
      </c>
      <c r="N384">
        <v>0</v>
      </c>
      <c r="O384">
        <v>0.64984100341796802</v>
      </c>
      <c r="P384">
        <v>-0.24312356567382801</v>
      </c>
      <c r="Q384">
        <v>0</v>
      </c>
      <c r="R384">
        <v>160.815</v>
      </c>
      <c r="S384">
        <v>-3.1230000000000002</v>
      </c>
      <c r="T384">
        <v>0.874</v>
      </c>
      <c r="U384">
        <v>0.77</v>
      </c>
      <c r="V384" t="b">
        <v>1</v>
      </c>
      <c r="W384" t="s">
        <v>52</v>
      </c>
    </row>
    <row r="385" spans="2:23" x14ac:dyDescent="0.3">
      <c r="B385" s="2">
        <f t="shared" si="5"/>
        <v>8.7334623000001557</v>
      </c>
      <c r="C385">
        <v>3230.4087598999999</v>
      </c>
      <c r="D385">
        <v>156</v>
      </c>
      <c r="E385">
        <v>263.25</v>
      </c>
      <c r="F385">
        <v>151.941</v>
      </c>
      <c r="G385">
        <v>266.39400000000001</v>
      </c>
      <c r="H385">
        <v>165.08715428571401</v>
      </c>
      <c r="I385">
        <v>232.28295999999901</v>
      </c>
      <c r="J385">
        <v>322.13763828690099</v>
      </c>
      <c r="K385">
        <v>0</v>
      </c>
      <c r="L385">
        <v>0</v>
      </c>
      <c r="M385">
        <v>0</v>
      </c>
      <c r="N385">
        <v>0</v>
      </c>
      <c r="O385">
        <v>0.65293292236328104</v>
      </c>
      <c r="P385">
        <v>-0.23134416198730401</v>
      </c>
      <c r="Q385">
        <v>0</v>
      </c>
      <c r="R385">
        <v>160.785</v>
      </c>
      <c r="S385">
        <v>-2.6320000000000001</v>
      </c>
      <c r="T385">
        <v>1.07</v>
      </c>
      <c r="U385">
        <v>0.76700000000000002</v>
      </c>
      <c r="V385" t="b">
        <v>1</v>
      </c>
      <c r="W385" t="s">
        <v>52</v>
      </c>
    </row>
    <row r="386" spans="2:23" x14ac:dyDescent="0.3">
      <c r="B386" s="2">
        <f t="shared" si="5"/>
        <v>8.7646595000001071</v>
      </c>
      <c r="C386">
        <v>3230.4399570999999</v>
      </c>
      <c r="D386">
        <v>156</v>
      </c>
      <c r="E386">
        <v>263.25</v>
      </c>
      <c r="F386">
        <v>150.834</v>
      </c>
      <c r="G386">
        <v>263.90499999999997</v>
      </c>
      <c r="H386">
        <v>164.066074285714</v>
      </c>
      <c r="I386">
        <v>234.57579999999899</v>
      </c>
      <c r="J386">
        <v>322.13763828690099</v>
      </c>
      <c r="K386">
        <v>0</v>
      </c>
      <c r="L386">
        <v>0</v>
      </c>
      <c r="M386">
        <v>0</v>
      </c>
      <c r="N386">
        <v>0</v>
      </c>
      <c r="O386">
        <v>0.68332067871093705</v>
      </c>
      <c r="P386">
        <v>-0.21204113769531199</v>
      </c>
      <c r="Q386">
        <v>0</v>
      </c>
      <c r="R386">
        <v>160.83699999999999</v>
      </c>
      <c r="S386">
        <v>-2.028</v>
      </c>
      <c r="T386">
        <v>1.256</v>
      </c>
      <c r="U386">
        <v>0.76300000000000001</v>
      </c>
      <c r="V386" t="b">
        <v>1</v>
      </c>
      <c r="W386" t="s">
        <v>52</v>
      </c>
    </row>
    <row r="387" spans="2:23" x14ac:dyDescent="0.3">
      <c r="B387" s="2">
        <f t="shared" si="5"/>
        <v>8.8111308000002282</v>
      </c>
      <c r="C387">
        <v>3230.4864284</v>
      </c>
      <c r="D387">
        <v>146.25</v>
      </c>
      <c r="E387">
        <v>263.25</v>
      </c>
      <c r="F387">
        <v>149.69399999999999</v>
      </c>
      <c r="G387">
        <v>261.28500000000003</v>
      </c>
      <c r="H387">
        <v>163.009234285714</v>
      </c>
      <c r="I387">
        <v>236.86339999999899</v>
      </c>
      <c r="J387">
        <v>322.13763828690099</v>
      </c>
      <c r="K387">
        <v>0</v>
      </c>
      <c r="L387">
        <v>0</v>
      </c>
      <c r="M387">
        <v>0</v>
      </c>
      <c r="N387">
        <v>0</v>
      </c>
      <c r="O387">
        <v>0.68332067871093705</v>
      </c>
      <c r="P387">
        <v>-0.21204113769531199</v>
      </c>
      <c r="Q387">
        <v>0</v>
      </c>
      <c r="R387">
        <v>160.83699999999999</v>
      </c>
      <c r="S387">
        <v>-2.028</v>
      </c>
      <c r="T387">
        <v>1.256</v>
      </c>
      <c r="U387">
        <v>0.76300000000000001</v>
      </c>
      <c r="V387" t="b">
        <v>1</v>
      </c>
      <c r="W387" t="s">
        <v>52</v>
      </c>
    </row>
    <row r="388" spans="2:23" x14ac:dyDescent="0.3">
      <c r="B388" s="2">
        <f t="shared" ref="B388:B451" si="6">C388-$C$3</f>
        <v>8.8430741000001944</v>
      </c>
      <c r="C388">
        <v>3230.5183717</v>
      </c>
      <c r="D388">
        <v>142.07142857142799</v>
      </c>
      <c r="E388">
        <v>264.642857142857</v>
      </c>
      <c r="F388">
        <v>148.34442857142801</v>
      </c>
      <c r="G388">
        <v>261.49885714285699</v>
      </c>
      <c r="H388">
        <v>161.91317142857099</v>
      </c>
      <c r="I388">
        <v>239.25387428571401</v>
      </c>
      <c r="J388">
        <v>322.13763828690099</v>
      </c>
      <c r="K388">
        <v>0</v>
      </c>
      <c r="L388">
        <v>0</v>
      </c>
      <c r="M388">
        <v>0</v>
      </c>
      <c r="N388">
        <v>0</v>
      </c>
      <c r="O388">
        <v>0.71031335449218702</v>
      </c>
      <c r="P388">
        <v>-0.16952297973632799</v>
      </c>
      <c r="Q388">
        <v>0</v>
      </c>
      <c r="R388">
        <v>160.881</v>
      </c>
      <c r="S388">
        <v>-1.3160000000000001</v>
      </c>
      <c r="T388">
        <v>1.1870000000000001</v>
      </c>
      <c r="U388">
        <v>0.76</v>
      </c>
      <c r="V388" t="b">
        <v>1</v>
      </c>
      <c r="W388" t="s">
        <v>52</v>
      </c>
    </row>
    <row r="389" spans="2:23" x14ac:dyDescent="0.3">
      <c r="B389" s="2">
        <f t="shared" si="6"/>
        <v>8.8728994000002785</v>
      </c>
      <c r="C389">
        <v>3230.5481970000001</v>
      </c>
      <c r="D389">
        <v>143</v>
      </c>
      <c r="E389">
        <v>273</v>
      </c>
      <c r="F389">
        <v>146.93600000000001</v>
      </c>
      <c r="G389">
        <v>276.14400000000001</v>
      </c>
      <c r="H389">
        <v>160.78537142857101</v>
      </c>
      <c r="I389">
        <v>242.32447428571399</v>
      </c>
      <c r="J389">
        <v>322.13763828690099</v>
      </c>
      <c r="K389">
        <v>0</v>
      </c>
      <c r="L389">
        <v>0</v>
      </c>
      <c r="M389">
        <v>0</v>
      </c>
      <c r="N389">
        <v>0</v>
      </c>
      <c r="O389">
        <v>0.71031335449218702</v>
      </c>
      <c r="P389">
        <v>-0.16952297973632799</v>
      </c>
      <c r="Q389">
        <v>0</v>
      </c>
      <c r="R389">
        <v>160.881</v>
      </c>
      <c r="S389">
        <v>-1.3160000000000001</v>
      </c>
      <c r="T389">
        <v>1.1870000000000001</v>
      </c>
      <c r="U389">
        <v>0.76</v>
      </c>
      <c r="V389" t="b">
        <v>1</v>
      </c>
      <c r="W389" t="s">
        <v>52</v>
      </c>
    </row>
    <row r="390" spans="2:23" x14ac:dyDescent="0.3">
      <c r="B390" s="2">
        <f t="shared" si="6"/>
        <v>8.9049598000001424</v>
      </c>
      <c r="C390">
        <v>3230.5802573999999</v>
      </c>
      <c r="D390">
        <v>146.25</v>
      </c>
      <c r="E390">
        <v>273</v>
      </c>
      <c r="F390">
        <v>145.63499999999999</v>
      </c>
      <c r="G390">
        <v>273.65499999999997</v>
      </c>
      <c r="H390">
        <v>159.65473142857101</v>
      </c>
      <c r="I390">
        <v>244.59111428571401</v>
      </c>
      <c r="J390">
        <v>322.13763828690099</v>
      </c>
      <c r="K390">
        <v>0</v>
      </c>
      <c r="L390">
        <v>0</v>
      </c>
      <c r="M390">
        <v>0</v>
      </c>
      <c r="N390">
        <v>0</v>
      </c>
      <c r="O390">
        <v>0.71031335449218702</v>
      </c>
      <c r="P390">
        <v>-0.16952297973632799</v>
      </c>
      <c r="Q390">
        <v>0</v>
      </c>
      <c r="R390">
        <v>160.881</v>
      </c>
      <c r="S390">
        <v>-1.3160000000000001</v>
      </c>
      <c r="T390">
        <v>1.1870000000000001</v>
      </c>
      <c r="U390">
        <v>0.76</v>
      </c>
      <c r="V390" t="b">
        <v>1</v>
      </c>
      <c r="W390" t="s">
        <v>52</v>
      </c>
    </row>
    <row r="391" spans="2:23" x14ac:dyDescent="0.3">
      <c r="B391" s="2">
        <f t="shared" si="6"/>
        <v>8.920539700000063</v>
      </c>
      <c r="C391">
        <v>3230.5958372999999</v>
      </c>
      <c r="D391">
        <v>146.25</v>
      </c>
      <c r="E391">
        <v>273</v>
      </c>
      <c r="F391">
        <v>144.65100000000001</v>
      </c>
      <c r="G391">
        <v>271.29700000000003</v>
      </c>
      <c r="H391">
        <v>158.52409142857101</v>
      </c>
      <c r="I391">
        <v>246.85251428571399</v>
      </c>
      <c r="J391">
        <v>322.13763828690099</v>
      </c>
      <c r="K391">
        <v>0</v>
      </c>
      <c r="L391">
        <v>0</v>
      </c>
      <c r="M391">
        <v>0</v>
      </c>
      <c r="N391">
        <v>0</v>
      </c>
      <c r="O391">
        <v>0.69402020263671804</v>
      </c>
      <c r="P391">
        <v>-0.175054428100585</v>
      </c>
      <c r="Q391">
        <v>0</v>
      </c>
      <c r="R391">
        <v>160.85</v>
      </c>
      <c r="S391">
        <v>-0.70699999999999996</v>
      </c>
      <c r="T391">
        <v>0.99299999999999999</v>
      </c>
      <c r="U391">
        <v>0.75600000000000001</v>
      </c>
      <c r="V391" t="b">
        <v>1</v>
      </c>
      <c r="W391" t="s">
        <v>52</v>
      </c>
    </row>
    <row r="392" spans="2:23" x14ac:dyDescent="0.3">
      <c r="B392" s="2">
        <f t="shared" si="6"/>
        <v>8.9517083000000639</v>
      </c>
      <c r="C392">
        <v>3230.6270058999999</v>
      </c>
      <c r="D392">
        <v>146.25</v>
      </c>
      <c r="E392">
        <v>273</v>
      </c>
      <c r="F392">
        <v>143.42099999999999</v>
      </c>
      <c r="G392">
        <v>268.67700000000002</v>
      </c>
      <c r="H392">
        <v>157.38361142857099</v>
      </c>
      <c r="I392">
        <v>249.09819428571399</v>
      </c>
      <c r="J392">
        <v>322.13763828690099</v>
      </c>
      <c r="K392">
        <v>0</v>
      </c>
      <c r="L392">
        <v>0</v>
      </c>
      <c r="M392">
        <v>0</v>
      </c>
      <c r="N392">
        <v>0</v>
      </c>
      <c r="O392">
        <v>0.69402020263671804</v>
      </c>
      <c r="P392">
        <v>-0.175054428100585</v>
      </c>
      <c r="Q392">
        <v>0</v>
      </c>
      <c r="R392">
        <v>160.85</v>
      </c>
      <c r="S392">
        <v>-0.70699999999999996</v>
      </c>
      <c r="T392">
        <v>0.99299999999999999</v>
      </c>
      <c r="U392">
        <v>0.75600000000000001</v>
      </c>
      <c r="V392" t="b">
        <v>1</v>
      </c>
      <c r="W392" t="s">
        <v>52</v>
      </c>
    </row>
    <row r="393" spans="2:23" x14ac:dyDescent="0.3">
      <c r="B393" s="2">
        <f t="shared" si="6"/>
        <v>8.9822482000004129</v>
      </c>
      <c r="C393">
        <v>3230.6575458000002</v>
      </c>
      <c r="D393">
        <v>132.6</v>
      </c>
      <c r="E393">
        <v>280.8</v>
      </c>
      <c r="F393">
        <v>142.071</v>
      </c>
      <c r="G393">
        <v>282.63400000000001</v>
      </c>
      <c r="H393">
        <v>156.248171428571</v>
      </c>
      <c r="I393">
        <v>251.05163428571399</v>
      </c>
      <c r="J393">
        <v>322.13763828690099</v>
      </c>
      <c r="K393">
        <v>0</v>
      </c>
      <c r="L393">
        <v>0</v>
      </c>
      <c r="M393">
        <v>0</v>
      </c>
      <c r="N393">
        <v>0</v>
      </c>
      <c r="O393">
        <v>0.59304071044921802</v>
      </c>
      <c r="P393">
        <v>-0.173325088500976</v>
      </c>
      <c r="Q393">
        <v>0</v>
      </c>
      <c r="R393">
        <v>160.77600000000001</v>
      </c>
      <c r="S393">
        <v>7.2999999999999995E-2</v>
      </c>
      <c r="T393">
        <v>0.89</v>
      </c>
      <c r="U393">
        <v>0.752</v>
      </c>
      <c r="V393" t="b">
        <v>1</v>
      </c>
      <c r="W393" t="s">
        <v>52</v>
      </c>
    </row>
    <row r="394" spans="2:23" x14ac:dyDescent="0.3">
      <c r="B394" s="2">
        <f t="shared" si="6"/>
        <v>9.0298377000003711</v>
      </c>
      <c r="C394">
        <v>3230.7051353000002</v>
      </c>
      <c r="D394">
        <v>132.6</v>
      </c>
      <c r="E394">
        <v>284.7</v>
      </c>
      <c r="F394">
        <v>140.71799999999999</v>
      </c>
      <c r="G394">
        <v>288.236999999999</v>
      </c>
      <c r="H394">
        <v>155.10989142857099</v>
      </c>
      <c r="I394">
        <v>253.219114285714</v>
      </c>
      <c r="J394">
        <v>322.13763828690099</v>
      </c>
      <c r="K394">
        <v>0</v>
      </c>
      <c r="L394">
        <v>0</v>
      </c>
      <c r="M394">
        <v>0</v>
      </c>
      <c r="N394">
        <v>0</v>
      </c>
      <c r="O394">
        <v>0.484890258789062</v>
      </c>
      <c r="P394">
        <v>-0.129755218505859</v>
      </c>
      <c r="Q394">
        <v>0</v>
      </c>
      <c r="R394">
        <v>160.756</v>
      </c>
      <c r="S394">
        <v>0.59399999999999997</v>
      </c>
      <c r="T394">
        <v>0.879</v>
      </c>
      <c r="U394">
        <v>0.749</v>
      </c>
      <c r="V394" t="b">
        <v>1</v>
      </c>
      <c r="W394" t="s">
        <v>52</v>
      </c>
    </row>
    <row r="395" spans="2:23" x14ac:dyDescent="0.3">
      <c r="B395" s="2">
        <f t="shared" si="6"/>
        <v>9.0611833000002662</v>
      </c>
      <c r="C395">
        <v>3230.7364809000001</v>
      </c>
      <c r="D395">
        <v>136.5</v>
      </c>
      <c r="E395">
        <v>282.75</v>
      </c>
      <c r="F395">
        <v>139.821</v>
      </c>
      <c r="G395">
        <v>281.44</v>
      </c>
      <c r="H395">
        <v>153.97433142857099</v>
      </c>
      <c r="I395">
        <v>255.48575428571399</v>
      </c>
      <c r="J395">
        <v>322.13763828690099</v>
      </c>
      <c r="K395">
        <v>0</v>
      </c>
      <c r="L395">
        <v>0</v>
      </c>
      <c r="M395">
        <v>0</v>
      </c>
      <c r="N395">
        <v>0</v>
      </c>
      <c r="O395">
        <v>0.484890258789062</v>
      </c>
      <c r="P395">
        <v>-0.129755218505859</v>
      </c>
      <c r="Q395">
        <v>0</v>
      </c>
      <c r="R395">
        <v>160.756</v>
      </c>
      <c r="S395">
        <v>0.59399999999999997</v>
      </c>
      <c r="T395">
        <v>0.879</v>
      </c>
      <c r="U395">
        <v>0.749</v>
      </c>
      <c r="V395" t="b">
        <v>1</v>
      </c>
      <c r="W395" t="s">
        <v>52</v>
      </c>
    </row>
    <row r="396" spans="2:23" x14ac:dyDescent="0.3">
      <c r="B396" s="2">
        <f t="shared" si="6"/>
        <v>9.0922832000001108</v>
      </c>
      <c r="C396">
        <v>3230.7675807999999</v>
      </c>
      <c r="D396">
        <v>136.5</v>
      </c>
      <c r="E396">
        <v>282.75</v>
      </c>
      <c r="F396">
        <v>138.714</v>
      </c>
      <c r="G396">
        <v>278.55799999999999</v>
      </c>
      <c r="H396">
        <v>152.83863428571399</v>
      </c>
      <c r="I396">
        <v>257.62331999999998</v>
      </c>
      <c r="J396">
        <v>322.13763828690099</v>
      </c>
      <c r="K396">
        <v>0</v>
      </c>
      <c r="L396">
        <v>0</v>
      </c>
      <c r="M396">
        <v>0</v>
      </c>
      <c r="N396">
        <v>0</v>
      </c>
      <c r="O396">
        <v>0.484890258789062</v>
      </c>
      <c r="P396">
        <v>-0.129755218505859</v>
      </c>
      <c r="Q396">
        <v>0</v>
      </c>
      <c r="R396">
        <v>160.756</v>
      </c>
      <c r="S396">
        <v>0.59399999999999997</v>
      </c>
      <c r="T396">
        <v>0.879</v>
      </c>
      <c r="U396">
        <v>0.749</v>
      </c>
      <c r="V396" t="b">
        <v>1</v>
      </c>
      <c r="W396" t="s">
        <v>52</v>
      </c>
    </row>
    <row r="397" spans="2:23" x14ac:dyDescent="0.3">
      <c r="B397" s="2">
        <f t="shared" si="6"/>
        <v>9.12239610000006</v>
      </c>
      <c r="C397">
        <v>3230.7976936999999</v>
      </c>
      <c r="D397">
        <v>136.5</v>
      </c>
      <c r="E397">
        <v>292.5</v>
      </c>
      <c r="F397">
        <v>137.48400000000001</v>
      </c>
      <c r="G397">
        <v>296.16800000000001</v>
      </c>
      <c r="H397">
        <v>151.683394285714</v>
      </c>
      <c r="I397">
        <v>260.69391999999903</v>
      </c>
      <c r="J397">
        <v>322.13763828690099</v>
      </c>
      <c r="K397">
        <v>0</v>
      </c>
      <c r="L397">
        <v>0</v>
      </c>
      <c r="M397">
        <v>0</v>
      </c>
      <c r="N397">
        <v>0</v>
      </c>
      <c r="O397">
        <v>0.42562139892578099</v>
      </c>
      <c r="P397">
        <v>-0.10026979064941401</v>
      </c>
      <c r="Q397">
        <v>0</v>
      </c>
      <c r="R397">
        <v>160.72800000000001</v>
      </c>
      <c r="S397">
        <v>0.45800000000000002</v>
      </c>
      <c r="T397">
        <v>0.64500000000000002</v>
      </c>
      <c r="U397">
        <v>0.751</v>
      </c>
      <c r="V397" t="b">
        <v>1</v>
      </c>
      <c r="W397" t="s">
        <v>52</v>
      </c>
    </row>
    <row r="398" spans="2:23" x14ac:dyDescent="0.3">
      <c r="B398" s="2">
        <f t="shared" si="6"/>
        <v>9.1532780000002276</v>
      </c>
      <c r="C398">
        <v>3230.8285756</v>
      </c>
      <c r="D398">
        <v>136.5</v>
      </c>
      <c r="E398">
        <v>292.5</v>
      </c>
      <c r="F398">
        <v>136.25399999999999</v>
      </c>
      <c r="G398">
        <v>293.024</v>
      </c>
      <c r="H398">
        <v>150.52191428571399</v>
      </c>
      <c r="I398">
        <v>262.95007999999899</v>
      </c>
      <c r="J398">
        <v>322.13763828690099</v>
      </c>
      <c r="K398">
        <v>0</v>
      </c>
      <c r="L398">
        <v>0</v>
      </c>
      <c r="M398">
        <v>0</v>
      </c>
      <c r="N398">
        <v>0</v>
      </c>
      <c r="O398">
        <v>0.42562139892578099</v>
      </c>
      <c r="P398">
        <v>-0.10026979064941401</v>
      </c>
      <c r="Q398">
        <v>0</v>
      </c>
      <c r="R398">
        <v>160.72800000000001</v>
      </c>
      <c r="S398">
        <v>0.45800000000000002</v>
      </c>
      <c r="T398">
        <v>0.64500000000000002</v>
      </c>
      <c r="U398">
        <v>0.751</v>
      </c>
      <c r="V398" t="b">
        <v>1</v>
      </c>
      <c r="W398" t="s">
        <v>52</v>
      </c>
    </row>
    <row r="399" spans="2:23" x14ac:dyDescent="0.3">
      <c r="B399" s="2">
        <f t="shared" si="6"/>
        <v>9.1842184000001907</v>
      </c>
      <c r="C399">
        <v>3230.859516</v>
      </c>
      <c r="D399">
        <v>136.5</v>
      </c>
      <c r="E399">
        <v>292.5</v>
      </c>
      <c r="F399">
        <v>135.393</v>
      </c>
      <c r="G399">
        <v>289.61799999999999</v>
      </c>
      <c r="H399">
        <v>149.368754285714</v>
      </c>
      <c r="I399">
        <v>265.15384</v>
      </c>
      <c r="J399">
        <v>322.13763828690099</v>
      </c>
      <c r="K399">
        <v>0</v>
      </c>
      <c r="L399">
        <v>0</v>
      </c>
      <c r="M399">
        <v>0</v>
      </c>
      <c r="N399">
        <v>0</v>
      </c>
      <c r="O399">
        <v>0.42458120727539</v>
      </c>
      <c r="P399">
        <v>-9.3051055908203104E-2</v>
      </c>
      <c r="Q399">
        <v>0</v>
      </c>
      <c r="R399">
        <v>160.74700000000001</v>
      </c>
      <c r="S399">
        <v>-5.3999999999999999E-2</v>
      </c>
      <c r="T399">
        <v>0.312</v>
      </c>
      <c r="U399">
        <v>0.748</v>
      </c>
      <c r="V399" t="b">
        <v>1</v>
      </c>
      <c r="W399" t="s">
        <v>52</v>
      </c>
    </row>
    <row r="400" spans="2:23" x14ac:dyDescent="0.3">
      <c r="B400" s="2">
        <f t="shared" si="6"/>
        <v>9.2300111000004108</v>
      </c>
      <c r="C400">
        <v>3230.9053087000002</v>
      </c>
      <c r="D400">
        <v>136.5</v>
      </c>
      <c r="E400">
        <v>302.25</v>
      </c>
      <c r="F400">
        <v>134.286</v>
      </c>
      <c r="G400">
        <v>306.31099999999998</v>
      </c>
      <c r="H400">
        <v>148.20367428571399</v>
      </c>
      <c r="I400">
        <v>268.13011999999998</v>
      </c>
      <c r="J400">
        <v>322.13763828690099</v>
      </c>
      <c r="K400">
        <v>0</v>
      </c>
      <c r="L400">
        <v>0</v>
      </c>
      <c r="M400">
        <v>0</v>
      </c>
      <c r="N400">
        <v>0</v>
      </c>
      <c r="O400">
        <v>0.39982623291015601</v>
      </c>
      <c r="P400">
        <v>-8.6520980834960903E-2</v>
      </c>
      <c r="Q400">
        <v>0</v>
      </c>
      <c r="R400">
        <v>160.678</v>
      </c>
      <c r="S400">
        <v>-0.42599999999999999</v>
      </c>
      <c r="T400">
        <v>-6.7000000000000004E-2</v>
      </c>
      <c r="U400">
        <v>0.746</v>
      </c>
      <c r="V400" t="b">
        <v>1</v>
      </c>
      <c r="W400" t="s">
        <v>52</v>
      </c>
    </row>
    <row r="401" spans="2:23" x14ac:dyDescent="0.3">
      <c r="B401" s="2">
        <f t="shared" si="6"/>
        <v>9.2606885000000148</v>
      </c>
      <c r="C401">
        <v>3230.9359860999998</v>
      </c>
      <c r="D401">
        <v>136.5</v>
      </c>
      <c r="E401">
        <v>302.25</v>
      </c>
      <c r="F401">
        <v>133.548</v>
      </c>
      <c r="G401">
        <v>302.90499999999997</v>
      </c>
      <c r="H401">
        <v>147.04919428571401</v>
      </c>
      <c r="I401">
        <v>270.54247999999899</v>
      </c>
      <c r="J401">
        <v>322.13763828690099</v>
      </c>
      <c r="K401">
        <v>0</v>
      </c>
      <c r="L401">
        <v>0</v>
      </c>
      <c r="M401">
        <v>0</v>
      </c>
      <c r="N401">
        <v>0</v>
      </c>
      <c r="O401">
        <v>0.39982623291015601</v>
      </c>
      <c r="P401">
        <v>-8.6520980834960903E-2</v>
      </c>
      <c r="Q401">
        <v>0</v>
      </c>
      <c r="R401">
        <v>160.678</v>
      </c>
      <c r="S401">
        <v>-0.42599999999999999</v>
      </c>
      <c r="T401">
        <v>-6.7000000000000004E-2</v>
      </c>
      <c r="U401">
        <v>0.746</v>
      </c>
      <c r="V401" t="b">
        <v>1</v>
      </c>
      <c r="W401" t="s">
        <v>52</v>
      </c>
    </row>
    <row r="402" spans="2:23" x14ac:dyDescent="0.3">
      <c r="B402" s="2">
        <f t="shared" si="6"/>
        <v>9.291738500000065</v>
      </c>
      <c r="C402">
        <v>3230.9670360999999</v>
      </c>
      <c r="D402">
        <v>136.5</v>
      </c>
      <c r="E402">
        <v>302.25</v>
      </c>
      <c r="F402">
        <v>132.93299999999999</v>
      </c>
      <c r="G402">
        <v>299.63</v>
      </c>
      <c r="H402">
        <v>145.92825714285701</v>
      </c>
      <c r="I402">
        <v>272.76527428571399</v>
      </c>
      <c r="J402">
        <v>322.13763828690099</v>
      </c>
      <c r="K402">
        <v>0</v>
      </c>
      <c r="L402">
        <v>0</v>
      </c>
      <c r="M402">
        <v>0</v>
      </c>
      <c r="N402">
        <v>0</v>
      </c>
      <c r="O402">
        <v>0.39982623291015601</v>
      </c>
      <c r="P402">
        <v>-8.6520980834960903E-2</v>
      </c>
      <c r="Q402">
        <v>0</v>
      </c>
      <c r="R402">
        <v>160.678</v>
      </c>
      <c r="S402">
        <v>-0.42599999999999999</v>
      </c>
      <c r="T402">
        <v>-6.7000000000000004E-2</v>
      </c>
      <c r="U402">
        <v>0.746</v>
      </c>
      <c r="V402" t="b">
        <v>1</v>
      </c>
      <c r="W402" t="s">
        <v>52</v>
      </c>
    </row>
    <row r="403" spans="2:23" x14ac:dyDescent="0.3">
      <c r="B403" s="2">
        <f t="shared" si="6"/>
        <v>9.3234608000002481</v>
      </c>
      <c r="C403">
        <v>3230.9987584</v>
      </c>
      <c r="D403">
        <v>136.5</v>
      </c>
      <c r="E403">
        <v>307.125</v>
      </c>
      <c r="F403">
        <v>132.31800000000001</v>
      </c>
      <c r="G403">
        <v>306.47000000000003</v>
      </c>
      <c r="H403">
        <v>144.83481714285699</v>
      </c>
      <c r="I403">
        <v>275.08079428571398</v>
      </c>
      <c r="J403">
        <v>322.13763828690099</v>
      </c>
      <c r="K403">
        <v>0</v>
      </c>
      <c r="L403">
        <v>0</v>
      </c>
      <c r="M403">
        <v>0</v>
      </c>
      <c r="N403">
        <v>0</v>
      </c>
      <c r="O403">
        <v>0.35438186645507802</v>
      </c>
      <c r="P403">
        <v>-9.9196647644042901E-2</v>
      </c>
      <c r="Q403">
        <v>0</v>
      </c>
      <c r="R403">
        <v>160.57900000000001</v>
      </c>
      <c r="S403">
        <v>-0.67500000000000004</v>
      </c>
      <c r="T403">
        <v>-0.35599999999999998</v>
      </c>
      <c r="U403">
        <v>0.74399999999999999</v>
      </c>
      <c r="V403" t="b">
        <v>1</v>
      </c>
      <c r="W403" t="s">
        <v>52</v>
      </c>
    </row>
    <row r="404" spans="2:23" x14ac:dyDescent="0.3">
      <c r="B404" s="2">
        <f t="shared" si="6"/>
        <v>9.3695388000001003</v>
      </c>
      <c r="C404">
        <v>3231.0448363999999</v>
      </c>
      <c r="D404">
        <v>136.5</v>
      </c>
      <c r="E404">
        <v>312</v>
      </c>
      <c r="F404">
        <v>131.334</v>
      </c>
      <c r="G404">
        <v>313.31</v>
      </c>
      <c r="H404">
        <v>143.744857142857</v>
      </c>
      <c r="I404">
        <v>277.931314285714</v>
      </c>
      <c r="J404">
        <v>322.13763828690099</v>
      </c>
      <c r="K404">
        <v>0</v>
      </c>
      <c r="L404">
        <v>0</v>
      </c>
      <c r="M404">
        <v>0</v>
      </c>
      <c r="N404">
        <v>0</v>
      </c>
      <c r="O404">
        <v>0.33253579711914</v>
      </c>
      <c r="P404">
        <v>-0.11065095520019499</v>
      </c>
      <c r="Q404">
        <v>0</v>
      </c>
      <c r="R404">
        <v>160.76300000000001</v>
      </c>
      <c r="S404">
        <v>-0.91200000000000003</v>
      </c>
      <c r="T404">
        <v>-0.40500000000000003</v>
      </c>
      <c r="U404">
        <v>0.73899999999999999</v>
      </c>
      <c r="V404" t="b">
        <v>1</v>
      </c>
      <c r="W404" t="s">
        <v>52</v>
      </c>
    </row>
    <row r="405" spans="2:23" x14ac:dyDescent="0.3">
      <c r="B405" s="2">
        <f t="shared" si="6"/>
        <v>9.4001502000000983</v>
      </c>
      <c r="C405">
        <v>3231.0754477999999</v>
      </c>
      <c r="D405">
        <v>136.5</v>
      </c>
      <c r="E405">
        <v>312</v>
      </c>
      <c r="F405">
        <v>130.596</v>
      </c>
      <c r="G405">
        <v>310.29700000000003</v>
      </c>
      <c r="H405">
        <v>142.66473714285701</v>
      </c>
      <c r="I405">
        <v>280.76611428571402</v>
      </c>
      <c r="J405">
        <v>322.13763828690099</v>
      </c>
      <c r="K405">
        <v>0</v>
      </c>
      <c r="L405">
        <v>0</v>
      </c>
      <c r="M405">
        <v>0</v>
      </c>
      <c r="N405">
        <v>0</v>
      </c>
      <c r="O405">
        <v>0.33253579711914</v>
      </c>
      <c r="P405">
        <v>-0.11065095520019499</v>
      </c>
      <c r="Q405">
        <v>0</v>
      </c>
      <c r="R405">
        <v>160.76300000000001</v>
      </c>
      <c r="S405">
        <v>-0.91200000000000003</v>
      </c>
      <c r="T405">
        <v>-0.40500000000000003</v>
      </c>
      <c r="U405">
        <v>0.73899999999999999</v>
      </c>
      <c r="V405" t="b">
        <v>1</v>
      </c>
      <c r="W405" t="s">
        <v>52</v>
      </c>
    </row>
    <row r="406" spans="2:23" x14ac:dyDescent="0.3">
      <c r="B406" s="2">
        <f t="shared" si="6"/>
        <v>9.4309679000002689</v>
      </c>
      <c r="C406">
        <v>3231.1062655000001</v>
      </c>
      <c r="D406">
        <v>141.375</v>
      </c>
      <c r="E406">
        <v>316.875</v>
      </c>
      <c r="F406">
        <v>129.93600000000001</v>
      </c>
      <c r="G406">
        <v>317.79199999999997</v>
      </c>
      <c r="H406">
        <v>141.607417142857</v>
      </c>
      <c r="I406">
        <v>283.20679428571401</v>
      </c>
      <c r="J406">
        <v>322.13763828690099</v>
      </c>
      <c r="K406">
        <v>0</v>
      </c>
      <c r="L406">
        <v>0</v>
      </c>
      <c r="M406">
        <v>0</v>
      </c>
      <c r="N406">
        <v>0</v>
      </c>
      <c r="O406">
        <v>0.309857452392578</v>
      </c>
      <c r="P406">
        <v>-8.3500129699706993E-2</v>
      </c>
      <c r="Q406">
        <v>0</v>
      </c>
      <c r="R406">
        <v>160.81800000000001</v>
      </c>
      <c r="S406">
        <v>-0.97699999999999998</v>
      </c>
      <c r="T406">
        <v>-0.37</v>
      </c>
      <c r="U406">
        <v>0.73699999999999999</v>
      </c>
      <c r="V406" t="b">
        <v>1</v>
      </c>
      <c r="W406" t="s">
        <v>52</v>
      </c>
    </row>
    <row r="407" spans="2:23" x14ac:dyDescent="0.3">
      <c r="B407" s="2">
        <f t="shared" si="6"/>
        <v>9.4623018000002048</v>
      </c>
      <c r="C407">
        <v>3231.1375994</v>
      </c>
      <c r="D407">
        <v>136.5</v>
      </c>
      <c r="E407">
        <v>321.75</v>
      </c>
      <c r="F407">
        <v>129.12</v>
      </c>
      <c r="G407">
        <v>325.68</v>
      </c>
      <c r="H407">
        <v>140.54565714285701</v>
      </c>
      <c r="I407">
        <v>286.067794285714</v>
      </c>
      <c r="J407">
        <v>322.13763828690099</v>
      </c>
      <c r="K407">
        <v>0</v>
      </c>
      <c r="L407">
        <v>0</v>
      </c>
      <c r="M407">
        <v>0</v>
      </c>
      <c r="N407">
        <v>0</v>
      </c>
      <c r="O407">
        <v>0.309857452392578</v>
      </c>
      <c r="P407">
        <v>-8.3500129699706993E-2</v>
      </c>
      <c r="Q407">
        <v>0</v>
      </c>
      <c r="R407">
        <v>160.81800000000001</v>
      </c>
      <c r="S407">
        <v>-0.97699999999999998</v>
      </c>
      <c r="T407">
        <v>-0.37</v>
      </c>
      <c r="U407">
        <v>0.73699999999999999</v>
      </c>
      <c r="V407" t="b">
        <v>1</v>
      </c>
      <c r="W407" t="s">
        <v>52</v>
      </c>
    </row>
    <row r="408" spans="2:23" x14ac:dyDescent="0.3">
      <c r="B408" s="2">
        <f t="shared" si="6"/>
        <v>9.4935661000004075</v>
      </c>
      <c r="C408">
        <v>3231.1688637000002</v>
      </c>
      <c r="D408">
        <v>130.92857142857099</v>
      </c>
      <c r="E408">
        <v>323.142857142857</v>
      </c>
      <c r="F408">
        <v>128.591571428571</v>
      </c>
      <c r="G408">
        <v>326.810857142857</v>
      </c>
      <c r="H408">
        <v>139.51328000000001</v>
      </c>
      <c r="I408">
        <v>289.07358857142799</v>
      </c>
      <c r="J408">
        <v>322.13763828690099</v>
      </c>
      <c r="K408">
        <v>0</v>
      </c>
      <c r="L408">
        <v>0</v>
      </c>
      <c r="M408">
        <v>0</v>
      </c>
      <c r="N408">
        <v>0</v>
      </c>
      <c r="O408">
        <v>0.309857452392578</v>
      </c>
      <c r="P408">
        <v>-8.3500129699706993E-2</v>
      </c>
      <c r="Q408">
        <v>0</v>
      </c>
      <c r="R408">
        <v>160.81800000000001</v>
      </c>
      <c r="S408">
        <v>-0.97699999999999998</v>
      </c>
      <c r="T408">
        <v>-0.37</v>
      </c>
      <c r="U408">
        <v>0.73699999999999999</v>
      </c>
      <c r="V408" t="b">
        <v>1</v>
      </c>
      <c r="W408" t="s">
        <v>52</v>
      </c>
    </row>
    <row r="409" spans="2:23" x14ac:dyDescent="0.3">
      <c r="B409" s="2">
        <f t="shared" si="6"/>
        <v>9.5246996000000763</v>
      </c>
      <c r="C409">
        <v>3231.1999971999999</v>
      </c>
      <c r="D409">
        <v>130.92857142857099</v>
      </c>
      <c r="E409">
        <v>323.142857142857</v>
      </c>
      <c r="F409">
        <v>128.34557142857099</v>
      </c>
      <c r="G409">
        <v>325.10785714285697</v>
      </c>
      <c r="H409">
        <v>138.516782857142</v>
      </c>
      <c r="I409">
        <v>291.47394285714199</v>
      </c>
      <c r="J409">
        <v>322.13763828690099</v>
      </c>
      <c r="K409">
        <v>0</v>
      </c>
      <c r="L409">
        <v>0</v>
      </c>
      <c r="M409">
        <v>0</v>
      </c>
      <c r="N409">
        <v>0</v>
      </c>
      <c r="O409">
        <v>0.30135186767578098</v>
      </c>
      <c r="P409">
        <v>-9.5801887512207001E-2</v>
      </c>
      <c r="Q409">
        <v>0</v>
      </c>
      <c r="R409">
        <v>160.76599999999999</v>
      </c>
      <c r="S409">
        <v>-0.94399999999999995</v>
      </c>
      <c r="T409">
        <v>-0.56699999999999995</v>
      </c>
      <c r="U409">
        <v>0.73499999999999999</v>
      </c>
      <c r="V409" t="b">
        <v>1</v>
      </c>
      <c r="W409" t="s">
        <v>52</v>
      </c>
    </row>
    <row r="410" spans="2:23" x14ac:dyDescent="0.3">
      <c r="B410" s="2">
        <f t="shared" si="6"/>
        <v>9.5554276000002574</v>
      </c>
      <c r="C410">
        <v>3231.2307252000001</v>
      </c>
      <c r="D410" t="s">
        <v>39</v>
      </c>
      <c r="E410" t="s">
        <v>42</v>
      </c>
    </row>
    <row r="411" spans="2:23" x14ac:dyDescent="0.3">
      <c r="B411" s="2">
        <f t="shared" si="6"/>
        <v>9.5554276000002574</v>
      </c>
      <c r="C411">
        <v>3231.2307252000001</v>
      </c>
      <c r="D411">
        <v>130.92857142857099</v>
      </c>
      <c r="E411">
        <v>323.142857142857</v>
      </c>
      <c r="F411">
        <v>127.97657142857101</v>
      </c>
      <c r="G411">
        <v>323.53585714285703</v>
      </c>
      <c r="H411">
        <v>137.55820571428501</v>
      </c>
      <c r="I411">
        <v>293.759617142857</v>
      </c>
      <c r="J411">
        <v>322.13763828690099</v>
      </c>
      <c r="K411">
        <v>0</v>
      </c>
      <c r="L411">
        <v>0</v>
      </c>
      <c r="M411">
        <v>0</v>
      </c>
      <c r="N411">
        <v>0</v>
      </c>
      <c r="O411">
        <v>0.30135186767578098</v>
      </c>
      <c r="P411">
        <v>-9.5801887512207001E-2</v>
      </c>
      <c r="Q411">
        <v>0</v>
      </c>
      <c r="R411">
        <v>160.76599999999999</v>
      </c>
      <c r="S411">
        <v>-0.94399999999999995</v>
      </c>
      <c r="T411">
        <v>-0.56699999999999995</v>
      </c>
      <c r="U411">
        <v>0.73499999999999999</v>
      </c>
      <c r="V411" t="b">
        <v>1</v>
      </c>
      <c r="W411" t="s">
        <v>52</v>
      </c>
    </row>
    <row r="412" spans="2:23" x14ac:dyDescent="0.3">
      <c r="B412" s="2">
        <f t="shared" si="6"/>
        <v>9.5856540000004316</v>
      </c>
      <c r="C412">
        <v>3231.2609516000002</v>
      </c>
      <c r="D412">
        <v>130.92857142857099</v>
      </c>
      <c r="E412">
        <v>323.142857142857</v>
      </c>
      <c r="F412">
        <v>127.730571428571</v>
      </c>
      <c r="G412">
        <v>322.22585714285702</v>
      </c>
      <c r="H412">
        <v>136.634068571428</v>
      </c>
      <c r="I412">
        <v>296.092451428571</v>
      </c>
      <c r="J412">
        <v>322.13763828690099</v>
      </c>
      <c r="K412">
        <v>0</v>
      </c>
      <c r="L412">
        <v>0</v>
      </c>
      <c r="M412">
        <v>0</v>
      </c>
      <c r="N412">
        <v>0</v>
      </c>
      <c r="O412">
        <v>0.236992843627929</v>
      </c>
      <c r="P412">
        <v>-0.16578199768066401</v>
      </c>
      <c r="Q412">
        <v>0</v>
      </c>
      <c r="R412">
        <v>160.72399999999999</v>
      </c>
      <c r="S412">
        <v>-0.75</v>
      </c>
      <c r="T412">
        <v>-0.66300000000000003</v>
      </c>
      <c r="U412">
        <v>0.73299999999999998</v>
      </c>
      <c r="V412" t="b">
        <v>1</v>
      </c>
      <c r="W412" t="s">
        <v>52</v>
      </c>
    </row>
    <row r="413" spans="2:23" x14ac:dyDescent="0.3">
      <c r="B413" s="2">
        <f t="shared" si="6"/>
        <v>9.6167265000003681</v>
      </c>
      <c r="C413">
        <v>3231.2920241000002</v>
      </c>
      <c r="D413">
        <v>130.92857142857099</v>
      </c>
      <c r="E413">
        <v>323.142857142857</v>
      </c>
      <c r="F413">
        <v>127.60757142857101</v>
      </c>
      <c r="G413">
        <v>320.78485714285699</v>
      </c>
      <c r="H413">
        <v>135.75061142857101</v>
      </c>
      <c r="I413">
        <v>298.47244571428502</v>
      </c>
      <c r="J413">
        <v>322.13763828690099</v>
      </c>
      <c r="K413">
        <v>0</v>
      </c>
      <c r="L413">
        <v>0</v>
      </c>
      <c r="M413">
        <v>0</v>
      </c>
      <c r="N413">
        <v>0</v>
      </c>
      <c r="O413">
        <v>0.16917729187011701</v>
      </c>
      <c r="P413">
        <v>-0.17858589172363201</v>
      </c>
      <c r="Q413">
        <v>0</v>
      </c>
      <c r="R413">
        <v>160.678</v>
      </c>
      <c r="S413">
        <v>-0.65200000000000002</v>
      </c>
      <c r="T413">
        <v>-0.35799999999999998</v>
      </c>
      <c r="U413">
        <v>0.72599999999999998</v>
      </c>
      <c r="V413" t="b">
        <v>1</v>
      </c>
      <c r="W413" t="s">
        <v>52</v>
      </c>
    </row>
    <row r="414" spans="2:23" x14ac:dyDescent="0.3">
      <c r="B414" s="2">
        <f t="shared" si="6"/>
        <v>9.6474853000004259</v>
      </c>
      <c r="C414">
        <v>3231.3227829000002</v>
      </c>
      <c r="D414">
        <v>126.75</v>
      </c>
      <c r="E414">
        <v>331.5</v>
      </c>
      <c r="F414">
        <v>127.119</v>
      </c>
      <c r="G414">
        <v>336.74</v>
      </c>
      <c r="H414">
        <v>134.901594285714</v>
      </c>
      <c r="I414">
        <v>301.48209142857098</v>
      </c>
      <c r="J414">
        <v>322.13763828690099</v>
      </c>
      <c r="K414">
        <v>0</v>
      </c>
      <c r="L414">
        <v>0</v>
      </c>
      <c r="M414">
        <v>0</v>
      </c>
      <c r="N414">
        <v>0</v>
      </c>
      <c r="O414">
        <v>0.16917729187011701</v>
      </c>
      <c r="P414">
        <v>-0.17858589172363201</v>
      </c>
      <c r="Q414">
        <v>0</v>
      </c>
      <c r="R414">
        <v>160.678</v>
      </c>
      <c r="S414">
        <v>-0.65200000000000002</v>
      </c>
      <c r="T414">
        <v>-0.35799999999999998</v>
      </c>
      <c r="U414">
        <v>0.72599999999999998</v>
      </c>
      <c r="V414" t="b">
        <v>1</v>
      </c>
      <c r="W414" t="s">
        <v>52</v>
      </c>
    </row>
    <row r="415" spans="2:23" x14ac:dyDescent="0.3">
      <c r="B415" s="2">
        <f t="shared" si="6"/>
        <v>9.6789674999999988</v>
      </c>
      <c r="C415">
        <v>3231.3542650999998</v>
      </c>
      <c r="D415">
        <v>126.75</v>
      </c>
      <c r="E415">
        <v>331.5</v>
      </c>
      <c r="F415">
        <v>126.996</v>
      </c>
      <c r="G415">
        <v>336.08499999999998</v>
      </c>
      <c r="H415">
        <v>134.10399428571401</v>
      </c>
      <c r="I415">
        <v>303.87973142857101</v>
      </c>
      <c r="J415">
        <v>322.13763828690099</v>
      </c>
      <c r="K415">
        <v>0</v>
      </c>
      <c r="L415">
        <v>0</v>
      </c>
      <c r="M415">
        <v>0</v>
      </c>
      <c r="N415">
        <v>0</v>
      </c>
      <c r="O415">
        <v>0.16917729187011701</v>
      </c>
      <c r="P415">
        <v>-0.17858589172363201</v>
      </c>
      <c r="Q415">
        <v>0</v>
      </c>
      <c r="R415">
        <v>160.678</v>
      </c>
      <c r="S415">
        <v>-0.65200000000000002</v>
      </c>
      <c r="T415">
        <v>-0.35799999999999998</v>
      </c>
      <c r="U415">
        <v>0.72599999999999998</v>
      </c>
      <c r="V415" t="b">
        <v>1</v>
      </c>
      <c r="W415" t="s">
        <v>52</v>
      </c>
    </row>
    <row r="416" spans="2:23" x14ac:dyDescent="0.3">
      <c r="B416" s="2">
        <f t="shared" si="6"/>
        <v>9.7094308000000638</v>
      </c>
      <c r="C416">
        <v>3231.3847283999999</v>
      </c>
      <c r="D416">
        <v>126.75</v>
      </c>
      <c r="E416">
        <v>331.5</v>
      </c>
      <c r="F416">
        <v>126.504</v>
      </c>
      <c r="G416">
        <v>334.25099999999998</v>
      </c>
      <c r="H416">
        <v>133.338754285714</v>
      </c>
      <c r="I416">
        <v>306.30357142857099</v>
      </c>
      <c r="J416">
        <v>322.13763828690099</v>
      </c>
      <c r="K416">
        <v>0</v>
      </c>
      <c r="L416">
        <v>0</v>
      </c>
      <c r="M416">
        <v>0</v>
      </c>
      <c r="N416">
        <v>0</v>
      </c>
      <c r="O416">
        <v>0.16115859985351499</v>
      </c>
      <c r="P416">
        <v>-0.14493133544921799</v>
      </c>
      <c r="Q416">
        <v>0</v>
      </c>
      <c r="R416">
        <v>160.649</v>
      </c>
      <c r="S416">
        <v>-0.74199999999999999</v>
      </c>
      <c r="T416">
        <v>8.0000000000000002E-3</v>
      </c>
      <c r="U416">
        <v>0.70599999999999996</v>
      </c>
      <c r="V416" t="b">
        <v>1</v>
      </c>
      <c r="W416" t="s">
        <v>52</v>
      </c>
    </row>
    <row r="417" spans="2:23" x14ac:dyDescent="0.3">
      <c r="B417" s="2">
        <f t="shared" si="6"/>
        <v>9.7403956000002836</v>
      </c>
      <c r="C417">
        <v>3231.4156932000001</v>
      </c>
      <c r="D417">
        <v>126.75</v>
      </c>
      <c r="E417">
        <v>331.5</v>
      </c>
      <c r="F417">
        <v>126.381</v>
      </c>
      <c r="G417">
        <v>333.72699999999998</v>
      </c>
      <c r="H417">
        <v>132.60795428571399</v>
      </c>
      <c r="I417">
        <v>308.80077142857101</v>
      </c>
      <c r="J417">
        <v>322.13763828690099</v>
      </c>
      <c r="K417">
        <v>0</v>
      </c>
      <c r="L417">
        <v>0</v>
      </c>
      <c r="M417">
        <v>0</v>
      </c>
      <c r="N417">
        <v>0</v>
      </c>
      <c r="O417">
        <v>0.16115859985351499</v>
      </c>
      <c r="P417">
        <v>-0.14493133544921799</v>
      </c>
      <c r="Q417">
        <v>0</v>
      </c>
      <c r="R417">
        <v>160.649</v>
      </c>
      <c r="S417">
        <v>-0.74199999999999999</v>
      </c>
      <c r="T417">
        <v>8.0000000000000002E-3</v>
      </c>
      <c r="U417">
        <v>0.70599999999999996</v>
      </c>
      <c r="V417" t="b">
        <v>1</v>
      </c>
      <c r="W417" t="s">
        <v>52</v>
      </c>
    </row>
    <row r="418" spans="2:23" x14ac:dyDescent="0.3">
      <c r="B418" s="2">
        <f t="shared" si="6"/>
        <v>9.7720160000003489</v>
      </c>
      <c r="C418">
        <v>3231.4473136000001</v>
      </c>
      <c r="D418">
        <v>126.75</v>
      </c>
      <c r="E418">
        <v>331.5</v>
      </c>
      <c r="F418">
        <v>125.76600000000001</v>
      </c>
      <c r="G418">
        <v>331.89299999999997</v>
      </c>
      <c r="H418">
        <v>131.90175428571399</v>
      </c>
      <c r="I418">
        <v>311.32941142857101</v>
      </c>
      <c r="J418">
        <v>322.13763828690099</v>
      </c>
      <c r="K418">
        <v>0</v>
      </c>
      <c r="L418">
        <v>0</v>
      </c>
      <c r="M418">
        <v>0</v>
      </c>
      <c r="N418">
        <v>0</v>
      </c>
      <c r="O418">
        <v>0.142430084228515</v>
      </c>
      <c r="P418">
        <v>-0.156378860473632</v>
      </c>
      <c r="Q418">
        <v>0</v>
      </c>
      <c r="R418">
        <v>160.60599999999999</v>
      </c>
      <c r="S418">
        <v>-0.88100000000000001</v>
      </c>
      <c r="T418">
        <v>-4.3999999999999997E-2</v>
      </c>
      <c r="U418">
        <v>0.66900000000000004</v>
      </c>
      <c r="V418" t="b">
        <v>1</v>
      </c>
      <c r="W418" t="s">
        <v>52</v>
      </c>
    </row>
    <row r="419" spans="2:23" x14ac:dyDescent="0.3">
      <c r="B419" s="2">
        <f t="shared" si="6"/>
        <v>9.8176916000002166</v>
      </c>
      <c r="C419">
        <v>3231.4929892</v>
      </c>
      <c r="D419">
        <v>126.75</v>
      </c>
      <c r="E419">
        <v>331.5</v>
      </c>
      <c r="F419">
        <v>125.52</v>
      </c>
      <c r="G419">
        <v>331.238</v>
      </c>
      <c r="H419">
        <v>131.239714285714</v>
      </c>
      <c r="I419">
        <v>313.27357142857102</v>
      </c>
      <c r="J419">
        <v>322.13763828690099</v>
      </c>
      <c r="K419">
        <v>0</v>
      </c>
      <c r="L419">
        <v>0</v>
      </c>
      <c r="M419">
        <v>0</v>
      </c>
      <c r="N419">
        <v>0</v>
      </c>
      <c r="O419">
        <v>0.12075503540039</v>
      </c>
      <c r="P419">
        <v>-0.157935546875</v>
      </c>
      <c r="Q419">
        <v>0</v>
      </c>
      <c r="R419">
        <v>160.64500000000001</v>
      </c>
      <c r="S419">
        <v>-0.96599999999999997</v>
      </c>
      <c r="T419">
        <v>-0.106</v>
      </c>
      <c r="U419">
        <v>0.63900000000000001</v>
      </c>
      <c r="V419" t="b">
        <v>1</v>
      </c>
      <c r="W419" t="s">
        <v>52</v>
      </c>
    </row>
    <row r="420" spans="2:23" x14ac:dyDescent="0.3">
      <c r="B420" s="2">
        <f t="shared" si="6"/>
        <v>9.8488786000002619</v>
      </c>
      <c r="C420">
        <v>3231.5241762000001</v>
      </c>
      <c r="D420">
        <v>126.75</v>
      </c>
      <c r="E420">
        <v>331.5</v>
      </c>
      <c r="F420">
        <v>124.905</v>
      </c>
      <c r="G420">
        <v>329.404</v>
      </c>
      <c r="H420">
        <v>130.607194285714</v>
      </c>
      <c r="I420">
        <v>314.92025142857102</v>
      </c>
      <c r="J420">
        <v>322.13763828690099</v>
      </c>
      <c r="K420">
        <v>0</v>
      </c>
      <c r="L420">
        <v>0</v>
      </c>
      <c r="M420">
        <v>0</v>
      </c>
      <c r="N420">
        <v>0</v>
      </c>
      <c r="O420">
        <v>0.12075503540039</v>
      </c>
      <c r="P420">
        <v>-0.157935546875</v>
      </c>
      <c r="Q420">
        <v>0</v>
      </c>
      <c r="R420">
        <v>160.64500000000001</v>
      </c>
      <c r="S420">
        <v>-0.96599999999999997</v>
      </c>
      <c r="T420">
        <v>-0.106</v>
      </c>
      <c r="U420">
        <v>0.63900000000000001</v>
      </c>
      <c r="V420" t="b">
        <v>1</v>
      </c>
      <c r="W420" t="s">
        <v>52</v>
      </c>
    </row>
    <row r="421" spans="2:23" x14ac:dyDescent="0.3">
      <c r="B421" s="2">
        <f t="shared" si="6"/>
        <v>9.8793074000000161</v>
      </c>
      <c r="C421">
        <v>3231.5546049999998</v>
      </c>
      <c r="D421">
        <v>117</v>
      </c>
      <c r="E421">
        <v>331.5</v>
      </c>
      <c r="F421">
        <v>124.872</v>
      </c>
      <c r="G421">
        <v>328.48700000000002</v>
      </c>
      <c r="H421">
        <v>130.009234285714</v>
      </c>
      <c r="I421">
        <v>316.80213142857099</v>
      </c>
      <c r="J421">
        <v>322.13763828690099</v>
      </c>
      <c r="K421">
        <v>0</v>
      </c>
      <c r="L421">
        <v>0</v>
      </c>
      <c r="M421">
        <v>0</v>
      </c>
      <c r="N421">
        <v>0</v>
      </c>
      <c r="O421">
        <v>0.12075503540039</v>
      </c>
      <c r="P421">
        <v>-0.157935546875</v>
      </c>
      <c r="Q421">
        <v>0</v>
      </c>
      <c r="R421">
        <v>160.64500000000001</v>
      </c>
      <c r="S421">
        <v>-0.96599999999999997</v>
      </c>
      <c r="T421">
        <v>-0.106</v>
      </c>
      <c r="U421">
        <v>0.63900000000000001</v>
      </c>
      <c r="V421" t="b">
        <v>1</v>
      </c>
      <c r="W421" t="s">
        <v>52</v>
      </c>
    </row>
    <row r="422" spans="2:23" x14ac:dyDescent="0.3">
      <c r="B422" s="2">
        <f t="shared" si="6"/>
        <v>9.9106115000004138</v>
      </c>
      <c r="C422">
        <v>3231.5859091000002</v>
      </c>
      <c r="D422">
        <v>121.875</v>
      </c>
      <c r="E422">
        <v>336.375</v>
      </c>
      <c r="F422">
        <v>124.33499999999999</v>
      </c>
      <c r="G422">
        <v>337.29199999999997</v>
      </c>
      <c r="H422">
        <v>129.43407428571399</v>
      </c>
      <c r="I422">
        <v>319.15149142857098</v>
      </c>
      <c r="J422">
        <v>322.13763828690099</v>
      </c>
      <c r="K422">
        <v>0</v>
      </c>
      <c r="L422">
        <v>0</v>
      </c>
      <c r="M422">
        <v>0</v>
      </c>
      <c r="N422">
        <v>0</v>
      </c>
      <c r="O422">
        <v>0.100481704711914</v>
      </c>
      <c r="P422">
        <v>-0.14156248474121</v>
      </c>
      <c r="Q422">
        <v>0</v>
      </c>
      <c r="R422">
        <v>160.71799999999999</v>
      </c>
      <c r="S422">
        <v>-0.94299999999999995</v>
      </c>
      <c r="T422">
        <v>-0.218</v>
      </c>
      <c r="U422">
        <v>0.59599999999999997</v>
      </c>
      <c r="V422" t="b">
        <v>1</v>
      </c>
      <c r="W422" t="s">
        <v>52</v>
      </c>
    </row>
    <row r="423" spans="2:23" x14ac:dyDescent="0.3">
      <c r="B423" s="2">
        <f t="shared" si="6"/>
        <v>9.9409724000001916</v>
      </c>
      <c r="C423">
        <v>3231.61627</v>
      </c>
      <c r="D423">
        <v>120.9</v>
      </c>
      <c r="E423">
        <v>339.3</v>
      </c>
      <c r="F423">
        <v>123.60599999999999</v>
      </c>
      <c r="G423">
        <v>342.18200000000002</v>
      </c>
      <c r="H423">
        <v>128.878954285714</v>
      </c>
      <c r="I423">
        <v>320.99205142857102</v>
      </c>
      <c r="J423">
        <v>322.13763828690099</v>
      </c>
      <c r="K423">
        <v>0</v>
      </c>
      <c r="L423">
        <v>0</v>
      </c>
      <c r="M423">
        <v>0</v>
      </c>
      <c r="N423">
        <v>0</v>
      </c>
      <c r="O423">
        <v>0.100481704711914</v>
      </c>
      <c r="P423">
        <v>-0.14156248474121</v>
      </c>
      <c r="Q423">
        <v>0</v>
      </c>
      <c r="R423">
        <v>160.71799999999999</v>
      </c>
      <c r="S423">
        <v>-0.94299999999999995</v>
      </c>
      <c r="T423">
        <v>-0.218</v>
      </c>
      <c r="U423">
        <v>0.59599999999999997</v>
      </c>
      <c r="V423" t="b">
        <v>1</v>
      </c>
      <c r="W423" t="s">
        <v>52</v>
      </c>
    </row>
    <row r="424" spans="2:23" x14ac:dyDescent="0.3">
      <c r="B424" s="2">
        <f t="shared" si="6"/>
        <v>9.9728406000003815</v>
      </c>
      <c r="C424">
        <v>3231.6481382000002</v>
      </c>
      <c r="D424">
        <v>120.9</v>
      </c>
      <c r="E424">
        <v>339.3</v>
      </c>
      <c r="F424">
        <v>123.36</v>
      </c>
      <c r="G424">
        <v>341.65800000000002</v>
      </c>
      <c r="H424">
        <v>128.363194285714</v>
      </c>
      <c r="I424">
        <v>322.93741142857101</v>
      </c>
      <c r="J424">
        <v>322.13763828690099</v>
      </c>
      <c r="K424">
        <v>0</v>
      </c>
      <c r="L424">
        <v>0</v>
      </c>
      <c r="M424">
        <v>0</v>
      </c>
      <c r="N424">
        <v>0</v>
      </c>
      <c r="O424">
        <v>8.0519813537597601E-2</v>
      </c>
      <c r="P424">
        <v>-0.15284790039062501</v>
      </c>
      <c r="Q424">
        <v>0</v>
      </c>
      <c r="R424">
        <v>160.804</v>
      </c>
      <c r="S424">
        <v>-0.85199999999999998</v>
      </c>
      <c r="T424">
        <v>-0.45</v>
      </c>
      <c r="U424">
        <v>0.55900000000000005</v>
      </c>
      <c r="V424" t="b">
        <v>1</v>
      </c>
      <c r="W424" t="s">
        <v>52</v>
      </c>
    </row>
    <row r="425" spans="2:23" x14ac:dyDescent="0.3">
      <c r="B425" s="2">
        <f t="shared" si="6"/>
        <v>10.004080200000317</v>
      </c>
      <c r="C425">
        <v>3231.6793778000001</v>
      </c>
      <c r="D425">
        <v>120.9</v>
      </c>
      <c r="E425">
        <v>339.3</v>
      </c>
      <c r="F425">
        <v>122.13</v>
      </c>
      <c r="G425">
        <v>340.47899999999998</v>
      </c>
      <c r="H425">
        <v>127.83267428571401</v>
      </c>
      <c r="I425">
        <v>324.97185142857097</v>
      </c>
      <c r="J425">
        <v>322.13763828690099</v>
      </c>
      <c r="K425">
        <v>0</v>
      </c>
      <c r="L425">
        <v>0</v>
      </c>
      <c r="M425">
        <v>0</v>
      </c>
      <c r="N425">
        <v>0</v>
      </c>
      <c r="O425">
        <v>7.36905975341796E-2</v>
      </c>
      <c r="P425">
        <v>-0.15639054870605401</v>
      </c>
      <c r="Q425">
        <v>0</v>
      </c>
      <c r="R425">
        <v>160.98699999999999</v>
      </c>
      <c r="S425">
        <v>-0.69599999999999995</v>
      </c>
      <c r="T425">
        <v>-0.70699999999999996</v>
      </c>
      <c r="U425">
        <v>0.51500000000000001</v>
      </c>
      <c r="V425" t="b">
        <v>1</v>
      </c>
      <c r="W425" t="s">
        <v>52</v>
      </c>
    </row>
    <row r="426" spans="2:23" x14ac:dyDescent="0.3">
      <c r="B426" s="2">
        <f t="shared" si="6"/>
        <v>10.052269700000124</v>
      </c>
      <c r="C426">
        <v>3231.7275672999999</v>
      </c>
      <c r="D426">
        <v>120.9</v>
      </c>
      <c r="E426">
        <v>339.3</v>
      </c>
      <c r="F426">
        <v>121.63800000000001</v>
      </c>
      <c r="G426">
        <v>340.08600000000001</v>
      </c>
      <c r="H426">
        <v>127.326754285714</v>
      </c>
      <c r="I426">
        <v>326.32285142857103</v>
      </c>
      <c r="J426">
        <v>322.13763828690099</v>
      </c>
      <c r="K426">
        <v>0</v>
      </c>
      <c r="L426">
        <v>0</v>
      </c>
      <c r="M426">
        <v>0</v>
      </c>
      <c r="N426">
        <v>0</v>
      </c>
      <c r="O426">
        <v>7.36905975341796E-2</v>
      </c>
      <c r="P426">
        <v>-0.15639054870605401</v>
      </c>
      <c r="Q426">
        <v>0</v>
      </c>
      <c r="R426">
        <v>160.98699999999999</v>
      </c>
      <c r="S426">
        <v>-0.69599999999999995</v>
      </c>
      <c r="T426">
        <v>-0.70699999999999996</v>
      </c>
      <c r="U426">
        <v>0.51500000000000001</v>
      </c>
      <c r="V426" t="b">
        <v>1</v>
      </c>
      <c r="W426" t="s">
        <v>52</v>
      </c>
    </row>
    <row r="427" spans="2:23" x14ac:dyDescent="0.3">
      <c r="B427" s="2">
        <f t="shared" si="6"/>
        <v>10.067612800000006</v>
      </c>
      <c r="C427">
        <v>3231.7429103999998</v>
      </c>
      <c r="D427">
        <v>117</v>
      </c>
      <c r="E427">
        <v>341.25</v>
      </c>
      <c r="F427">
        <v>120.321</v>
      </c>
      <c r="G427">
        <v>343.47699999999998</v>
      </c>
      <c r="H427">
        <v>126.797674285714</v>
      </c>
      <c r="I427">
        <v>327.94573142857098</v>
      </c>
      <c r="J427">
        <v>322.13763828690099</v>
      </c>
      <c r="K427">
        <v>0</v>
      </c>
      <c r="L427">
        <v>0</v>
      </c>
      <c r="M427">
        <v>0</v>
      </c>
      <c r="N427">
        <v>0</v>
      </c>
      <c r="O427">
        <v>7.36905975341796E-2</v>
      </c>
      <c r="P427">
        <v>-0.15639054870605401</v>
      </c>
      <c r="Q427">
        <v>0</v>
      </c>
      <c r="R427">
        <v>160.98699999999999</v>
      </c>
      <c r="S427">
        <v>-0.69599999999999995</v>
      </c>
      <c r="T427">
        <v>-0.70699999999999996</v>
      </c>
      <c r="U427">
        <v>0.51500000000000001</v>
      </c>
      <c r="V427" t="b">
        <v>1</v>
      </c>
      <c r="W427" t="s">
        <v>52</v>
      </c>
    </row>
    <row r="428" spans="2:23" x14ac:dyDescent="0.3">
      <c r="B428" s="2">
        <f t="shared" si="6"/>
        <v>10.098507600000175</v>
      </c>
      <c r="C428">
        <v>3231.7738052</v>
      </c>
      <c r="D428">
        <v>117</v>
      </c>
      <c r="E428">
        <v>341.25</v>
      </c>
      <c r="F428">
        <v>119.46</v>
      </c>
      <c r="G428">
        <v>342.69099999999997</v>
      </c>
      <c r="H428">
        <v>126.25875428571401</v>
      </c>
      <c r="I428">
        <v>329.66817142857099</v>
      </c>
      <c r="J428">
        <v>322.13763828690099</v>
      </c>
      <c r="K428">
        <v>0</v>
      </c>
      <c r="L428">
        <v>0</v>
      </c>
      <c r="M428">
        <v>0</v>
      </c>
      <c r="N428">
        <v>0</v>
      </c>
      <c r="O428">
        <v>5.70228576660156E-2</v>
      </c>
      <c r="P428">
        <v>-0.147936614990234</v>
      </c>
      <c r="Q428">
        <v>0</v>
      </c>
      <c r="R428">
        <v>161.095</v>
      </c>
      <c r="S428">
        <v>-0.48099999999999998</v>
      </c>
      <c r="T428">
        <v>-0.71299999999999997</v>
      </c>
      <c r="U428">
        <v>0.46600000000000003</v>
      </c>
      <c r="V428" t="b">
        <v>1</v>
      </c>
      <c r="W428" t="s">
        <v>52</v>
      </c>
    </row>
    <row r="429" spans="2:23" x14ac:dyDescent="0.3">
      <c r="B429" s="2">
        <f t="shared" si="6"/>
        <v>10.129110700000183</v>
      </c>
      <c r="C429">
        <v>3231.8044083</v>
      </c>
      <c r="D429">
        <v>117</v>
      </c>
      <c r="E429">
        <v>341.25</v>
      </c>
      <c r="F429">
        <v>118.72199999999999</v>
      </c>
      <c r="G429">
        <v>342.16699999999997</v>
      </c>
      <c r="H429">
        <v>125.714914285714</v>
      </c>
      <c r="I429">
        <v>331.096051428571</v>
      </c>
      <c r="J429">
        <v>322.13763828690099</v>
      </c>
      <c r="K429">
        <v>0</v>
      </c>
      <c r="L429">
        <v>0</v>
      </c>
      <c r="M429">
        <v>0</v>
      </c>
      <c r="N429">
        <v>0</v>
      </c>
      <c r="O429">
        <v>5.70228576660156E-2</v>
      </c>
      <c r="P429">
        <v>-0.147936614990234</v>
      </c>
      <c r="Q429">
        <v>0</v>
      </c>
      <c r="R429">
        <v>161.095</v>
      </c>
      <c r="S429">
        <v>-0.48099999999999998</v>
      </c>
      <c r="T429">
        <v>-0.71299999999999997</v>
      </c>
      <c r="U429">
        <v>0.46600000000000003</v>
      </c>
      <c r="V429" t="b">
        <v>1</v>
      </c>
      <c r="W429" t="s">
        <v>52</v>
      </c>
    </row>
    <row r="430" spans="2:23" x14ac:dyDescent="0.3">
      <c r="B430" s="2">
        <f t="shared" si="6"/>
        <v>10.159869600000093</v>
      </c>
      <c r="C430">
        <v>3231.8351671999999</v>
      </c>
      <c r="D430">
        <v>117</v>
      </c>
      <c r="E430">
        <v>341.25</v>
      </c>
      <c r="F430">
        <v>118.107</v>
      </c>
      <c r="G430">
        <v>341.64299999999997</v>
      </c>
      <c r="H430">
        <v>125.18583428571399</v>
      </c>
      <c r="I430">
        <v>332.22937142857103</v>
      </c>
      <c r="J430">
        <v>322.13763828690099</v>
      </c>
      <c r="K430">
        <v>0</v>
      </c>
      <c r="L430">
        <v>0</v>
      </c>
      <c r="M430">
        <v>0</v>
      </c>
      <c r="N430">
        <v>0</v>
      </c>
      <c r="O430">
        <v>2.77362575531005E-2</v>
      </c>
      <c r="P430">
        <v>-0.14731179809570299</v>
      </c>
      <c r="Q430">
        <v>0</v>
      </c>
      <c r="R430">
        <v>161.161</v>
      </c>
      <c r="S430">
        <v>-0.216</v>
      </c>
      <c r="T430">
        <v>-0.23300000000000001</v>
      </c>
      <c r="U430">
        <v>0.41899999999999998</v>
      </c>
      <c r="V430" t="b">
        <v>1</v>
      </c>
      <c r="W430" t="s">
        <v>52</v>
      </c>
    </row>
    <row r="431" spans="2:23" x14ac:dyDescent="0.3">
      <c r="B431" s="2">
        <f t="shared" si="6"/>
        <v>10.191697800000384</v>
      </c>
      <c r="C431">
        <v>3231.8669954000002</v>
      </c>
      <c r="D431">
        <v>117</v>
      </c>
      <c r="E431">
        <v>341.25</v>
      </c>
      <c r="F431">
        <v>117.61499999999999</v>
      </c>
      <c r="G431">
        <v>341.11900000000003</v>
      </c>
      <c r="H431">
        <v>124.666594285714</v>
      </c>
      <c r="I431">
        <v>333.46225142857099</v>
      </c>
      <c r="J431">
        <v>322.13763828690099</v>
      </c>
      <c r="K431">
        <v>0</v>
      </c>
      <c r="L431">
        <v>0</v>
      </c>
      <c r="M431">
        <v>0</v>
      </c>
      <c r="N431">
        <v>0</v>
      </c>
      <c r="O431">
        <v>2.77362575531005E-2</v>
      </c>
      <c r="P431">
        <v>-0.14731179809570299</v>
      </c>
      <c r="Q431">
        <v>0</v>
      </c>
      <c r="R431">
        <v>161.161</v>
      </c>
      <c r="S431">
        <v>-0.216</v>
      </c>
      <c r="T431">
        <v>-0.23300000000000001</v>
      </c>
      <c r="U431">
        <v>0.41899999999999998</v>
      </c>
      <c r="V431" t="b">
        <v>1</v>
      </c>
      <c r="W431" t="s">
        <v>52</v>
      </c>
    </row>
    <row r="432" spans="2:23" x14ac:dyDescent="0.3">
      <c r="B432" s="2">
        <f t="shared" si="6"/>
        <v>10.223350500000379</v>
      </c>
      <c r="C432">
        <v>3231.8986481000002</v>
      </c>
      <c r="D432">
        <v>117</v>
      </c>
      <c r="E432">
        <v>341.25</v>
      </c>
      <c r="F432">
        <v>117</v>
      </c>
      <c r="G432">
        <v>340.59500000000003</v>
      </c>
      <c r="H432">
        <v>124.149154285714</v>
      </c>
      <c r="I432">
        <v>334.37437142857101</v>
      </c>
      <c r="J432">
        <v>322.13763828690099</v>
      </c>
      <c r="K432">
        <v>0</v>
      </c>
      <c r="L432">
        <v>0</v>
      </c>
      <c r="M432">
        <v>0</v>
      </c>
      <c r="N432">
        <v>0</v>
      </c>
      <c r="O432">
        <v>-2.9791073799133299E-3</v>
      </c>
      <c r="P432">
        <v>-0.12349624633789</v>
      </c>
      <c r="Q432">
        <v>0</v>
      </c>
      <c r="R432">
        <v>161.33600000000001</v>
      </c>
      <c r="S432">
        <v>-0.313</v>
      </c>
      <c r="T432">
        <v>0.36899999999999999</v>
      </c>
      <c r="U432">
        <v>0.371</v>
      </c>
      <c r="V432" t="b">
        <v>1</v>
      </c>
      <c r="W432" t="s">
        <v>52</v>
      </c>
    </row>
    <row r="433" spans="2:23" x14ac:dyDescent="0.3">
      <c r="B433" s="2">
        <f t="shared" si="6"/>
        <v>10.317478700000265</v>
      </c>
      <c r="C433">
        <v>3231.9927763000001</v>
      </c>
      <c r="D433">
        <v>112.125</v>
      </c>
      <c r="E433">
        <v>346.125</v>
      </c>
      <c r="F433">
        <v>117.16800000000001</v>
      </c>
      <c r="G433">
        <v>351.75799999999998</v>
      </c>
      <c r="H433">
        <v>123.671074285714</v>
      </c>
      <c r="I433">
        <v>335.417491428571</v>
      </c>
      <c r="J433">
        <v>322.13763828690099</v>
      </c>
      <c r="K433">
        <v>0</v>
      </c>
      <c r="L433">
        <v>0</v>
      </c>
      <c r="M433">
        <v>0</v>
      </c>
      <c r="N433">
        <v>0</v>
      </c>
      <c r="O433">
        <v>-1.7325565338134698E-2</v>
      </c>
      <c r="P433">
        <v>-0.129741271972656</v>
      </c>
      <c r="Q433">
        <v>0</v>
      </c>
      <c r="R433">
        <v>161.33699999999999</v>
      </c>
      <c r="S433">
        <v>-0.84899999999999998</v>
      </c>
      <c r="T433">
        <v>0.66700000000000004</v>
      </c>
      <c r="U433">
        <v>0.32100000000000001</v>
      </c>
      <c r="V433" t="b">
        <v>1</v>
      </c>
      <c r="W433" t="s">
        <v>52</v>
      </c>
    </row>
    <row r="434" spans="2:23" x14ac:dyDescent="0.3">
      <c r="B434" s="2">
        <f t="shared" si="6"/>
        <v>10.333174900000358</v>
      </c>
      <c r="C434">
        <v>3232.0084725000002</v>
      </c>
      <c r="D434">
        <v>112.125</v>
      </c>
      <c r="E434">
        <v>346.125</v>
      </c>
      <c r="F434">
        <v>116.676</v>
      </c>
      <c r="G434">
        <v>351.49599999999998</v>
      </c>
      <c r="H434">
        <v>123.194451428571</v>
      </c>
      <c r="I434">
        <v>336.40489714285701</v>
      </c>
      <c r="J434">
        <v>322.13763828690099</v>
      </c>
      <c r="K434">
        <v>0</v>
      </c>
      <c r="L434">
        <v>0</v>
      </c>
      <c r="M434">
        <v>0</v>
      </c>
      <c r="N434">
        <v>0</v>
      </c>
      <c r="O434">
        <v>-1.7325565338134698E-2</v>
      </c>
      <c r="P434">
        <v>-0.129741271972656</v>
      </c>
      <c r="Q434">
        <v>0</v>
      </c>
      <c r="R434">
        <v>161.33699999999999</v>
      </c>
      <c r="S434">
        <v>-0.84899999999999998</v>
      </c>
      <c r="T434">
        <v>0.66700000000000004</v>
      </c>
      <c r="U434">
        <v>0.32100000000000001</v>
      </c>
      <c r="V434" t="b">
        <v>1</v>
      </c>
      <c r="W434" t="s">
        <v>52</v>
      </c>
    </row>
    <row r="435" spans="2:23" x14ac:dyDescent="0.3">
      <c r="B435" s="2">
        <f t="shared" si="6"/>
        <v>10.348560300000372</v>
      </c>
      <c r="C435">
        <v>3232.0238579000002</v>
      </c>
      <c r="D435">
        <v>112.125</v>
      </c>
      <c r="E435">
        <v>346.125</v>
      </c>
      <c r="F435">
        <v>116.307</v>
      </c>
      <c r="G435">
        <v>351.10300000000001</v>
      </c>
      <c r="H435">
        <v>122.712908571428</v>
      </c>
      <c r="I435">
        <v>337.44470285714198</v>
      </c>
      <c r="J435">
        <v>322.13763828690099</v>
      </c>
      <c r="K435">
        <v>0</v>
      </c>
      <c r="L435">
        <v>0</v>
      </c>
      <c r="M435">
        <v>0</v>
      </c>
      <c r="N435">
        <v>0</v>
      </c>
      <c r="O435">
        <v>-1.7325565338134698E-2</v>
      </c>
      <c r="P435">
        <v>-0.129741271972656</v>
      </c>
      <c r="Q435">
        <v>0</v>
      </c>
      <c r="R435">
        <v>161.33699999999999</v>
      </c>
      <c r="S435">
        <v>-0.84899999999999998</v>
      </c>
      <c r="T435">
        <v>0.66700000000000004</v>
      </c>
      <c r="U435">
        <v>0.32100000000000001</v>
      </c>
      <c r="V435" t="b">
        <v>1</v>
      </c>
      <c r="W435" t="s">
        <v>52</v>
      </c>
    </row>
    <row r="436" spans="2:23" x14ac:dyDescent="0.3">
      <c r="B436" s="2">
        <f t="shared" si="6"/>
        <v>10.36367700000028</v>
      </c>
      <c r="C436">
        <v>3232.0389746000001</v>
      </c>
      <c r="D436">
        <v>117</v>
      </c>
      <c r="E436">
        <v>351</v>
      </c>
      <c r="F436">
        <v>113.80200000000001</v>
      </c>
      <c r="G436">
        <v>362.00400000000002</v>
      </c>
      <c r="H436">
        <v>122.145925714285</v>
      </c>
      <c r="I436">
        <v>338.98342857142802</v>
      </c>
      <c r="J436">
        <v>322.13763828690099</v>
      </c>
      <c r="K436">
        <v>0</v>
      </c>
      <c r="L436">
        <v>0</v>
      </c>
      <c r="M436">
        <v>0</v>
      </c>
      <c r="N436">
        <v>0</v>
      </c>
      <c r="O436">
        <v>-3.0515796661376899E-2</v>
      </c>
      <c r="P436">
        <v>-0.11864238739013599</v>
      </c>
      <c r="Q436">
        <v>0</v>
      </c>
      <c r="R436">
        <v>161.46700000000001</v>
      </c>
      <c r="S436">
        <v>-1.351</v>
      </c>
      <c r="T436">
        <v>0.78600000000000003</v>
      </c>
      <c r="U436">
        <v>0.27800000000000002</v>
      </c>
      <c r="V436" t="b">
        <v>1</v>
      </c>
      <c r="W436" t="s">
        <v>52</v>
      </c>
    </row>
    <row r="437" spans="2:23" x14ac:dyDescent="0.3">
      <c r="B437" s="2">
        <f t="shared" si="6"/>
        <v>10.410301700000218</v>
      </c>
      <c r="C437">
        <v>3232.0855993</v>
      </c>
      <c r="D437">
        <v>107.25</v>
      </c>
      <c r="E437">
        <v>351</v>
      </c>
      <c r="F437">
        <v>116.598</v>
      </c>
      <c r="G437">
        <v>362.65899999999999</v>
      </c>
      <c r="H437">
        <v>121.70062285714199</v>
      </c>
      <c r="I437">
        <v>340.600754285714</v>
      </c>
      <c r="J437">
        <v>322.13763828690099</v>
      </c>
      <c r="K437">
        <v>0</v>
      </c>
      <c r="L437">
        <v>0</v>
      </c>
      <c r="M437">
        <v>0</v>
      </c>
      <c r="N437">
        <v>0</v>
      </c>
      <c r="O437">
        <v>-2.5320013046264599E-2</v>
      </c>
      <c r="P437">
        <v>-0.12840948486328099</v>
      </c>
      <c r="Q437">
        <v>0</v>
      </c>
      <c r="R437">
        <v>161.58799999999999</v>
      </c>
      <c r="S437">
        <v>-1.794</v>
      </c>
      <c r="T437">
        <v>0.67700000000000005</v>
      </c>
      <c r="U437">
        <v>0.23300000000000001</v>
      </c>
      <c r="V437" t="b">
        <v>1</v>
      </c>
      <c r="W437" t="s">
        <v>52</v>
      </c>
    </row>
    <row r="438" spans="2:23" x14ac:dyDescent="0.3">
      <c r="B438" s="2">
        <f t="shared" si="6"/>
        <v>10.58332960000007</v>
      </c>
      <c r="C438">
        <v>3232.2586271999999</v>
      </c>
      <c r="D438">
        <v>117</v>
      </c>
      <c r="E438">
        <v>351</v>
      </c>
      <c r="F438">
        <v>111.58799999999999</v>
      </c>
      <c r="G438">
        <v>360.56299999999999</v>
      </c>
      <c r="H438">
        <v>121.059839999999</v>
      </c>
      <c r="I438">
        <v>342.19188000000003</v>
      </c>
      <c r="J438">
        <v>322.13763828690099</v>
      </c>
      <c r="K438">
        <v>0</v>
      </c>
      <c r="L438">
        <v>0</v>
      </c>
      <c r="M438">
        <v>0</v>
      </c>
      <c r="N438">
        <v>0</v>
      </c>
      <c r="O438">
        <v>-2.24321002960205E-2</v>
      </c>
      <c r="P438">
        <v>-0.142402053833007</v>
      </c>
      <c r="Q438">
        <v>0</v>
      </c>
      <c r="R438">
        <v>161.82900000000001</v>
      </c>
      <c r="S438">
        <v>-1.61</v>
      </c>
      <c r="T438">
        <v>1.2E-2</v>
      </c>
      <c r="U438">
        <v>0.20200000000000001</v>
      </c>
      <c r="V438" t="b">
        <v>1</v>
      </c>
      <c r="W438" t="s">
        <v>52</v>
      </c>
    </row>
    <row r="439" spans="2:23" x14ac:dyDescent="0.3">
      <c r="B439" s="2">
        <f t="shared" si="6"/>
        <v>10.598769900000207</v>
      </c>
      <c r="C439">
        <v>3232.2740675</v>
      </c>
      <c r="D439">
        <v>117</v>
      </c>
      <c r="E439">
        <v>351</v>
      </c>
      <c r="F439">
        <v>110.48099999999999</v>
      </c>
      <c r="G439">
        <v>360.43200000000002</v>
      </c>
      <c r="H439">
        <v>120.39431999999999</v>
      </c>
      <c r="I439">
        <v>343.13955999999899</v>
      </c>
      <c r="J439">
        <v>322.13763828690099</v>
      </c>
      <c r="K439">
        <v>0</v>
      </c>
      <c r="L439">
        <v>0</v>
      </c>
      <c r="M439">
        <v>0</v>
      </c>
      <c r="N439">
        <v>0</v>
      </c>
      <c r="O439">
        <v>-2.24321002960205E-2</v>
      </c>
      <c r="P439">
        <v>-0.142402053833007</v>
      </c>
      <c r="Q439">
        <v>0</v>
      </c>
      <c r="R439">
        <v>161.82900000000001</v>
      </c>
      <c r="S439">
        <v>-1.61</v>
      </c>
      <c r="T439">
        <v>1.2E-2</v>
      </c>
      <c r="U439">
        <v>0.20200000000000001</v>
      </c>
      <c r="V439" t="b">
        <v>1</v>
      </c>
      <c r="W439" t="s">
        <v>52</v>
      </c>
    </row>
    <row r="440" spans="2:23" x14ac:dyDescent="0.3">
      <c r="B440" s="2">
        <f t="shared" si="6"/>
        <v>10.614560700000311</v>
      </c>
      <c r="C440">
        <v>3232.2898583000001</v>
      </c>
      <c r="D440">
        <v>117</v>
      </c>
      <c r="E440">
        <v>351</v>
      </c>
      <c r="F440">
        <v>109.128</v>
      </c>
      <c r="G440">
        <v>360.43200000000002</v>
      </c>
      <c r="H440">
        <v>119.67959999999999</v>
      </c>
      <c r="I440">
        <v>344.11344000000003</v>
      </c>
      <c r="J440">
        <v>322.13763828690099</v>
      </c>
      <c r="K440">
        <v>0</v>
      </c>
      <c r="L440">
        <v>0</v>
      </c>
      <c r="M440">
        <v>0</v>
      </c>
      <c r="N440">
        <v>0</v>
      </c>
      <c r="O440">
        <v>-2.24321002960205E-2</v>
      </c>
      <c r="P440">
        <v>-0.142402053833007</v>
      </c>
      <c r="Q440">
        <v>0</v>
      </c>
      <c r="R440">
        <v>161.82900000000001</v>
      </c>
      <c r="S440">
        <v>-1.61</v>
      </c>
      <c r="T440">
        <v>1.2E-2</v>
      </c>
      <c r="U440">
        <v>0.20200000000000001</v>
      </c>
      <c r="V440" t="b">
        <v>1</v>
      </c>
      <c r="W440" t="s">
        <v>52</v>
      </c>
    </row>
    <row r="441" spans="2:23" x14ac:dyDescent="0.3">
      <c r="B441" s="2">
        <f t="shared" si="6"/>
        <v>10.63024680000035</v>
      </c>
      <c r="C441">
        <v>3232.3055444000001</v>
      </c>
      <c r="D441">
        <v>117</v>
      </c>
      <c r="E441">
        <v>351</v>
      </c>
      <c r="F441">
        <v>107.529</v>
      </c>
      <c r="G441">
        <v>360.43200000000002</v>
      </c>
      <c r="H441">
        <v>118.92059999999999</v>
      </c>
      <c r="I441">
        <v>345.16068000000001</v>
      </c>
      <c r="J441">
        <v>322.13763828690099</v>
      </c>
      <c r="K441">
        <v>0</v>
      </c>
      <c r="L441">
        <v>0</v>
      </c>
      <c r="M441">
        <v>0</v>
      </c>
      <c r="N441">
        <v>0</v>
      </c>
      <c r="O441">
        <v>-2.24321002960205E-2</v>
      </c>
      <c r="P441">
        <v>-0.142402053833007</v>
      </c>
      <c r="Q441">
        <v>0</v>
      </c>
      <c r="R441">
        <v>161.82900000000001</v>
      </c>
      <c r="S441">
        <v>-1.61</v>
      </c>
      <c r="T441">
        <v>1.2E-2</v>
      </c>
      <c r="U441">
        <v>0.20200000000000001</v>
      </c>
      <c r="V441" t="b">
        <v>1</v>
      </c>
      <c r="W441" t="s">
        <v>52</v>
      </c>
    </row>
    <row r="442" spans="2:23" x14ac:dyDescent="0.3">
      <c r="B442" s="2">
        <f t="shared" si="6"/>
        <v>10.645605100000012</v>
      </c>
      <c r="C442">
        <v>3232.3209026999998</v>
      </c>
      <c r="D442">
        <v>117</v>
      </c>
      <c r="E442">
        <v>351</v>
      </c>
      <c r="F442">
        <v>105.56100000000001</v>
      </c>
      <c r="G442">
        <v>360.56299999999999</v>
      </c>
      <c r="H442">
        <v>118.0878</v>
      </c>
      <c r="I442">
        <v>346.234119999999</v>
      </c>
      <c r="J442">
        <v>322.13763828690099</v>
      </c>
      <c r="K442">
        <v>0</v>
      </c>
      <c r="L442">
        <v>0</v>
      </c>
      <c r="M442">
        <v>0</v>
      </c>
      <c r="N442">
        <v>0</v>
      </c>
      <c r="O442">
        <v>-2.24321002960205E-2</v>
      </c>
      <c r="P442">
        <v>-0.142402053833007</v>
      </c>
      <c r="Q442">
        <v>0</v>
      </c>
      <c r="R442">
        <v>161.82900000000001</v>
      </c>
      <c r="S442">
        <v>-1.61</v>
      </c>
      <c r="T442">
        <v>1.2E-2</v>
      </c>
      <c r="U442">
        <v>0.20200000000000001</v>
      </c>
      <c r="V442" t="b">
        <v>1</v>
      </c>
      <c r="W442" t="s">
        <v>52</v>
      </c>
    </row>
    <row r="443" spans="2:23" x14ac:dyDescent="0.3">
      <c r="B443" s="2">
        <f t="shared" si="6"/>
        <v>10.661888300000101</v>
      </c>
      <c r="C443">
        <v>3232.3371858999999</v>
      </c>
      <c r="D443">
        <v>117</v>
      </c>
      <c r="E443">
        <v>351</v>
      </c>
      <c r="F443">
        <v>105.56100000000001</v>
      </c>
      <c r="G443">
        <v>360.56299999999999</v>
      </c>
      <c r="H443">
        <v>118.0878</v>
      </c>
      <c r="I443">
        <v>346.234119999999</v>
      </c>
      <c r="J443">
        <v>322.13763828690099</v>
      </c>
      <c r="K443">
        <v>0</v>
      </c>
      <c r="L443">
        <v>0</v>
      </c>
      <c r="M443">
        <v>0</v>
      </c>
      <c r="N443">
        <v>0</v>
      </c>
      <c r="O443">
        <v>-0.27931750488281198</v>
      </c>
      <c r="P443">
        <v>-0.30228652954101498</v>
      </c>
      <c r="Q443">
        <v>0</v>
      </c>
      <c r="R443">
        <v>161.88300000000001</v>
      </c>
      <c r="S443">
        <v>-1.1950000000000001</v>
      </c>
      <c r="T443">
        <v>0.188</v>
      </c>
      <c r="U443">
        <v>0.151</v>
      </c>
      <c r="V443" t="b">
        <v>1</v>
      </c>
      <c r="W443" t="s">
        <v>52</v>
      </c>
    </row>
    <row r="444" spans="2:23" x14ac:dyDescent="0.3">
      <c r="B444" s="2">
        <f t="shared" si="6"/>
        <v>10.67790260000038</v>
      </c>
      <c r="C444">
        <v>3232.3532002000002</v>
      </c>
      <c r="D444">
        <v>117</v>
      </c>
      <c r="E444">
        <v>351</v>
      </c>
      <c r="F444">
        <v>105.56100000000001</v>
      </c>
      <c r="G444">
        <v>360.56299999999999</v>
      </c>
      <c r="H444">
        <v>118.0878</v>
      </c>
      <c r="I444">
        <v>346.234119999999</v>
      </c>
      <c r="J444">
        <v>322.13763828690099</v>
      </c>
      <c r="K444">
        <v>0</v>
      </c>
      <c r="L444">
        <v>0</v>
      </c>
      <c r="M444">
        <v>0</v>
      </c>
      <c r="N444">
        <v>0</v>
      </c>
      <c r="O444">
        <v>-0.27931750488281198</v>
      </c>
      <c r="P444">
        <v>-0.30228652954101498</v>
      </c>
      <c r="Q444">
        <v>0</v>
      </c>
      <c r="R444">
        <v>161.88300000000001</v>
      </c>
      <c r="S444">
        <v>-1.1950000000000001</v>
      </c>
      <c r="T444">
        <v>0.188</v>
      </c>
      <c r="U444">
        <v>0.151</v>
      </c>
      <c r="V444" t="b">
        <v>1</v>
      </c>
      <c r="W444" t="s">
        <v>52</v>
      </c>
    </row>
    <row r="445" spans="2:23" x14ac:dyDescent="0.3">
      <c r="B445" s="2">
        <f t="shared" si="6"/>
        <v>10.693193000000065</v>
      </c>
      <c r="C445">
        <v>3232.3684905999999</v>
      </c>
      <c r="D445">
        <v>117</v>
      </c>
      <c r="E445">
        <v>351</v>
      </c>
      <c r="F445">
        <v>105.56100000000001</v>
      </c>
      <c r="G445">
        <v>360.56299999999999</v>
      </c>
      <c r="H445">
        <v>118.0878</v>
      </c>
      <c r="I445">
        <v>346.234119999999</v>
      </c>
      <c r="J445">
        <v>322.13763828690099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162.02799999999999</v>
      </c>
      <c r="S445">
        <v>-1.776</v>
      </c>
      <c r="T445">
        <v>0.187</v>
      </c>
      <c r="U445">
        <v>0</v>
      </c>
      <c r="V445" t="b">
        <v>0</v>
      </c>
      <c r="W445" t="s">
        <v>52</v>
      </c>
    </row>
    <row r="446" spans="2:23" x14ac:dyDescent="0.3">
      <c r="B446" s="2">
        <f t="shared" si="6"/>
        <v>10.709016600000268</v>
      </c>
      <c r="C446">
        <v>3232.3843142000001</v>
      </c>
      <c r="D446">
        <v>117</v>
      </c>
      <c r="E446">
        <v>351</v>
      </c>
      <c r="F446">
        <v>105.56100000000001</v>
      </c>
      <c r="G446">
        <v>360.56299999999999</v>
      </c>
      <c r="H446">
        <v>118.0878</v>
      </c>
      <c r="I446">
        <v>346.234119999999</v>
      </c>
      <c r="J446">
        <v>322.13763828690099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162.02799999999999</v>
      </c>
      <c r="S446">
        <v>-1.776</v>
      </c>
      <c r="T446">
        <v>0.187</v>
      </c>
      <c r="U446">
        <v>0</v>
      </c>
      <c r="V446" t="b">
        <v>0</v>
      </c>
      <c r="W446" t="s">
        <v>52</v>
      </c>
    </row>
    <row r="447" spans="2:23" x14ac:dyDescent="0.3">
      <c r="B447" s="2">
        <f t="shared" si="6"/>
        <v>10.724044000000049</v>
      </c>
      <c r="C447">
        <v>3232.3993415999998</v>
      </c>
      <c r="D447">
        <v>117</v>
      </c>
      <c r="E447">
        <v>351</v>
      </c>
      <c r="F447">
        <v>105.56100000000001</v>
      </c>
      <c r="G447">
        <v>360.56299999999999</v>
      </c>
      <c r="H447">
        <v>118.0878</v>
      </c>
      <c r="I447">
        <v>346.234119999999</v>
      </c>
      <c r="J447">
        <v>322.13763828690099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162.02799999999999</v>
      </c>
      <c r="S447">
        <v>-1.776</v>
      </c>
      <c r="T447">
        <v>0.187</v>
      </c>
      <c r="U447">
        <v>0</v>
      </c>
      <c r="V447" t="b">
        <v>0</v>
      </c>
      <c r="W447" t="s">
        <v>52</v>
      </c>
    </row>
    <row r="448" spans="2:23" x14ac:dyDescent="0.3">
      <c r="B448" s="2">
        <f t="shared" si="6"/>
        <v>10.756220200000371</v>
      </c>
      <c r="C448">
        <v>3232.4315178000002</v>
      </c>
      <c r="D448">
        <v>117</v>
      </c>
      <c r="E448">
        <v>351</v>
      </c>
      <c r="F448">
        <v>105.56100000000001</v>
      </c>
      <c r="G448">
        <v>360.56299999999999</v>
      </c>
      <c r="H448">
        <v>118.0878</v>
      </c>
      <c r="I448">
        <v>346.234119999999</v>
      </c>
      <c r="J448">
        <v>322.13763828690099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162.672</v>
      </c>
      <c r="S448">
        <v>-0.99399999999999999</v>
      </c>
      <c r="T448">
        <v>-1.0089999999999999</v>
      </c>
      <c r="U448">
        <v>0</v>
      </c>
      <c r="V448" t="b">
        <v>0</v>
      </c>
      <c r="W448" t="s">
        <v>52</v>
      </c>
    </row>
    <row r="449" spans="2:23" x14ac:dyDescent="0.3">
      <c r="B449" s="2">
        <f t="shared" si="6"/>
        <v>10.787308800000119</v>
      </c>
      <c r="C449">
        <v>3232.4626063999999</v>
      </c>
      <c r="D449">
        <v>117</v>
      </c>
      <c r="E449">
        <v>351</v>
      </c>
      <c r="F449">
        <v>105.56100000000001</v>
      </c>
      <c r="G449">
        <v>360.56299999999999</v>
      </c>
      <c r="H449">
        <v>118.0878</v>
      </c>
      <c r="I449">
        <v>346.234119999999</v>
      </c>
      <c r="J449">
        <v>322.13763828690099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162.78800000000001</v>
      </c>
      <c r="S449">
        <v>-0.81799999999999995</v>
      </c>
      <c r="T449">
        <v>-9.6000000000000002E-2</v>
      </c>
      <c r="U449">
        <v>0</v>
      </c>
      <c r="V449" t="b">
        <v>0</v>
      </c>
      <c r="W449" t="s">
        <v>52</v>
      </c>
    </row>
    <row r="450" spans="2:23" x14ac:dyDescent="0.3">
      <c r="B450" s="2">
        <f t="shared" si="6"/>
        <v>10.833230000000185</v>
      </c>
      <c r="C450">
        <v>3232.5085276</v>
      </c>
      <c r="D450">
        <v>117</v>
      </c>
      <c r="E450">
        <v>351</v>
      </c>
      <c r="F450">
        <v>105.56100000000001</v>
      </c>
      <c r="G450">
        <v>360.56299999999999</v>
      </c>
      <c r="H450">
        <v>118.0878</v>
      </c>
      <c r="I450">
        <v>346.234119999999</v>
      </c>
      <c r="J450">
        <v>322.13763828690099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162.78800000000001</v>
      </c>
      <c r="S450">
        <v>-0.81799999999999995</v>
      </c>
      <c r="T450">
        <v>-9.6000000000000002E-2</v>
      </c>
      <c r="U450">
        <v>0</v>
      </c>
      <c r="V450" t="b">
        <v>0</v>
      </c>
      <c r="W450" t="s">
        <v>52</v>
      </c>
    </row>
    <row r="451" spans="2:23" x14ac:dyDescent="0.3">
      <c r="B451" s="2">
        <f t="shared" si="6"/>
        <v>10.848908600000414</v>
      </c>
      <c r="C451">
        <v>3232.5242062000002</v>
      </c>
      <c r="D451">
        <v>117</v>
      </c>
      <c r="E451">
        <v>351</v>
      </c>
      <c r="F451">
        <v>105.56100000000001</v>
      </c>
      <c r="G451">
        <v>360.56299999999999</v>
      </c>
      <c r="H451">
        <v>118.0878</v>
      </c>
      <c r="I451">
        <v>346.234119999999</v>
      </c>
      <c r="J451">
        <v>322.13763828690099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162.78800000000001</v>
      </c>
      <c r="S451">
        <v>-0.81799999999999995</v>
      </c>
      <c r="T451">
        <v>-9.6000000000000002E-2</v>
      </c>
      <c r="U451">
        <v>0</v>
      </c>
      <c r="V451" t="b">
        <v>0</v>
      </c>
      <c r="W451" t="s">
        <v>52</v>
      </c>
    </row>
    <row r="452" spans="2:23" x14ac:dyDescent="0.3">
      <c r="B452" s="2">
        <f t="shared" ref="B452:B515" si="7">C452-$C$3</f>
        <v>10.895104500000343</v>
      </c>
      <c r="C452">
        <v>3232.5704021000001</v>
      </c>
      <c r="D452">
        <v>117</v>
      </c>
      <c r="E452">
        <v>351</v>
      </c>
      <c r="F452">
        <v>105.56100000000001</v>
      </c>
      <c r="G452">
        <v>360.56299999999999</v>
      </c>
      <c r="H452">
        <v>118.0878</v>
      </c>
      <c r="I452">
        <v>346.234119999999</v>
      </c>
      <c r="J452">
        <v>322.13763828690099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162.81800000000001</v>
      </c>
      <c r="S452">
        <v>-0.64300000000000002</v>
      </c>
      <c r="T452">
        <v>-0.13900000000000001</v>
      </c>
      <c r="U452">
        <v>0</v>
      </c>
      <c r="V452" t="b">
        <v>0</v>
      </c>
      <c r="W452" t="s">
        <v>52</v>
      </c>
    </row>
    <row r="453" spans="2:23" x14ac:dyDescent="0.3">
      <c r="B453" s="2">
        <f t="shared" si="7"/>
        <v>10.926145600000382</v>
      </c>
      <c r="C453">
        <v>3232.6014432000002</v>
      </c>
      <c r="D453">
        <v>117</v>
      </c>
      <c r="E453">
        <v>351</v>
      </c>
      <c r="F453">
        <v>105.56100000000001</v>
      </c>
      <c r="G453">
        <v>360.56299999999999</v>
      </c>
      <c r="H453">
        <v>118.0878</v>
      </c>
      <c r="I453">
        <v>346.234119999999</v>
      </c>
      <c r="J453">
        <v>322.13763828690099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162.81800000000001</v>
      </c>
      <c r="S453">
        <v>-0.64300000000000002</v>
      </c>
      <c r="T453">
        <v>-0.13900000000000001</v>
      </c>
      <c r="U453">
        <v>0</v>
      </c>
      <c r="V453" t="b">
        <v>0</v>
      </c>
      <c r="W453" t="s">
        <v>52</v>
      </c>
    </row>
    <row r="454" spans="2:23" x14ac:dyDescent="0.3">
      <c r="B454" s="2">
        <f t="shared" si="7"/>
        <v>10.942143000000215</v>
      </c>
      <c r="C454">
        <v>3232.6174406</v>
      </c>
      <c r="D454">
        <v>117</v>
      </c>
      <c r="E454">
        <v>351</v>
      </c>
      <c r="F454">
        <v>105.56100000000001</v>
      </c>
      <c r="G454">
        <v>360.56299999999999</v>
      </c>
      <c r="H454">
        <v>118.0878</v>
      </c>
      <c r="I454">
        <v>346.234119999999</v>
      </c>
      <c r="J454">
        <v>322.13763828690099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162.82400000000001</v>
      </c>
      <c r="S454">
        <v>-0.59</v>
      </c>
      <c r="T454">
        <v>-0.27400000000000002</v>
      </c>
      <c r="U454">
        <v>0</v>
      </c>
      <c r="V454" t="b">
        <v>0</v>
      </c>
      <c r="W454" t="s">
        <v>52</v>
      </c>
    </row>
    <row r="455" spans="2:23" x14ac:dyDescent="0.3">
      <c r="B455" s="2">
        <f t="shared" si="7"/>
        <v>10.973500700000386</v>
      </c>
      <c r="C455">
        <v>3232.6487983000002</v>
      </c>
      <c r="D455">
        <v>117</v>
      </c>
      <c r="E455">
        <v>351</v>
      </c>
      <c r="F455">
        <v>105.56100000000001</v>
      </c>
      <c r="G455">
        <v>360.56299999999999</v>
      </c>
      <c r="H455">
        <v>118.0878</v>
      </c>
      <c r="I455">
        <v>346.234119999999</v>
      </c>
      <c r="J455">
        <v>322.13763828690099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162.82400000000001</v>
      </c>
      <c r="S455">
        <v>-0.59</v>
      </c>
      <c r="T455">
        <v>-0.27400000000000002</v>
      </c>
      <c r="U455">
        <v>0</v>
      </c>
      <c r="V455" t="b">
        <v>0</v>
      </c>
      <c r="W455" t="s">
        <v>52</v>
      </c>
    </row>
    <row r="456" spans="2:23" x14ac:dyDescent="0.3">
      <c r="B456" s="2">
        <f t="shared" si="7"/>
        <v>11.019185500000276</v>
      </c>
      <c r="C456">
        <v>3232.6944831000001</v>
      </c>
      <c r="D456">
        <v>117</v>
      </c>
      <c r="E456">
        <v>351</v>
      </c>
      <c r="F456">
        <v>105.56100000000001</v>
      </c>
      <c r="G456">
        <v>360.56299999999999</v>
      </c>
      <c r="H456">
        <v>118.0878</v>
      </c>
      <c r="I456">
        <v>346.234119999999</v>
      </c>
      <c r="J456">
        <v>322.13763828690099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162.82499999999999</v>
      </c>
      <c r="S456">
        <v>-0.57999999999999996</v>
      </c>
      <c r="T456">
        <v>-0.32800000000000001</v>
      </c>
      <c r="U456">
        <v>0</v>
      </c>
      <c r="V456" t="b">
        <v>0</v>
      </c>
      <c r="W456" t="s">
        <v>52</v>
      </c>
    </row>
    <row r="457" spans="2:23" x14ac:dyDescent="0.3">
      <c r="B457" s="2">
        <f t="shared" si="7"/>
        <v>11.034989600000245</v>
      </c>
      <c r="C457">
        <v>3232.7102872</v>
      </c>
      <c r="D457">
        <v>117</v>
      </c>
      <c r="E457">
        <v>351</v>
      </c>
      <c r="F457">
        <v>105.56100000000001</v>
      </c>
      <c r="G457">
        <v>360.56299999999999</v>
      </c>
      <c r="H457">
        <v>118.0878</v>
      </c>
      <c r="I457">
        <v>346.234119999999</v>
      </c>
      <c r="J457">
        <v>322.13763828690099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162.82499999999999</v>
      </c>
      <c r="S457">
        <v>-0.57999999999999996</v>
      </c>
      <c r="T457">
        <v>-0.32800000000000001</v>
      </c>
      <c r="U457">
        <v>0</v>
      </c>
      <c r="V457" t="b">
        <v>0</v>
      </c>
      <c r="W457" t="s">
        <v>52</v>
      </c>
    </row>
    <row r="458" spans="2:23" x14ac:dyDescent="0.3">
      <c r="B458" s="2">
        <f t="shared" si="7"/>
        <v>11.082045999999991</v>
      </c>
      <c r="C458">
        <v>3232.7573435999998</v>
      </c>
      <c r="D458">
        <v>117</v>
      </c>
      <c r="E458">
        <v>351</v>
      </c>
      <c r="F458">
        <v>105.56100000000001</v>
      </c>
      <c r="G458">
        <v>360.56299999999999</v>
      </c>
      <c r="H458">
        <v>118.0878</v>
      </c>
      <c r="I458">
        <v>346.234119999999</v>
      </c>
      <c r="J458">
        <v>322.13763828690099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162.82499999999999</v>
      </c>
      <c r="S458">
        <v>-0.55100000000000005</v>
      </c>
      <c r="T458">
        <v>-0.32100000000000001</v>
      </c>
      <c r="U458">
        <v>0</v>
      </c>
      <c r="V458" t="b">
        <v>0</v>
      </c>
      <c r="W458" t="s">
        <v>52</v>
      </c>
    </row>
    <row r="459" spans="2:23" x14ac:dyDescent="0.3">
      <c r="B459" s="2">
        <f t="shared" si="7"/>
        <v>11.1128262000002</v>
      </c>
      <c r="C459">
        <v>3232.7881238</v>
      </c>
      <c r="D459">
        <v>117</v>
      </c>
      <c r="E459">
        <v>351</v>
      </c>
      <c r="F459">
        <v>105.56100000000001</v>
      </c>
      <c r="G459">
        <v>360.56299999999999</v>
      </c>
      <c r="H459">
        <v>118.0878</v>
      </c>
      <c r="I459">
        <v>346.234119999999</v>
      </c>
      <c r="J459">
        <v>322.13763828690099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162.82499999999999</v>
      </c>
      <c r="S459">
        <v>-0.55100000000000005</v>
      </c>
      <c r="T459">
        <v>-0.32100000000000001</v>
      </c>
      <c r="U459">
        <v>0</v>
      </c>
      <c r="V459" t="b">
        <v>0</v>
      </c>
      <c r="W459" t="s">
        <v>52</v>
      </c>
    </row>
    <row r="460" spans="2:23" x14ac:dyDescent="0.3">
      <c r="B460" s="2">
        <f t="shared" si="7"/>
        <v>11.143854800000099</v>
      </c>
      <c r="C460">
        <v>3232.8191523999999</v>
      </c>
      <c r="D460">
        <v>117</v>
      </c>
      <c r="E460">
        <v>351</v>
      </c>
      <c r="F460">
        <v>105.56100000000001</v>
      </c>
      <c r="G460">
        <v>360.56299999999999</v>
      </c>
      <c r="H460">
        <v>118.0878</v>
      </c>
      <c r="I460">
        <v>346.234119999999</v>
      </c>
      <c r="J460">
        <v>322.13763828690099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162.82300000000001</v>
      </c>
      <c r="S460">
        <v>-0.51800000000000002</v>
      </c>
      <c r="T460">
        <v>-0.29899999999999999</v>
      </c>
      <c r="U460">
        <v>0</v>
      </c>
      <c r="V460" t="b">
        <v>0</v>
      </c>
      <c r="W460" t="s">
        <v>52</v>
      </c>
    </row>
    <row r="461" spans="2:23" x14ac:dyDescent="0.3">
      <c r="B461" s="2">
        <f t="shared" si="7"/>
        <v>11.175350700000308</v>
      </c>
      <c r="C461">
        <v>3232.8506483000001</v>
      </c>
      <c r="D461">
        <v>117</v>
      </c>
      <c r="E461">
        <v>351</v>
      </c>
      <c r="F461">
        <v>105.56100000000001</v>
      </c>
      <c r="G461">
        <v>360.56299999999999</v>
      </c>
      <c r="H461">
        <v>118.0878</v>
      </c>
      <c r="I461">
        <v>346.234119999999</v>
      </c>
      <c r="J461">
        <v>322.13763828690099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162.82300000000001</v>
      </c>
      <c r="S461">
        <v>-0.51800000000000002</v>
      </c>
      <c r="T461">
        <v>-0.29899999999999999</v>
      </c>
      <c r="U461">
        <v>0</v>
      </c>
      <c r="V461" t="b">
        <v>0</v>
      </c>
      <c r="W461" t="s">
        <v>52</v>
      </c>
    </row>
    <row r="462" spans="2:23" x14ac:dyDescent="0.3">
      <c r="B462" s="2">
        <f t="shared" si="7"/>
        <v>11.206693400000404</v>
      </c>
      <c r="C462">
        <v>3232.8819910000002</v>
      </c>
      <c r="D462">
        <v>117</v>
      </c>
      <c r="E462">
        <v>351</v>
      </c>
      <c r="F462">
        <v>105.56100000000001</v>
      </c>
      <c r="G462">
        <v>360.56299999999999</v>
      </c>
      <c r="H462">
        <v>118.0878</v>
      </c>
      <c r="I462">
        <v>346.234119999999</v>
      </c>
      <c r="J462">
        <v>322.13763828690099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162.828</v>
      </c>
      <c r="S462">
        <v>-0.49399999999999999</v>
      </c>
      <c r="T462">
        <v>-0.29399999999999998</v>
      </c>
      <c r="U462">
        <v>0</v>
      </c>
      <c r="V462" t="b">
        <v>0</v>
      </c>
      <c r="W462" t="s">
        <v>52</v>
      </c>
    </row>
    <row r="463" spans="2:23" x14ac:dyDescent="0.3">
      <c r="B463" s="2">
        <f t="shared" si="7"/>
        <v>11.237335799999983</v>
      </c>
      <c r="C463">
        <v>3232.9126333999998</v>
      </c>
      <c r="D463">
        <v>117</v>
      </c>
      <c r="E463">
        <v>351</v>
      </c>
      <c r="F463">
        <v>105.56100000000001</v>
      </c>
      <c r="G463">
        <v>360.56299999999999</v>
      </c>
      <c r="H463">
        <v>118.0878</v>
      </c>
      <c r="I463">
        <v>346.234119999999</v>
      </c>
      <c r="J463">
        <v>322.13763828690099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162.828</v>
      </c>
      <c r="S463">
        <v>-0.49399999999999999</v>
      </c>
      <c r="T463">
        <v>-0.29399999999999998</v>
      </c>
      <c r="U463">
        <v>0</v>
      </c>
      <c r="V463" t="b">
        <v>0</v>
      </c>
      <c r="W463" t="s">
        <v>52</v>
      </c>
    </row>
    <row r="464" spans="2:23" x14ac:dyDescent="0.3">
      <c r="B464" s="2">
        <f t="shared" si="7"/>
        <v>11.284025600000405</v>
      </c>
      <c r="C464">
        <v>3232.9593232000002</v>
      </c>
      <c r="D464">
        <v>117</v>
      </c>
      <c r="E464">
        <v>351</v>
      </c>
      <c r="F464">
        <v>105.56100000000001</v>
      </c>
      <c r="G464">
        <v>360.56299999999999</v>
      </c>
      <c r="H464">
        <v>118.0878</v>
      </c>
      <c r="I464">
        <v>346.234119999999</v>
      </c>
      <c r="J464">
        <v>322.13763828690099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162.83699999999999</v>
      </c>
      <c r="S464">
        <v>-0.47699999999999998</v>
      </c>
      <c r="T464">
        <v>-0.309</v>
      </c>
      <c r="U464">
        <v>0</v>
      </c>
      <c r="V464" t="b">
        <v>0</v>
      </c>
      <c r="W464" t="s">
        <v>52</v>
      </c>
    </row>
    <row r="465" spans="2:23" x14ac:dyDescent="0.3">
      <c r="B465" s="2">
        <f t="shared" si="7"/>
        <v>11.314848700000312</v>
      </c>
      <c r="C465">
        <v>3232.9901463000001</v>
      </c>
      <c r="D465">
        <v>117</v>
      </c>
      <c r="E465">
        <v>351</v>
      </c>
      <c r="F465">
        <v>105.56100000000001</v>
      </c>
      <c r="G465">
        <v>360.56299999999999</v>
      </c>
      <c r="H465">
        <v>118.0878</v>
      </c>
      <c r="I465">
        <v>346.234119999999</v>
      </c>
      <c r="J465">
        <v>322.13763828690099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162.83699999999999</v>
      </c>
      <c r="S465">
        <v>-0.47699999999999998</v>
      </c>
      <c r="T465">
        <v>-0.309</v>
      </c>
      <c r="U465">
        <v>0</v>
      </c>
      <c r="V465" t="b">
        <v>0</v>
      </c>
      <c r="W465" t="s">
        <v>52</v>
      </c>
    </row>
    <row r="466" spans="2:23" x14ac:dyDescent="0.3">
      <c r="B466" s="2">
        <f t="shared" si="7"/>
        <v>11.345894600000065</v>
      </c>
      <c r="C466">
        <v>3233.0211921999999</v>
      </c>
      <c r="D466">
        <v>117</v>
      </c>
      <c r="E466">
        <v>351</v>
      </c>
      <c r="F466">
        <v>105.56100000000001</v>
      </c>
      <c r="G466">
        <v>360.56299999999999</v>
      </c>
      <c r="H466">
        <v>118.0878</v>
      </c>
      <c r="I466">
        <v>346.234119999999</v>
      </c>
      <c r="J466">
        <v>322.13763828690099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162.84399999999999</v>
      </c>
      <c r="S466">
        <v>-0.45300000000000001</v>
      </c>
      <c r="T466">
        <v>-0.33300000000000002</v>
      </c>
      <c r="U466">
        <v>0</v>
      </c>
      <c r="V466" t="b">
        <v>0</v>
      </c>
      <c r="W466" t="s">
        <v>52</v>
      </c>
    </row>
    <row r="467" spans="2:23" x14ac:dyDescent="0.3">
      <c r="B467" s="2">
        <f t="shared" si="7"/>
        <v>11.377582900000107</v>
      </c>
      <c r="C467">
        <v>3233.0528804999999</v>
      </c>
      <c r="D467">
        <v>117</v>
      </c>
      <c r="E467">
        <v>351</v>
      </c>
      <c r="F467">
        <v>105.56100000000001</v>
      </c>
      <c r="G467">
        <v>360.56299999999999</v>
      </c>
      <c r="H467">
        <v>118.0878</v>
      </c>
      <c r="I467">
        <v>346.234119999999</v>
      </c>
      <c r="J467">
        <v>322.13763828690099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162.84399999999999</v>
      </c>
      <c r="S467">
        <v>-0.45300000000000001</v>
      </c>
      <c r="T467">
        <v>-0.33300000000000002</v>
      </c>
      <c r="U467">
        <v>0</v>
      </c>
      <c r="V467" t="b">
        <v>0</v>
      </c>
      <c r="W467" t="s">
        <v>52</v>
      </c>
    </row>
    <row r="468" spans="2:23" x14ac:dyDescent="0.3">
      <c r="B468" s="2">
        <f t="shared" si="7"/>
        <v>11.408712500000092</v>
      </c>
      <c r="C468">
        <v>3233.0840100999999</v>
      </c>
      <c r="D468">
        <v>117</v>
      </c>
      <c r="E468">
        <v>351</v>
      </c>
      <c r="F468">
        <v>105.56100000000001</v>
      </c>
      <c r="G468">
        <v>360.56299999999999</v>
      </c>
      <c r="H468">
        <v>118.0878</v>
      </c>
      <c r="I468">
        <v>346.234119999999</v>
      </c>
      <c r="J468">
        <v>322.13763828690099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162.84100000000001</v>
      </c>
      <c r="S468">
        <v>-0.42</v>
      </c>
      <c r="T468">
        <v>-0.35299999999999998</v>
      </c>
      <c r="U468">
        <v>0</v>
      </c>
      <c r="V468" t="b">
        <v>0</v>
      </c>
      <c r="W468" t="s">
        <v>52</v>
      </c>
    </row>
    <row r="469" spans="2:23" x14ac:dyDescent="0.3">
      <c r="B469" s="2">
        <f t="shared" si="7"/>
        <v>11.424737800000003</v>
      </c>
      <c r="C469">
        <v>3233.1000353999998</v>
      </c>
      <c r="D469">
        <v>117</v>
      </c>
      <c r="E469">
        <v>351</v>
      </c>
      <c r="F469">
        <v>105.56100000000001</v>
      </c>
      <c r="G469">
        <v>360.56299999999999</v>
      </c>
      <c r="H469">
        <v>118.0878</v>
      </c>
      <c r="I469">
        <v>346.234119999999</v>
      </c>
      <c r="J469">
        <v>322.13763828690099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162.84100000000001</v>
      </c>
      <c r="S469">
        <v>-0.42</v>
      </c>
      <c r="T469">
        <v>-0.35299999999999998</v>
      </c>
      <c r="U469">
        <v>0</v>
      </c>
      <c r="V469" t="b">
        <v>0</v>
      </c>
      <c r="W469" t="s">
        <v>52</v>
      </c>
    </row>
    <row r="470" spans="2:23" x14ac:dyDescent="0.3">
      <c r="B470" s="2">
        <f t="shared" si="7"/>
        <v>11.47156490000043</v>
      </c>
      <c r="C470">
        <v>3233.1468625000002</v>
      </c>
      <c r="D470">
        <v>117</v>
      </c>
      <c r="E470">
        <v>351</v>
      </c>
      <c r="F470">
        <v>105.56100000000001</v>
      </c>
      <c r="G470">
        <v>360.56299999999999</v>
      </c>
      <c r="H470">
        <v>118.0878</v>
      </c>
      <c r="I470">
        <v>346.234119999999</v>
      </c>
      <c r="J470">
        <v>322.13763828690099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162.845</v>
      </c>
      <c r="S470">
        <v>-0.39500000000000002</v>
      </c>
      <c r="T470">
        <v>-0.35699999999999998</v>
      </c>
      <c r="U470">
        <v>0</v>
      </c>
      <c r="V470" t="b">
        <v>0</v>
      </c>
      <c r="W470" t="s">
        <v>52</v>
      </c>
    </row>
    <row r="471" spans="2:23" x14ac:dyDescent="0.3">
      <c r="B471" s="2">
        <f t="shared" si="7"/>
        <v>11.502535600000101</v>
      </c>
      <c r="C471">
        <v>3233.1778331999999</v>
      </c>
      <c r="D471">
        <v>117</v>
      </c>
      <c r="E471">
        <v>351</v>
      </c>
      <c r="F471">
        <v>105.56100000000001</v>
      </c>
      <c r="G471">
        <v>360.56299999999999</v>
      </c>
      <c r="H471">
        <v>118.0878</v>
      </c>
      <c r="I471">
        <v>346.234119999999</v>
      </c>
      <c r="J471">
        <v>322.13763828690099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162.845</v>
      </c>
      <c r="S471">
        <v>-0.39500000000000002</v>
      </c>
      <c r="T471">
        <v>-0.35699999999999998</v>
      </c>
      <c r="U471">
        <v>0</v>
      </c>
      <c r="V471" t="b">
        <v>0</v>
      </c>
      <c r="W471" t="s">
        <v>52</v>
      </c>
    </row>
    <row r="472" spans="2:23" x14ac:dyDescent="0.3">
      <c r="B472" s="2">
        <f t="shared" si="7"/>
        <v>11.534924500000216</v>
      </c>
      <c r="C472">
        <v>3233.2102221</v>
      </c>
      <c r="D472">
        <v>117</v>
      </c>
      <c r="E472">
        <v>351</v>
      </c>
      <c r="F472">
        <v>105.56100000000001</v>
      </c>
      <c r="G472">
        <v>360.56299999999999</v>
      </c>
      <c r="H472">
        <v>118.0878</v>
      </c>
      <c r="I472">
        <v>346.234119999999</v>
      </c>
      <c r="J472">
        <v>322.13763828690099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162.851</v>
      </c>
      <c r="S472">
        <v>-0.36699999999999999</v>
      </c>
      <c r="T472">
        <v>-0.35699999999999998</v>
      </c>
      <c r="U472">
        <v>0</v>
      </c>
      <c r="V472" t="b">
        <v>0</v>
      </c>
      <c r="W472" t="s">
        <v>52</v>
      </c>
    </row>
    <row r="473" spans="2:23" x14ac:dyDescent="0.3">
      <c r="B473" s="2">
        <f t="shared" si="7"/>
        <v>11.565958300000148</v>
      </c>
      <c r="C473">
        <v>3233.2412558999999</v>
      </c>
      <c r="D473">
        <v>117</v>
      </c>
      <c r="E473">
        <v>351</v>
      </c>
      <c r="F473">
        <v>105.56100000000001</v>
      </c>
      <c r="G473">
        <v>360.56299999999999</v>
      </c>
      <c r="H473">
        <v>118.0878</v>
      </c>
      <c r="I473">
        <v>346.234119999999</v>
      </c>
      <c r="J473">
        <v>322.13763828690099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162.851</v>
      </c>
      <c r="S473">
        <v>-0.36699999999999999</v>
      </c>
      <c r="T473">
        <v>-0.35699999999999998</v>
      </c>
      <c r="U473">
        <v>0</v>
      </c>
      <c r="V473" t="b">
        <v>0</v>
      </c>
      <c r="W473" t="s">
        <v>52</v>
      </c>
    </row>
    <row r="474" spans="2:23" x14ac:dyDescent="0.3">
      <c r="B474" s="2">
        <f t="shared" si="7"/>
        <v>11.59783920000018</v>
      </c>
      <c r="C474">
        <v>3233.2731368</v>
      </c>
      <c r="D474">
        <v>117</v>
      </c>
      <c r="E474">
        <v>351</v>
      </c>
      <c r="F474">
        <v>105.56100000000001</v>
      </c>
      <c r="G474">
        <v>360.56299999999999</v>
      </c>
      <c r="H474">
        <v>118.0878</v>
      </c>
      <c r="I474">
        <v>346.234119999999</v>
      </c>
      <c r="J474">
        <v>322.13763828690099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162.85300000000001</v>
      </c>
      <c r="S474">
        <v>-0.33400000000000002</v>
      </c>
      <c r="T474">
        <v>-0.36199999999999999</v>
      </c>
      <c r="U474">
        <v>0</v>
      </c>
      <c r="V474" t="b">
        <v>0</v>
      </c>
      <c r="W474" t="s">
        <v>52</v>
      </c>
    </row>
    <row r="475" spans="2:23" x14ac:dyDescent="0.3">
      <c r="B475" s="2">
        <f t="shared" si="7"/>
        <v>11.644704600000296</v>
      </c>
      <c r="C475">
        <v>3233.3200022000001</v>
      </c>
      <c r="D475">
        <v>117</v>
      </c>
      <c r="E475">
        <v>351</v>
      </c>
      <c r="F475">
        <v>105.56100000000001</v>
      </c>
      <c r="G475">
        <v>360.56299999999999</v>
      </c>
      <c r="H475">
        <v>118.0878</v>
      </c>
      <c r="I475">
        <v>346.234119999999</v>
      </c>
      <c r="J475">
        <v>322.13763828690099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162.85300000000001</v>
      </c>
      <c r="S475">
        <v>-0.33400000000000002</v>
      </c>
      <c r="T475">
        <v>-0.36199999999999999</v>
      </c>
      <c r="U475">
        <v>0</v>
      </c>
      <c r="V475" t="b">
        <v>0</v>
      </c>
      <c r="W475" t="s">
        <v>52</v>
      </c>
    </row>
    <row r="476" spans="2:23" x14ac:dyDescent="0.3">
      <c r="B476" s="2">
        <f t="shared" si="7"/>
        <v>11.675825900000291</v>
      </c>
      <c r="C476">
        <v>3233.3511235000001</v>
      </c>
      <c r="D476">
        <v>117</v>
      </c>
      <c r="E476">
        <v>351</v>
      </c>
      <c r="F476">
        <v>105.56100000000001</v>
      </c>
      <c r="G476">
        <v>360.56299999999999</v>
      </c>
      <c r="H476">
        <v>118.0878</v>
      </c>
      <c r="I476">
        <v>346.234119999999</v>
      </c>
      <c r="J476">
        <v>322.13763828690099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162.85599999999999</v>
      </c>
      <c r="S476">
        <v>-0.30399999999999999</v>
      </c>
      <c r="T476">
        <v>-0.36699999999999999</v>
      </c>
      <c r="U476">
        <v>0</v>
      </c>
      <c r="V476" t="b">
        <v>0</v>
      </c>
      <c r="W476" t="s">
        <v>52</v>
      </c>
    </row>
    <row r="477" spans="2:23" x14ac:dyDescent="0.3">
      <c r="B477" s="2">
        <f t="shared" si="7"/>
        <v>11.706475600000431</v>
      </c>
      <c r="C477">
        <v>3233.3817732000002</v>
      </c>
      <c r="D477">
        <v>117</v>
      </c>
      <c r="E477">
        <v>351</v>
      </c>
      <c r="F477">
        <v>105.56100000000001</v>
      </c>
      <c r="G477">
        <v>360.56299999999999</v>
      </c>
      <c r="H477">
        <v>118.0878</v>
      </c>
      <c r="I477">
        <v>346.234119999999</v>
      </c>
      <c r="J477">
        <v>322.13763828690099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162.85599999999999</v>
      </c>
      <c r="S477">
        <v>-0.30399999999999999</v>
      </c>
      <c r="T477">
        <v>-0.36699999999999999</v>
      </c>
      <c r="U477">
        <v>0</v>
      </c>
      <c r="V477" t="b">
        <v>0</v>
      </c>
      <c r="W477" t="s">
        <v>52</v>
      </c>
    </row>
    <row r="478" spans="2:23" x14ac:dyDescent="0.3">
      <c r="B478" s="2">
        <f t="shared" si="7"/>
        <v>11.737749000000349</v>
      </c>
      <c r="C478">
        <v>3233.4130466000001</v>
      </c>
      <c r="D478">
        <v>117</v>
      </c>
      <c r="E478">
        <v>351</v>
      </c>
      <c r="F478">
        <v>105.56100000000001</v>
      </c>
      <c r="G478">
        <v>360.56299999999999</v>
      </c>
      <c r="H478">
        <v>118.0878</v>
      </c>
      <c r="I478">
        <v>346.234119999999</v>
      </c>
      <c r="J478">
        <v>322.13763828690099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162.857</v>
      </c>
      <c r="S478">
        <v>-0.26400000000000001</v>
      </c>
      <c r="T478">
        <v>-0.374</v>
      </c>
      <c r="U478">
        <v>0</v>
      </c>
      <c r="V478" t="b">
        <v>0</v>
      </c>
      <c r="W478" t="s">
        <v>52</v>
      </c>
    </row>
    <row r="479" spans="2:23" x14ac:dyDescent="0.3">
      <c r="B479" s="2">
        <f t="shared" si="7"/>
        <v>11.76921160000029</v>
      </c>
      <c r="C479">
        <v>3233.4445092000001</v>
      </c>
      <c r="D479">
        <v>117</v>
      </c>
      <c r="E479">
        <v>351</v>
      </c>
      <c r="F479">
        <v>105.56100000000001</v>
      </c>
      <c r="G479">
        <v>360.56299999999999</v>
      </c>
      <c r="H479">
        <v>118.0878</v>
      </c>
      <c r="I479">
        <v>346.234119999999</v>
      </c>
      <c r="J479">
        <v>322.13763828690099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162.857</v>
      </c>
      <c r="S479">
        <v>-0.26400000000000001</v>
      </c>
      <c r="T479">
        <v>-0.374</v>
      </c>
      <c r="U479">
        <v>0</v>
      </c>
      <c r="V479" t="b">
        <v>0</v>
      </c>
      <c r="W479" t="s">
        <v>52</v>
      </c>
    </row>
    <row r="480" spans="2:23" x14ac:dyDescent="0.3">
      <c r="B480" s="2">
        <f t="shared" si="7"/>
        <v>11.800858600000083</v>
      </c>
      <c r="C480">
        <v>3233.4761561999999</v>
      </c>
      <c r="D480">
        <v>117</v>
      </c>
      <c r="E480">
        <v>351</v>
      </c>
      <c r="F480">
        <v>105.56100000000001</v>
      </c>
      <c r="G480">
        <v>360.56299999999999</v>
      </c>
      <c r="H480">
        <v>118.0878</v>
      </c>
      <c r="I480">
        <v>346.234119999999</v>
      </c>
      <c r="J480">
        <v>322.13763828690099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162.86000000000001</v>
      </c>
      <c r="S480">
        <v>-0.22600000000000001</v>
      </c>
      <c r="T480">
        <v>-0.38400000000000001</v>
      </c>
      <c r="U480">
        <v>0</v>
      </c>
      <c r="V480" t="b">
        <v>0</v>
      </c>
      <c r="W480" t="s">
        <v>52</v>
      </c>
    </row>
    <row r="481" spans="2:23" x14ac:dyDescent="0.3">
      <c r="B481" s="2">
        <f t="shared" si="7"/>
        <v>11.832110300000295</v>
      </c>
      <c r="C481">
        <v>3233.5074079000001</v>
      </c>
      <c r="D481">
        <v>117</v>
      </c>
      <c r="E481">
        <v>351</v>
      </c>
      <c r="F481">
        <v>105.56100000000001</v>
      </c>
      <c r="G481">
        <v>360.56299999999999</v>
      </c>
      <c r="H481">
        <v>118.0878</v>
      </c>
      <c r="I481">
        <v>346.234119999999</v>
      </c>
      <c r="J481">
        <v>322.13763828690099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162.86000000000001</v>
      </c>
      <c r="S481">
        <v>-0.22600000000000001</v>
      </c>
      <c r="T481">
        <v>-0.38400000000000001</v>
      </c>
      <c r="U481">
        <v>0</v>
      </c>
      <c r="V481" t="b">
        <v>0</v>
      </c>
      <c r="W481" t="s">
        <v>52</v>
      </c>
    </row>
    <row r="482" spans="2:23" x14ac:dyDescent="0.3">
      <c r="B482" s="2">
        <f t="shared" si="7"/>
        <v>11.847406900000351</v>
      </c>
      <c r="C482">
        <v>3233.5227045000001</v>
      </c>
      <c r="D482">
        <v>117</v>
      </c>
      <c r="E482">
        <v>351</v>
      </c>
      <c r="F482">
        <v>105.56100000000001</v>
      </c>
      <c r="G482">
        <v>360.56299999999999</v>
      </c>
      <c r="H482">
        <v>118.0878</v>
      </c>
      <c r="I482">
        <v>346.234119999999</v>
      </c>
      <c r="J482">
        <v>322.13763828690099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162.863</v>
      </c>
      <c r="S482">
        <v>-0.19600000000000001</v>
      </c>
      <c r="T482">
        <v>-0.39200000000000002</v>
      </c>
      <c r="U482">
        <v>0</v>
      </c>
      <c r="V482" t="b">
        <v>0</v>
      </c>
      <c r="W482" t="s">
        <v>52</v>
      </c>
    </row>
    <row r="483" spans="2:23" x14ac:dyDescent="0.3">
      <c r="B483" s="2">
        <f t="shared" si="7"/>
        <v>11.894228900000144</v>
      </c>
      <c r="C483">
        <v>3233.5695264999999</v>
      </c>
      <c r="D483">
        <v>117</v>
      </c>
      <c r="E483">
        <v>351</v>
      </c>
      <c r="F483">
        <v>105.56100000000001</v>
      </c>
      <c r="G483">
        <v>360.56299999999999</v>
      </c>
      <c r="H483">
        <v>118.0878</v>
      </c>
      <c r="I483">
        <v>346.234119999999</v>
      </c>
      <c r="J483">
        <v>322.13763828690099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162.863</v>
      </c>
      <c r="S483">
        <v>-0.19600000000000001</v>
      </c>
      <c r="T483">
        <v>-0.39200000000000002</v>
      </c>
      <c r="U483">
        <v>0</v>
      </c>
      <c r="V483" t="b">
        <v>0</v>
      </c>
      <c r="W483" t="s">
        <v>52</v>
      </c>
    </row>
    <row r="484" spans="2:23" x14ac:dyDescent="0.3">
      <c r="B484" s="2">
        <f t="shared" si="7"/>
        <v>11.92492110000012</v>
      </c>
      <c r="C484">
        <v>3233.6002186999999</v>
      </c>
      <c r="D484">
        <v>117</v>
      </c>
      <c r="E484">
        <v>351</v>
      </c>
      <c r="F484">
        <v>105.56100000000001</v>
      </c>
      <c r="G484">
        <v>360.56299999999999</v>
      </c>
      <c r="H484">
        <v>118.0878</v>
      </c>
      <c r="I484">
        <v>346.234119999999</v>
      </c>
      <c r="J484">
        <v>322.13763828690099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162.86500000000001</v>
      </c>
      <c r="S484">
        <v>-0.17100000000000001</v>
      </c>
      <c r="T484">
        <v>-0.39100000000000001</v>
      </c>
      <c r="U484">
        <v>0</v>
      </c>
      <c r="V484" t="b">
        <v>0</v>
      </c>
      <c r="W484" t="s">
        <v>52</v>
      </c>
    </row>
    <row r="485" spans="2:23" x14ac:dyDescent="0.3">
      <c r="B485" s="2">
        <f t="shared" si="7"/>
        <v>11.955142800000431</v>
      </c>
      <c r="C485">
        <v>3233.6304404000002</v>
      </c>
      <c r="D485">
        <v>117</v>
      </c>
      <c r="E485">
        <v>351</v>
      </c>
      <c r="F485">
        <v>105.56100000000001</v>
      </c>
      <c r="G485">
        <v>360.56299999999999</v>
      </c>
      <c r="H485">
        <v>118.0878</v>
      </c>
      <c r="I485">
        <v>346.234119999999</v>
      </c>
      <c r="J485">
        <v>322.13763828690099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162.86500000000001</v>
      </c>
      <c r="S485">
        <v>-0.17100000000000001</v>
      </c>
      <c r="T485">
        <v>-0.39100000000000001</v>
      </c>
      <c r="U485">
        <v>0</v>
      </c>
      <c r="V485" t="b">
        <v>0</v>
      </c>
      <c r="W485" t="s">
        <v>52</v>
      </c>
    </row>
    <row r="486" spans="2:23" x14ac:dyDescent="0.3">
      <c r="B486" s="2">
        <f t="shared" si="7"/>
        <v>12.000833200000216</v>
      </c>
      <c r="C486">
        <v>3233.6761308</v>
      </c>
      <c r="D486">
        <v>117</v>
      </c>
      <c r="E486">
        <v>351</v>
      </c>
      <c r="F486">
        <v>105.56100000000001</v>
      </c>
      <c r="G486">
        <v>360.56299999999999</v>
      </c>
      <c r="H486">
        <v>118.0878</v>
      </c>
      <c r="I486">
        <v>346.234119999999</v>
      </c>
      <c r="J486">
        <v>322.13763828690099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162.86799999999999</v>
      </c>
      <c r="S486">
        <v>-0.13500000000000001</v>
      </c>
      <c r="T486">
        <v>-0.39700000000000002</v>
      </c>
      <c r="U486">
        <v>0</v>
      </c>
      <c r="V486" t="b">
        <v>0</v>
      </c>
      <c r="W486" t="s">
        <v>52</v>
      </c>
    </row>
    <row r="487" spans="2:23" x14ac:dyDescent="0.3">
      <c r="B487" s="2">
        <f t="shared" si="7"/>
        <v>12.016915900000186</v>
      </c>
      <c r="C487">
        <v>3233.6922135</v>
      </c>
      <c r="D487">
        <v>117</v>
      </c>
      <c r="E487">
        <v>351</v>
      </c>
      <c r="F487">
        <v>105.56100000000001</v>
      </c>
      <c r="G487">
        <v>360.56299999999999</v>
      </c>
      <c r="H487">
        <v>118.0878</v>
      </c>
      <c r="I487">
        <v>346.234119999999</v>
      </c>
      <c r="J487">
        <v>322.13763828690099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162.86799999999999</v>
      </c>
      <c r="S487">
        <v>-0.13500000000000001</v>
      </c>
      <c r="T487">
        <v>-0.39700000000000002</v>
      </c>
      <c r="U487">
        <v>0</v>
      </c>
      <c r="V487" t="b">
        <v>0</v>
      </c>
      <c r="W487" t="s">
        <v>52</v>
      </c>
    </row>
    <row r="488" spans="2:23" x14ac:dyDescent="0.3">
      <c r="B488" s="2">
        <f t="shared" si="7"/>
        <v>12.063823899999988</v>
      </c>
      <c r="C488">
        <v>3233.7391214999998</v>
      </c>
      <c r="D488">
        <v>117</v>
      </c>
      <c r="E488">
        <v>351</v>
      </c>
      <c r="F488">
        <v>105.56100000000001</v>
      </c>
      <c r="G488">
        <v>360.56299999999999</v>
      </c>
      <c r="H488">
        <v>118.0878</v>
      </c>
      <c r="I488">
        <v>346.234119999999</v>
      </c>
      <c r="J488">
        <v>322.13763828690099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162.87100000000001</v>
      </c>
      <c r="S488">
        <v>-0.10199999999999999</v>
      </c>
      <c r="T488">
        <v>-0.40600000000000003</v>
      </c>
      <c r="U488">
        <v>0</v>
      </c>
      <c r="V488" t="b">
        <v>0</v>
      </c>
      <c r="W488" t="s">
        <v>52</v>
      </c>
    </row>
    <row r="489" spans="2:23" x14ac:dyDescent="0.3">
      <c r="B489" s="2">
        <f t="shared" si="7"/>
        <v>12.094814100000349</v>
      </c>
      <c r="C489">
        <v>3233.7701117000001</v>
      </c>
      <c r="D489">
        <v>117</v>
      </c>
      <c r="E489">
        <v>351</v>
      </c>
      <c r="F489">
        <v>105.56100000000001</v>
      </c>
      <c r="G489">
        <v>360.56299999999999</v>
      </c>
      <c r="H489">
        <v>118.0878</v>
      </c>
      <c r="I489">
        <v>346.234119999999</v>
      </c>
      <c r="J489">
        <v>322.13763828690099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162.87100000000001</v>
      </c>
      <c r="S489">
        <v>-0.10199999999999999</v>
      </c>
      <c r="T489">
        <v>-0.40600000000000003</v>
      </c>
      <c r="U489">
        <v>0</v>
      </c>
      <c r="V489" t="b">
        <v>0</v>
      </c>
      <c r="W489" t="s">
        <v>52</v>
      </c>
    </row>
    <row r="490" spans="2:23" x14ac:dyDescent="0.3">
      <c r="B490" s="2">
        <f t="shared" si="7"/>
        <v>12.125114600000416</v>
      </c>
      <c r="C490">
        <v>3233.8004122000002</v>
      </c>
      <c r="D490">
        <v>117</v>
      </c>
      <c r="E490">
        <v>351</v>
      </c>
      <c r="F490">
        <v>105.56100000000001</v>
      </c>
      <c r="G490">
        <v>360.56299999999999</v>
      </c>
      <c r="H490">
        <v>118.0878</v>
      </c>
      <c r="I490">
        <v>346.234119999999</v>
      </c>
      <c r="J490">
        <v>322.13763828690099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162.875</v>
      </c>
      <c r="S490">
        <v>-7.0000000000000007E-2</v>
      </c>
      <c r="T490">
        <v>-0.40899999999999997</v>
      </c>
      <c r="U490">
        <v>0</v>
      </c>
      <c r="V490" t="b">
        <v>0</v>
      </c>
      <c r="W490" t="s">
        <v>52</v>
      </c>
    </row>
    <row r="491" spans="2:23" x14ac:dyDescent="0.3">
      <c r="B491" s="2">
        <f t="shared" si="7"/>
        <v>12.15568790000043</v>
      </c>
      <c r="C491">
        <v>3233.8309855000002</v>
      </c>
      <c r="D491">
        <v>117</v>
      </c>
      <c r="E491">
        <v>351</v>
      </c>
      <c r="F491">
        <v>105.56100000000001</v>
      </c>
      <c r="G491">
        <v>360.56299999999999</v>
      </c>
      <c r="H491">
        <v>118.0878</v>
      </c>
      <c r="I491">
        <v>346.234119999999</v>
      </c>
      <c r="J491">
        <v>322.13763828690099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162.875</v>
      </c>
      <c r="S491">
        <v>-7.0000000000000007E-2</v>
      </c>
      <c r="T491">
        <v>-0.40899999999999997</v>
      </c>
      <c r="U491">
        <v>0</v>
      </c>
      <c r="V491" t="b">
        <v>0</v>
      </c>
      <c r="W491" t="s">
        <v>52</v>
      </c>
    </row>
    <row r="492" spans="2:23" x14ac:dyDescent="0.3">
      <c r="B492" s="2">
        <f t="shared" si="7"/>
        <v>12.186626400000023</v>
      </c>
      <c r="C492">
        <v>3233.8619239999998</v>
      </c>
      <c r="D492">
        <v>117</v>
      </c>
      <c r="E492">
        <v>351</v>
      </c>
      <c r="F492">
        <v>105.56100000000001</v>
      </c>
      <c r="G492">
        <v>360.56299999999999</v>
      </c>
      <c r="H492">
        <v>118.0878</v>
      </c>
      <c r="I492">
        <v>346.234119999999</v>
      </c>
      <c r="J492">
        <v>322.13763828690099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162.87799999999999</v>
      </c>
      <c r="S492">
        <v>-4.5999999999999999E-2</v>
      </c>
      <c r="T492">
        <v>-0.40899999999999997</v>
      </c>
      <c r="U492">
        <v>0</v>
      </c>
      <c r="V492" t="b">
        <v>0</v>
      </c>
      <c r="W492" t="s">
        <v>52</v>
      </c>
    </row>
    <row r="493" spans="2:23" x14ac:dyDescent="0.3">
      <c r="B493" s="2">
        <f t="shared" si="7"/>
        <v>12.218306000000211</v>
      </c>
      <c r="C493">
        <v>3233.8936036</v>
      </c>
      <c r="D493">
        <v>117</v>
      </c>
      <c r="E493">
        <v>351</v>
      </c>
      <c r="F493">
        <v>105.56100000000001</v>
      </c>
      <c r="G493">
        <v>360.56299999999999</v>
      </c>
      <c r="H493">
        <v>118.0878</v>
      </c>
      <c r="I493">
        <v>346.234119999999</v>
      </c>
      <c r="J493">
        <v>322.13763828690099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162.87799999999999</v>
      </c>
      <c r="S493">
        <v>-4.5999999999999999E-2</v>
      </c>
      <c r="T493">
        <v>-0.40899999999999997</v>
      </c>
      <c r="U493">
        <v>0</v>
      </c>
      <c r="V493" t="b">
        <v>0</v>
      </c>
      <c r="W493" t="s">
        <v>52</v>
      </c>
    </row>
    <row r="494" spans="2:23" x14ac:dyDescent="0.3">
      <c r="B494" s="2">
        <f t="shared" si="7"/>
        <v>12.249259600000187</v>
      </c>
      <c r="C494">
        <v>3233.9245572</v>
      </c>
      <c r="D494">
        <v>117</v>
      </c>
      <c r="E494">
        <v>351</v>
      </c>
      <c r="F494">
        <v>105.56100000000001</v>
      </c>
      <c r="G494">
        <v>360.56299999999999</v>
      </c>
      <c r="H494">
        <v>118.0878</v>
      </c>
      <c r="I494">
        <v>346.234119999999</v>
      </c>
      <c r="J494">
        <v>322.13763828690099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162.88</v>
      </c>
      <c r="S494">
        <v>-2.4E-2</v>
      </c>
      <c r="T494">
        <v>-0.41</v>
      </c>
      <c r="U494">
        <v>0</v>
      </c>
      <c r="V494" t="b">
        <v>0</v>
      </c>
      <c r="W494" t="s">
        <v>52</v>
      </c>
    </row>
    <row r="495" spans="2:23" x14ac:dyDescent="0.3">
      <c r="B495" s="2">
        <f t="shared" si="7"/>
        <v>12.296085400000266</v>
      </c>
      <c r="C495">
        <v>3233.9713830000001</v>
      </c>
      <c r="D495">
        <v>117</v>
      </c>
      <c r="E495">
        <v>351</v>
      </c>
      <c r="F495">
        <v>105.56100000000001</v>
      </c>
      <c r="G495">
        <v>360.56299999999999</v>
      </c>
      <c r="H495">
        <v>118.0878</v>
      </c>
      <c r="I495">
        <v>346.234119999999</v>
      </c>
      <c r="J495">
        <v>322.13763828690099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162.88</v>
      </c>
      <c r="S495">
        <v>-2.4E-2</v>
      </c>
      <c r="T495">
        <v>-0.41</v>
      </c>
      <c r="U495">
        <v>0</v>
      </c>
      <c r="V495" t="b">
        <v>0</v>
      </c>
      <c r="W495" t="s">
        <v>52</v>
      </c>
    </row>
    <row r="496" spans="2:23" x14ac:dyDescent="0.3">
      <c r="B496" s="2">
        <f t="shared" si="7"/>
        <v>12.326275300000361</v>
      </c>
      <c r="C496">
        <v>3234.0015729000002</v>
      </c>
      <c r="D496">
        <v>117</v>
      </c>
      <c r="E496">
        <v>351</v>
      </c>
      <c r="F496">
        <v>105.56100000000001</v>
      </c>
      <c r="G496">
        <v>360.56299999999999</v>
      </c>
      <c r="H496">
        <v>118.0878</v>
      </c>
      <c r="I496">
        <v>346.234119999999</v>
      </c>
      <c r="J496">
        <v>322.13763828690099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162.88</v>
      </c>
      <c r="S496">
        <v>6.0000000000000001E-3</v>
      </c>
      <c r="T496">
        <v>-0.42</v>
      </c>
      <c r="U496">
        <v>0</v>
      </c>
      <c r="V496" t="b">
        <v>0</v>
      </c>
      <c r="W496" t="s">
        <v>52</v>
      </c>
    </row>
    <row r="497" spans="2:23" x14ac:dyDescent="0.3">
      <c r="B497" s="2">
        <f t="shared" si="7"/>
        <v>12.357014600000184</v>
      </c>
      <c r="C497">
        <v>3234.0323122</v>
      </c>
      <c r="D497">
        <v>117</v>
      </c>
      <c r="E497">
        <v>351</v>
      </c>
      <c r="F497">
        <v>105.56100000000001</v>
      </c>
      <c r="G497">
        <v>360.56299999999999</v>
      </c>
      <c r="H497">
        <v>118.0878</v>
      </c>
      <c r="I497">
        <v>346.234119999999</v>
      </c>
      <c r="J497">
        <v>322.13763828690099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162.88</v>
      </c>
      <c r="S497">
        <v>6.0000000000000001E-3</v>
      </c>
      <c r="T497">
        <v>-0.42</v>
      </c>
      <c r="U497">
        <v>0</v>
      </c>
      <c r="V497" t="b">
        <v>0</v>
      </c>
      <c r="W497" t="s">
        <v>52</v>
      </c>
    </row>
    <row r="498" spans="2:23" x14ac:dyDescent="0.3">
      <c r="B498" s="2">
        <f t="shared" si="7"/>
        <v>12.388153500000044</v>
      </c>
      <c r="C498">
        <v>3234.0634510999998</v>
      </c>
      <c r="D498">
        <v>117</v>
      </c>
      <c r="E498">
        <v>351</v>
      </c>
      <c r="F498">
        <v>105.56100000000001</v>
      </c>
      <c r="G498">
        <v>360.56299999999999</v>
      </c>
      <c r="H498">
        <v>118.0878</v>
      </c>
      <c r="I498">
        <v>346.234119999999</v>
      </c>
      <c r="J498">
        <v>322.13763828690099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162.88200000000001</v>
      </c>
      <c r="S498">
        <v>2.5000000000000001E-2</v>
      </c>
      <c r="T498">
        <v>-0.42699999999999999</v>
      </c>
      <c r="U498">
        <v>0</v>
      </c>
      <c r="V498" t="b">
        <v>0</v>
      </c>
      <c r="W498" t="s">
        <v>52</v>
      </c>
    </row>
    <row r="499" spans="2:23" x14ac:dyDescent="0.3">
      <c r="B499" s="2">
        <f t="shared" si="7"/>
        <v>12.4197750000003</v>
      </c>
      <c r="C499">
        <v>3234.0950726000001</v>
      </c>
      <c r="D499">
        <v>117</v>
      </c>
      <c r="E499">
        <v>351</v>
      </c>
      <c r="F499">
        <v>105.56100000000001</v>
      </c>
      <c r="G499">
        <v>360.56299999999999</v>
      </c>
      <c r="H499">
        <v>118.0878</v>
      </c>
      <c r="I499">
        <v>346.234119999999</v>
      </c>
      <c r="J499">
        <v>322.13763828690099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162.88200000000001</v>
      </c>
      <c r="S499">
        <v>2.5000000000000001E-2</v>
      </c>
      <c r="T499">
        <v>-0.42699999999999999</v>
      </c>
      <c r="U499">
        <v>0</v>
      </c>
      <c r="V499" t="b">
        <v>0</v>
      </c>
      <c r="W499" t="s">
        <v>52</v>
      </c>
    </row>
    <row r="500" spans="2:23" x14ac:dyDescent="0.3">
      <c r="B500" s="2">
        <f t="shared" si="7"/>
        <v>12.451095400000213</v>
      </c>
      <c r="C500">
        <v>3234.126393</v>
      </c>
      <c r="D500">
        <v>117</v>
      </c>
      <c r="E500">
        <v>351</v>
      </c>
      <c r="F500">
        <v>105.56100000000001</v>
      </c>
      <c r="G500">
        <v>360.56299999999999</v>
      </c>
      <c r="H500">
        <v>118.0878</v>
      </c>
      <c r="I500">
        <v>346.234119999999</v>
      </c>
      <c r="J500">
        <v>322.13763828690099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162.886</v>
      </c>
      <c r="S500">
        <v>4.1000000000000002E-2</v>
      </c>
      <c r="T500">
        <v>-0.43099999999999999</v>
      </c>
      <c r="U500">
        <v>0</v>
      </c>
      <c r="V500" t="b">
        <v>0</v>
      </c>
      <c r="W500" t="s">
        <v>52</v>
      </c>
    </row>
    <row r="501" spans="2:23" x14ac:dyDescent="0.3">
      <c r="B501" s="2">
        <f t="shared" si="7"/>
        <v>12.482295500000419</v>
      </c>
      <c r="C501">
        <v>3234.1575931000002</v>
      </c>
      <c r="D501">
        <v>117</v>
      </c>
      <c r="E501">
        <v>351</v>
      </c>
      <c r="F501">
        <v>105.56100000000001</v>
      </c>
      <c r="G501">
        <v>360.56299999999999</v>
      </c>
      <c r="H501">
        <v>118.0878</v>
      </c>
      <c r="I501">
        <v>346.234119999999</v>
      </c>
      <c r="J501">
        <v>322.13763828690099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162.886</v>
      </c>
      <c r="S501">
        <v>4.1000000000000002E-2</v>
      </c>
      <c r="T501">
        <v>-0.43099999999999999</v>
      </c>
      <c r="U501">
        <v>0</v>
      </c>
      <c r="V501" t="b">
        <v>0</v>
      </c>
      <c r="W501" t="s">
        <v>52</v>
      </c>
    </row>
    <row r="502" spans="2:23" x14ac:dyDescent="0.3">
      <c r="B502" s="2">
        <f t="shared" si="7"/>
        <v>12.513406000000032</v>
      </c>
      <c r="C502">
        <v>3234.1887035999998</v>
      </c>
      <c r="D502">
        <v>117</v>
      </c>
      <c r="E502">
        <v>351</v>
      </c>
      <c r="F502">
        <v>105.56100000000001</v>
      </c>
      <c r="G502">
        <v>360.56299999999999</v>
      </c>
      <c r="H502">
        <v>118.0878</v>
      </c>
      <c r="I502">
        <v>346.234119999999</v>
      </c>
      <c r="J502">
        <v>322.13763828690099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162.88900000000001</v>
      </c>
      <c r="S502">
        <v>6.6000000000000003E-2</v>
      </c>
      <c r="T502">
        <v>-0.433</v>
      </c>
      <c r="U502">
        <v>0</v>
      </c>
      <c r="V502" t="b">
        <v>0</v>
      </c>
      <c r="W502" t="s">
        <v>52</v>
      </c>
    </row>
    <row r="503" spans="2:23" x14ac:dyDescent="0.3">
      <c r="B503" s="2">
        <f t="shared" si="7"/>
        <v>12.545510300000387</v>
      </c>
      <c r="C503">
        <v>3234.2208079000002</v>
      </c>
      <c r="D503">
        <v>117</v>
      </c>
      <c r="E503">
        <v>351</v>
      </c>
      <c r="F503">
        <v>105.56100000000001</v>
      </c>
      <c r="G503">
        <v>360.56299999999999</v>
      </c>
      <c r="H503">
        <v>118.0878</v>
      </c>
      <c r="I503">
        <v>346.234119999999</v>
      </c>
      <c r="J503">
        <v>322.13763828690099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162.88900000000001</v>
      </c>
      <c r="S503">
        <v>6.6000000000000003E-2</v>
      </c>
      <c r="T503">
        <v>-0.433</v>
      </c>
      <c r="U503">
        <v>0</v>
      </c>
      <c r="V503" t="b">
        <v>0</v>
      </c>
      <c r="W503" t="s">
        <v>52</v>
      </c>
    </row>
    <row r="504" spans="2:23" x14ac:dyDescent="0.3">
      <c r="B504" s="2">
        <f t="shared" si="7"/>
        <v>12.576301700000386</v>
      </c>
      <c r="C504">
        <v>3234.2515993000002</v>
      </c>
      <c r="D504">
        <v>117</v>
      </c>
      <c r="E504">
        <v>351</v>
      </c>
      <c r="F504">
        <v>105.56100000000001</v>
      </c>
      <c r="G504">
        <v>360.56299999999999</v>
      </c>
      <c r="H504">
        <v>118.0878</v>
      </c>
      <c r="I504">
        <v>346.234119999999</v>
      </c>
      <c r="J504">
        <v>322.13763828690099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162.892</v>
      </c>
      <c r="S504">
        <v>8.4000000000000005E-2</v>
      </c>
      <c r="T504">
        <v>-0.42699999999999999</v>
      </c>
      <c r="U504">
        <v>0</v>
      </c>
      <c r="V504" t="b">
        <v>0</v>
      </c>
      <c r="W504" t="s">
        <v>52</v>
      </c>
    </row>
    <row r="505" spans="2:23" x14ac:dyDescent="0.3">
      <c r="B505" s="2">
        <f t="shared" si="7"/>
        <v>12.607888900000034</v>
      </c>
      <c r="C505">
        <v>3234.2831864999998</v>
      </c>
      <c r="D505">
        <v>117</v>
      </c>
      <c r="E505">
        <v>351</v>
      </c>
      <c r="F505">
        <v>105.56100000000001</v>
      </c>
      <c r="G505">
        <v>360.56299999999999</v>
      </c>
      <c r="H505">
        <v>118.0878</v>
      </c>
      <c r="I505">
        <v>346.234119999999</v>
      </c>
      <c r="J505">
        <v>322.13763828690099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162.892</v>
      </c>
      <c r="S505">
        <v>8.4000000000000005E-2</v>
      </c>
      <c r="T505">
        <v>-0.42699999999999999</v>
      </c>
      <c r="U505">
        <v>0</v>
      </c>
      <c r="V505" t="b">
        <v>0</v>
      </c>
      <c r="W505" t="s">
        <v>52</v>
      </c>
    </row>
    <row r="506" spans="2:23" x14ac:dyDescent="0.3">
      <c r="B506" s="2">
        <f t="shared" si="7"/>
        <v>12.638797200000226</v>
      </c>
      <c r="C506">
        <v>3234.3140948</v>
      </c>
      <c r="D506">
        <v>117</v>
      </c>
      <c r="E506">
        <v>351</v>
      </c>
      <c r="F506">
        <v>105.56100000000001</v>
      </c>
      <c r="G506">
        <v>360.56299999999999</v>
      </c>
      <c r="H506">
        <v>118.0878</v>
      </c>
      <c r="I506">
        <v>346.234119999999</v>
      </c>
      <c r="J506">
        <v>322.13763828690099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162.89599999999999</v>
      </c>
      <c r="S506">
        <v>9.8000000000000004E-2</v>
      </c>
      <c r="T506">
        <v>-0.42199999999999999</v>
      </c>
      <c r="U506">
        <v>0</v>
      </c>
      <c r="V506" t="b">
        <v>0</v>
      </c>
      <c r="W506" t="s">
        <v>52</v>
      </c>
    </row>
    <row r="507" spans="2:23" x14ac:dyDescent="0.3">
      <c r="B507" s="2">
        <f t="shared" si="7"/>
        <v>12.670864300000176</v>
      </c>
      <c r="C507">
        <v>3234.3461619</v>
      </c>
      <c r="D507">
        <v>117</v>
      </c>
      <c r="E507">
        <v>351</v>
      </c>
      <c r="F507">
        <v>105.56100000000001</v>
      </c>
      <c r="G507">
        <v>360.56299999999999</v>
      </c>
      <c r="H507">
        <v>118.0878</v>
      </c>
      <c r="I507">
        <v>346.234119999999</v>
      </c>
      <c r="J507">
        <v>322.13763828690099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162.89599999999999</v>
      </c>
      <c r="S507">
        <v>9.8000000000000004E-2</v>
      </c>
      <c r="T507">
        <v>-0.42199999999999999</v>
      </c>
      <c r="U507">
        <v>0</v>
      </c>
      <c r="V507" t="b">
        <v>0</v>
      </c>
      <c r="W507" t="s">
        <v>52</v>
      </c>
    </row>
    <row r="508" spans="2:23" x14ac:dyDescent="0.3">
      <c r="B508" s="2">
        <f t="shared" si="7"/>
        <v>12.702406300000348</v>
      </c>
      <c r="C508">
        <v>3234.3777039000001</v>
      </c>
      <c r="D508">
        <v>117</v>
      </c>
      <c r="E508">
        <v>351</v>
      </c>
      <c r="F508">
        <v>105.56100000000001</v>
      </c>
      <c r="G508">
        <v>360.56299999999999</v>
      </c>
      <c r="H508">
        <v>118.0878</v>
      </c>
      <c r="I508">
        <v>346.234119999999</v>
      </c>
      <c r="J508">
        <v>322.13763828690099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162.898</v>
      </c>
      <c r="S508">
        <v>0.111</v>
      </c>
      <c r="T508">
        <v>-0.42499999999999999</v>
      </c>
      <c r="U508">
        <v>0</v>
      </c>
      <c r="V508" t="b">
        <v>0</v>
      </c>
      <c r="W508" t="s">
        <v>52</v>
      </c>
    </row>
    <row r="509" spans="2:23" x14ac:dyDescent="0.3">
      <c r="B509" s="2">
        <f t="shared" si="7"/>
        <v>12.748906799999986</v>
      </c>
      <c r="C509">
        <v>3234.4242043999998</v>
      </c>
      <c r="D509">
        <v>117</v>
      </c>
      <c r="E509">
        <v>351</v>
      </c>
      <c r="F509">
        <v>105.56100000000001</v>
      </c>
      <c r="G509">
        <v>360.56299999999999</v>
      </c>
      <c r="H509">
        <v>118.0878</v>
      </c>
      <c r="I509">
        <v>346.234119999999</v>
      </c>
      <c r="J509">
        <v>322.13763828690099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162.898</v>
      </c>
      <c r="S509">
        <v>0.111</v>
      </c>
      <c r="T509">
        <v>-0.42499999999999999</v>
      </c>
      <c r="U509">
        <v>0</v>
      </c>
      <c r="V509" t="b">
        <v>0</v>
      </c>
      <c r="W509" t="s">
        <v>52</v>
      </c>
    </row>
    <row r="510" spans="2:23" x14ac:dyDescent="0.3">
      <c r="B510" s="2">
        <f t="shared" si="7"/>
        <v>12.780055300000186</v>
      </c>
      <c r="C510">
        <v>3234.4553529</v>
      </c>
      <c r="D510">
        <v>117</v>
      </c>
      <c r="E510">
        <v>351</v>
      </c>
      <c r="F510">
        <v>105.56100000000001</v>
      </c>
      <c r="G510">
        <v>360.56299999999999</v>
      </c>
      <c r="H510">
        <v>118.0878</v>
      </c>
      <c r="I510">
        <v>346.234119999999</v>
      </c>
      <c r="J510">
        <v>322.13763828690099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162.9</v>
      </c>
      <c r="S510">
        <v>0.123</v>
      </c>
      <c r="T510">
        <v>-0.43099999999999999</v>
      </c>
      <c r="U510">
        <v>0</v>
      </c>
      <c r="V510" t="b">
        <v>0</v>
      </c>
      <c r="W510" t="s">
        <v>52</v>
      </c>
    </row>
    <row r="511" spans="2:23" x14ac:dyDescent="0.3">
      <c r="B511" s="2">
        <f t="shared" si="7"/>
        <v>12.810586700000385</v>
      </c>
      <c r="C511">
        <v>3234.4858843000002</v>
      </c>
      <c r="D511">
        <v>117</v>
      </c>
      <c r="E511">
        <v>351</v>
      </c>
      <c r="F511">
        <v>105.56100000000001</v>
      </c>
      <c r="G511">
        <v>360.56299999999999</v>
      </c>
      <c r="H511">
        <v>118.0878</v>
      </c>
      <c r="I511">
        <v>346.234119999999</v>
      </c>
      <c r="J511">
        <v>322.13763828690099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162.9</v>
      </c>
      <c r="S511">
        <v>0.123</v>
      </c>
      <c r="T511">
        <v>-0.43099999999999999</v>
      </c>
      <c r="U511">
        <v>0</v>
      </c>
      <c r="V511" t="b">
        <v>0</v>
      </c>
      <c r="W511" t="s">
        <v>52</v>
      </c>
    </row>
    <row r="512" spans="2:23" x14ac:dyDescent="0.3">
      <c r="B512" s="2">
        <f t="shared" si="7"/>
        <v>12.840667400000257</v>
      </c>
      <c r="C512">
        <v>3234.5159650000001</v>
      </c>
      <c r="D512">
        <v>117</v>
      </c>
      <c r="E512">
        <v>351</v>
      </c>
      <c r="F512">
        <v>105.56100000000001</v>
      </c>
      <c r="G512">
        <v>360.56299999999999</v>
      </c>
      <c r="H512">
        <v>118.0878</v>
      </c>
      <c r="I512">
        <v>346.234119999999</v>
      </c>
      <c r="J512">
        <v>322.13763828690099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162.905</v>
      </c>
      <c r="S512">
        <v>0.14099999999999999</v>
      </c>
      <c r="T512">
        <v>-0.434</v>
      </c>
      <c r="U512">
        <v>0</v>
      </c>
      <c r="V512" t="b">
        <v>0</v>
      </c>
      <c r="W512" t="s">
        <v>52</v>
      </c>
    </row>
    <row r="513" spans="2:23" x14ac:dyDescent="0.3">
      <c r="B513" s="2">
        <f t="shared" si="7"/>
        <v>12.87273660000028</v>
      </c>
      <c r="C513">
        <v>3234.5480342000001</v>
      </c>
      <c r="D513">
        <v>117</v>
      </c>
      <c r="E513">
        <v>351</v>
      </c>
      <c r="F513">
        <v>105.56100000000001</v>
      </c>
      <c r="G513">
        <v>360.56299999999999</v>
      </c>
      <c r="H513">
        <v>118.0878</v>
      </c>
      <c r="I513">
        <v>346.234119999999</v>
      </c>
      <c r="J513">
        <v>322.13763828690099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162.905</v>
      </c>
      <c r="S513">
        <v>0.14099999999999999</v>
      </c>
      <c r="T513">
        <v>-0.434</v>
      </c>
      <c r="U513">
        <v>0</v>
      </c>
      <c r="V513" t="b">
        <v>0</v>
      </c>
      <c r="W513" t="s">
        <v>52</v>
      </c>
    </row>
    <row r="514" spans="2:23" x14ac:dyDescent="0.3">
      <c r="B514" s="2">
        <f t="shared" si="7"/>
        <v>12.919059700000162</v>
      </c>
      <c r="C514">
        <v>3234.5943573</v>
      </c>
      <c r="D514">
        <v>117</v>
      </c>
      <c r="E514">
        <v>351</v>
      </c>
      <c r="F514">
        <v>105.56100000000001</v>
      </c>
      <c r="G514">
        <v>360.56299999999999</v>
      </c>
      <c r="H514">
        <v>118.0878</v>
      </c>
      <c r="I514">
        <v>346.234119999999</v>
      </c>
      <c r="J514">
        <v>322.13763828690099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162.90700000000001</v>
      </c>
      <c r="S514">
        <v>0.161</v>
      </c>
      <c r="T514">
        <v>-0.42899999999999999</v>
      </c>
      <c r="U514">
        <v>0</v>
      </c>
      <c r="V514" t="b">
        <v>0</v>
      </c>
      <c r="W514" t="s">
        <v>52</v>
      </c>
    </row>
    <row r="515" spans="2:23" x14ac:dyDescent="0.3">
      <c r="B515" s="2">
        <f t="shared" si="7"/>
        <v>12.950166000000081</v>
      </c>
      <c r="C515">
        <v>3234.6254635999999</v>
      </c>
      <c r="D515">
        <v>117</v>
      </c>
      <c r="E515">
        <v>351</v>
      </c>
      <c r="F515">
        <v>105.56100000000001</v>
      </c>
      <c r="G515">
        <v>360.56299999999999</v>
      </c>
      <c r="H515">
        <v>118.0878</v>
      </c>
      <c r="I515">
        <v>346.234119999999</v>
      </c>
      <c r="J515">
        <v>322.13763828690099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162.90700000000001</v>
      </c>
      <c r="S515">
        <v>0.161</v>
      </c>
      <c r="T515">
        <v>-0.42899999999999999</v>
      </c>
      <c r="U515">
        <v>0</v>
      </c>
      <c r="V515" t="b">
        <v>0</v>
      </c>
      <c r="W515" t="s">
        <v>52</v>
      </c>
    </row>
    <row r="516" spans="2:23" x14ac:dyDescent="0.3">
      <c r="B516" s="2">
        <f t="shared" ref="B516:B579" si="8">C516-$C$3</f>
        <v>12.965575600000193</v>
      </c>
      <c r="C516">
        <v>3234.6408732</v>
      </c>
      <c r="D516">
        <v>117</v>
      </c>
      <c r="E516">
        <v>351</v>
      </c>
      <c r="F516">
        <v>105.56100000000001</v>
      </c>
      <c r="G516">
        <v>360.56299999999999</v>
      </c>
      <c r="H516">
        <v>118.0878</v>
      </c>
      <c r="I516">
        <v>346.234119999999</v>
      </c>
      <c r="J516">
        <v>322.13763828690099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162.90899999999999</v>
      </c>
      <c r="S516">
        <v>0.16500000000000001</v>
      </c>
      <c r="T516">
        <v>-0.42299999999999999</v>
      </c>
      <c r="U516">
        <v>0</v>
      </c>
      <c r="V516" t="b">
        <v>0</v>
      </c>
      <c r="W516" t="s">
        <v>52</v>
      </c>
    </row>
    <row r="517" spans="2:23" x14ac:dyDescent="0.3">
      <c r="B517" s="2">
        <f t="shared" si="8"/>
        <v>12.996916700000384</v>
      </c>
      <c r="C517">
        <v>3234.6722143000002</v>
      </c>
      <c r="D517">
        <v>117</v>
      </c>
      <c r="E517">
        <v>351</v>
      </c>
      <c r="F517">
        <v>105.56100000000001</v>
      </c>
      <c r="G517">
        <v>360.56299999999999</v>
      </c>
      <c r="H517">
        <v>118.0878</v>
      </c>
      <c r="I517">
        <v>346.234119999999</v>
      </c>
      <c r="J517">
        <v>322.13763828690099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162.90899999999999</v>
      </c>
      <c r="S517">
        <v>0.16500000000000001</v>
      </c>
      <c r="T517">
        <v>-0.42299999999999999</v>
      </c>
      <c r="U517">
        <v>0</v>
      </c>
      <c r="V517" t="b">
        <v>0</v>
      </c>
      <c r="W517" t="s">
        <v>52</v>
      </c>
    </row>
    <row r="518" spans="2:23" x14ac:dyDescent="0.3">
      <c r="B518" s="2">
        <f t="shared" si="8"/>
        <v>13.027586500000325</v>
      </c>
      <c r="C518">
        <v>3234.7028841000001</v>
      </c>
      <c r="D518">
        <v>117</v>
      </c>
      <c r="E518">
        <v>351</v>
      </c>
      <c r="F518">
        <v>105.56100000000001</v>
      </c>
      <c r="G518">
        <v>360.56299999999999</v>
      </c>
      <c r="H518">
        <v>118.0878</v>
      </c>
      <c r="I518">
        <v>346.234119999999</v>
      </c>
      <c r="J518">
        <v>322.13763828690099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162.91300000000001</v>
      </c>
      <c r="S518">
        <v>0.18</v>
      </c>
      <c r="T518">
        <v>-0.42899999999999999</v>
      </c>
      <c r="U518">
        <v>0</v>
      </c>
      <c r="V518" t="b">
        <v>0</v>
      </c>
      <c r="W518" t="s">
        <v>52</v>
      </c>
    </row>
    <row r="519" spans="2:23" x14ac:dyDescent="0.3">
      <c r="B519" s="2">
        <f t="shared" si="8"/>
        <v>13.058944500000052</v>
      </c>
      <c r="C519">
        <v>3234.7342420999998</v>
      </c>
      <c r="D519">
        <v>117</v>
      </c>
      <c r="E519">
        <v>351</v>
      </c>
      <c r="F519">
        <v>105.56100000000001</v>
      </c>
      <c r="G519">
        <v>360.56299999999999</v>
      </c>
      <c r="H519">
        <v>118.0878</v>
      </c>
      <c r="I519">
        <v>346.234119999999</v>
      </c>
      <c r="J519">
        <v>322.13763828690099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162.91300000000001</v>
      </c>
      <c r="S519">
        <v>0.18</v>
      </c>
      <c r="T519">
        <v>-0.42899999999999999</v>
      </c>
      <c r="U519">
        <v>0</v>
      </c>
      <c r="V519" t="b">
        <v>0</v>
      </c>
      <c r="W519" t="s">
        <v>52</v>
      </c>
    </row>
    <row r="520" spans="2:23" x14ac:dyDescent="0.3">
      <c r="B520" s="2">
        <f t="shared" si="8"/>
        <v>13.089599500000077</v>
      </c>
      <c r="C520">
        <v>3234.7648970999999</v>
      </c>
      <c r="D520">
        <v>117</v>
      </c>
      <c r="E520">
        <v>351</v>
      </c>
      <c r="F520">
        <v>105.56100000000001</v>
      </c>
      <c r="G520">
        <v>360.56299999999999</v>
      </c>
      <c r="H520">
        <v>118.0878</v>
      </c>
      <c r="I520">
        <v>346.234119999999</v>
      </c>
      <c r="J520">
        <v>322.13763828690099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162.917</v>
      </c>
      <c r="S520">
        <v>0.19800000000000001</v>
      </c>
      <c r="T520">
        <v>-0.435</v>
      </c>
      <c r="U520">
        <v>0</v>
      </c>
      <c r="V520" t="b">
        <v>0</v>
      </c>
      <c r="W520" t="s">
        <v>52</v>
      </c>
    </row>
    <row r="521" spans="2:23" x14ac:dyDescent="0.3">
      <c r="B521" s="2">
        <f t="shared" si="8"/>
        <v>13.136956600000303</v>
      </c>
      <c r="C521">
        <v>3234.8122542000001</v>
      </c>
      <c r="D521">
        <v>117</v>
      </c>
      <c r="E521">
        <v>351</v>
      </c>
      <c r="F521">
        <v>105.56100000000001</v>
      </c>
      <c r="G521">
        <v>360.56299999999999</v>
      </c>
      <c r="H521">
        <v>118.0878</v>
      </c>
      <c r="I521">
        <v>346.234119999999</v>
      </c>
      <c r="J521">
        <v>322.13763828690099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162.917</v>
      </c>
      <c r="S521">
        <v>0.19800000000000001</v>
      </c>
      <c r="T521">
        <v>-0.435</v>
      </c>
      <c r="U521">
        <v>0</v>
      </c>
      <c r="V521" t="b">
        <v>0</v>
      </c>
      <c r="W521" t="s">
        <v>52</v>
      </c>
    </row>
    <row r="522" spans="2:23" x14ac:dyDescent="0.3">
      <c r="B522" s="2">
        <f t="shared" si="8"/>
        <v>13.167147800000294</v>
      </c>
      <c r="C522">
        <v>3234.8424454000001</v>
      </c>
      <c r="D522">
        <v>117</v>
      </c>
      <c r="E522">
        <v>351</v>
      </c>
      <c r="F522">
        <v>105.56100000000001</v>
      </c>
      <c r="G522">
        <v>360.56299999999999</v>
      </c>
      <c r="H522">
        <v>118.0878</v>
      </c>
      <c r="I522">
        <v>346.234119999999</v>
      </c>
      <c r="J522">
        <v>322.13763828690099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162.91900000000001</v>
      </c>
      <c r="S522">
        <v>0.214</v>
      </c>
      <c r="T522">
        <v>-0.44</v>
      </c>
      <c r="U522">
        <v>0</v>
      </c>
      <c r="V522" t="b">
        <v>0</v>
      </c>
      <c r="W522" t="s">
        <v>52</v>
      </c>
    </row>
    <row r="523" spans="2:23" x14ac:dyDescent="0.3">
      <c r="B523" s="2">
        <f t="shared" si="8"/>
        <v>13.197788200000105</v>
      </c>
      <c r="C523">
        <v>3234.8730857999999</v>
      </c>
      <c r="D523">
        <v>117</v>
      </c>
      <c r="E523">
        <v>351</v>
      </c>
      <c r="F523">
        <v>105.56100000000001</v>
      </c>
      <c r="G523">
        <v>360.56299999999999</v>
      </c>
      <c r="H523">
        <v>118.0878</v>
      </c>
      <c r="I523">
        <v>346.234119999999</v>
      </c>
      <c r="J523">
        <v>322.13763828690099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162.91900000000001</v>
      </c>
      <c r="S523">
        <v>0.214</v>
      </c>
      <c r="T523">
        <v>-0.44</v>
      </c>
      <c r="U523">
        <v>0</v>
      </c>
      <c r="V523" t="b">
        <v>0</v>
      </c>
      <c r="W523" t="s">
        <v>52</v>
      </c>
    </row>
    <row r="524" spans="2:23" x14ac:dyDescent="0.3">
      <c r="B524" s="2">
        <f t="shared" si="8"/>
        <v>13.243707000000086</v>
      </c>
      <c r="C524">
        <v>3234.9190045999999</v>
      </c>
      <c r="D524">
        <v>117</v>
      </c>
      <c r="E524">
        <v>351</v>
      </c>
      <c r="F524">
        <v>105.56100000000001</v>
      </c>
      <c r="G524">
        <v>360.56299999999999</v>
      </c>
      <c r="H524">
        <v>118.0878</v>
      </c>
      <c r="I524">
        <v>346.234119999999</v>
      </c>
      <c r="J524">
        <v>322.13763828690099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162.922</v>
      </c>
      <c r="S524">
        <v>0.22600000000000001</v>
      </c>
      <c r="T524">
        <v>-0.43</v>
      </c>
      <c r="U524">
        <v>0</v>
      </c>
      <c r="V524" t="b">
        <v>0</v>
      </c>
      <c r="W524" t="s">
        <v>52</v>
      </c>
    </row>
    <row r="525" spans="2:23" x14ac:dyDescent="0.3">
      <c r="B525" s="2">
        <f t="shared" si="8"/>
        <v>13.30562800000007</v>
      </c>
      <c r="C525">
        <v>3234.9809255999999</v>
      </c>
      <c r="D525">
        <v>117</v>
      </c>
      <c r="E525">
        <v>351</v>
      </c>
      <c r="F525">
        <v>105.56100000000001</v>
      </c>
      <c r="G525">
        <v>360.56299999999999</v>
      </c>
      <c r="H525">
        <v>118.0878</v>
      </c>
      <c r="I525">
        <v>346.234119999999</v>
      </c>
      <c r="J525">
        <v>322.13763828690099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162.922</v>
      </c>
      <c r="S525">
        <v>0.22600000000000001</v>
      </c>
      <c r="T525">
        <v>-0.43</v>
      </c>
      <c r="U525">
        <v>0</v>
      </c>
      <c r="V525" t="b">
        <v>0</v>
      </c>
      <c r="W525" t="s">
        <v>52</v>
      </c>
    </row>
    <row r="526" spans="2:23" x14ac:dyDescent="0.3">
      <c r="B526" s="2">
        <f t="shared" si="8"/>
        <v>13.320852300000297</v>
      </c>
      <c r="C526">
        <v>3234.9961499000001</v>
      </c>
      <c r="D526">
        <v>117</v>
      </c>
      <c r="E526">
        <v>351</v>
      </c>
      <c r="F526">
        <v>105.56100000000001</v>
      </c>
      <c r="G526">
        <v>360.56299999999999</v>
      </c>
      <c r="H526">
        <v>118.0878</v>
      </c>
      <c r="I526">
        <v>346.234119999999</v>
      </c>
      <c r="J526">
        <v>322.13763828690099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162.92500000000001</v>
      </c>
      <c r="S526">
        <v>0.248</v>
      </c>
      <c r="T526">
        <v>-0.436</v>
      </c>
      <c r="U526">
        <v>0</v>
      </c>
      <c r="V526" t="b">
        <v>0</v>
      </c>
      <c r="W526" t="s">
        <v>52</v>
      </c>
    </row>
    <row r="527" spans="2:23" x14ac:dyDescent="0.3">
      <c r="B527" s="2">
        <f t="shared" si="8"/>
        <v>13.336251400000037</v>
      </c>
      <c r="C527">
        <v>3235.0115489999998</v>
      </c>
      <c r="D527">
        <v>117</v>
      </c>
      <c r="E527">
        <v>351</v>
      </c>
      <c r="F527">
        <v>105.56100000000001</v>
      </c>
      <c r="G527">
        <v>360.56299999999999</v>
      </c>
      <c r="H527">
        <v>118.0878</v>
      </c>
      <c r="I527">
        <v>346.234119999999</v>
      </c>
      <c r="J527">
        <v>322.13763828690099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162.92500000000001</v>
      </c>
      <c r="S527">
        <v>0.248</v>
      </c>
      <c r="T527">
        <v>-0.436</v>
      </c>
      <c r="U527">
        <v>0</v>
      </c>
      <c r="V527" t="b">
        <v>0</v>
      </c>
      <c r="W527" t="s">
        <v>52</v>
      </c>
    </row>
    <row r="528" spans="2:23" x14ac:dyDescent="0.3">
      <c r="B528" s="2">
        <f t="shared" si="8"/>
        <v>13.367295000000013</v>
      </c>
      <c r="C528">
        <v>3235.0425925999998</v>
      </c>
      <c r="D528">
        <v>117</v>
      </c>
      <c r="E528">
        <v>351</v>
      </c>
      <c r="F528">
        <v>105.56100000000001</v>
      </c>
      <c r="G528">
        <v>360.56299999999999</v>
      </c>
      <c r="H528">
        <v>118.0878</v>
      </c>
      <c r="I528">
        <v>346.234119999999</v>
      </c>
      <c r="J528">
        <v>322.13763828690099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162.928</v>
      </c>
      <c r="S528">
        <v>0.25700000000000001</v>
      </c>
      <c r="T528">
        <v>-0.441</v>
      </c>
      <c r="U528">
        <v>0</v>
      </c>
      <c r="V528" t="b">
        <v>0</v>
      </c>
      <c r="W528" t="s">
        <v>52</v>
      </c>
    </row>
    <row r="529" spans="2:23" x14ac:dyDescent="0.3">
      <c r="B529" s="2">
        <f t="shared" si="8"/>
        <v>13.397435500000029</v>
      </c>
      <c r="C529">
        <v>3235.0727330999998</v>
      </c>
      <c r="D529">
        <v>117</v>
      </c>
      <c r="E529">
        <v>351</v>
      </c>
      <c r="F529">
        <v>105.56100000000001</v>
      </c>
      <c r="G529">
        <v>360.56299999999999</v>
      </c>
      <c r="H529">
        <v>118.0878</v>
      </c>
      <c r="I529">
        <v>346.234119999999</v>
      </c>
      <c r="J529">
        <v>322.13763828690099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162.928</v>
      </c>
      <c r="S529">
        <v>0.25700000000000001</v>
      </c>
      <c r="T529">
        <v>-0.441</v>
      </c>
      <c r="U529">
        <v>0</v>
      </c>
      <c r="V529" t="b">
        <v>0</v>
      </c>
      <c r="W529" t="s">
        <v>52</v>
      </c>
    </row>
    <row r="530" spans="2:23" x14ac:dyDescent="0.3">
      <c r="B530" s="2">
        <f t="shared" si="8"/>
        <v>13.429170900000372</v>
      </c>
      <c r="C530">
        <v>3235.1044685000002</v>
      </c>
      <c r="D530">
        <v>117</v>
      </c>
      <c r="E530">
        <v>351</v>
      </c>
      <c r="F530">
        <v>105.56100000000001</v>
      </c>
      <c r="G530">
        <v>360.56299999999999</v>
      </c>
      <c r="H530">
        <v>118.0878</v>
      </c>
      <c r="I530">
        <v>346.234119999999</v>
      </c>
      <c r="J530">
        <v>322.13763828690099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162.93100000000001</v>
      </c>
      <c r="S530">
        <v>0.27600000000000002</v>
      </c>
      <c r="T530">
        <v>-0.443</v>
      </c>
      <c r="U530">
        <v>0</v>
      </c>
      <c r="V530" t="b">
        <v>0</v>
      </c>
      <c r="W530" t="s">
        <v>52</v>
      </c>
    </row>
    <row r="531" spans="2:23" x14ac:dyDescent="0.3">
      <c r="B531" s="2">
        <f t="shared" si="8"/>
        <v>13.460952700000234</v>
      </c>
      <c r="C531">
        <v>3235.1362503</v>
      </c>
      <c r="D531">
        <v>117</v>
      </c>
      <c r="E531">
        <v>351</v>
      </c>
      <c r="F531">
        <v>105.56100000000001</v>
      </c>
      <c r="G531">
        <v>360.56299999999999</v>
      </c>
      <c r="H531">
        <v>118.0878</v>
      </c>
      <c r="I531">
        <v>346.234119999999</v>
      </c>
      <c r="J531">
        <v>322.13763828690099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162.93100000000001</v>
      </c>
      <c r="S531">
        <v>0.27600000000000002</v>
      </c>
      <c r="T531">
        <v>-0.443</v>
      </c>
      <c r="U531">
        <v>0</v>
      </c>
      <c r="V531" t="b">
        <v>0</v>
      </c>
      <c r="W531" t="s">
        <v>52</v>
      </c>
    </row>
    <row r="532" spans="2:23" x14ac:dyDescent="0.3">
      <c r="B532" s="2">
        <f t="shared" si="8"/>
        <v>13.492381000000023</v>
      </c>
      <c r="C532">
        <v>3235.1676785999998</v>
      </c>
      <c r="D532">
        <v>117</v>
      </c>
      <c r="E532">
        <v>351</v>
      </c>
      <c r="F532">
        <v>105.56100000000001</v>
      </c>
      <c r="G532">
        <v>360.56299999999999</v>
      </c>
      <c r="H532">
        <v>118.0878</v>
      </c>
      <c r="I532">
        <v>346.234119999999</v>
      </c>
      <c r="J532">
        <v>322.13763828690099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162.934</v>
      </c>
      <c r="S532">
        <v>0.28299999999999997</v>
      </c>
      <c r="T532">
        <v>-0.441</v>
      </c>
      <c r="U532">
        <v>0</v>
      </c>
      <c r="V532" t="b">
        <v>0</v>
      </c>
      <c r="W532" t="s">
        <v>52</v>
      </c>
    </row>
    <row r="533" spans="2:23" x14ac:dyDescent="0.3">
      <c r="B533" s="2">
        <f t="shared" si="8"/>
        <v>13.523081499999989</v>
      </c>
      <c r="C533">
        <v>3235.1983790999998</v>
      </c>
      <c r="D533">
        <v>117</v>
      </c>
      <c r="E533">
        <v>351</v>
      </c>
      <c r="F533">
        <v>105.56100000000001</v>
      </c>
      <c r="G533">
        <v>360.56299999999999</v>
      </c>
      <c r="H533">
        <v>118.0878</v>
      </c>
      <c r="I533">
        <v>346.234119999999</v>
      </c>
      <c r="J533">
        <v>322.13763828690099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162.934</v>
      </c>
      <c r="S533">
        <v>0.28299999999999997</v>
      </c>
      <c r="T533">
        <v>-0.441</v>
      </c>
      <c r="U533">
        <v>0</v>
      </c>
      <c r="V533" t="b">
        <v>0</v>
      </c>
      <c r="W533" t="s">
        <v>52</v>
      </c>
    </row>
    <row r="534" spans="2:23" x14ac:dyDescent="0.3">
      <c r="B534" s="2">
        <f t="shared" si="8"/>
        <v>13.555078700000195</v>
      </c>
      <c r="C534">
        <v>3235.2303763</v>
      </c>
      <c r="D534">
        <v>117</v>
      </c>
      <c r="E534">
        <v>351</v>
      </c>
      <c r="F534">
        <v>105.56100000000001</v>
      </c>
      <c r="G534">
        <v>360.56299999999999</v>
      </c>
      <c r="H534">
        <v>118.0878</v>
      </c>
      <c r="I534">
        <v>346.234119999999</v>
      </c>
      <c r="J534">
        <v>322.13763828690099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162.93799999999999</v>
      </c>
      <c r="S534">
        <v>0.29499999999999998</v>
      </c>
      <c r="T534">
        <v>-0.44900000000000001</v>
      </c>
      <c r="U534">
        <v>0</v>
      </c>
      <c r="V534" t="b">
        <v>0</v>
      </c>
      <c r="W534" t="s">
        <v>52</v>
      </c>
    </row>
    <row r="535" spans="2:23" x14ac:dyDescent="0.3">
      <c r="B535" s="2">
        <f t="shared" si="8"/>
        <v>13.587006100000053</v>
      </c>
      <c r="C535">
        <v>3235.2623036999998</v>
      </c>
      <c r="D535">
        <v>117</v>
      </c>
      <c r="E535">
        <v>351</v>
      </c>
      <c r="F535">
        <v>105.56100000000001</v>
      </c>
      <c r="G535">
        <v>360.56299999999999</v>
      </c>
      <c r="H535">
        <v>118.0878</v>
      </c>
      <c r="I535">
        <v>346.234119999999</v>
      </c>
      <c r="J535">
        <v>322.13763828690099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162.93799999999999</v>
      </c>
      <c r="S535">
        <v>0.29499999999999998</v>
      </c>
      <c r="T535">
        <v>-0.44900000000000001</v>
      </c>
      <c r="U535">
        <v>0</v>
      </c>
      <c r="V535" t="b">
        <v>0</v>
      </c>
      <c r="W535" t="s">
        <v>52</v>
      </c>
    </row>
    <row r="536" spans="2:23" x14ac:dyDescent="0.3">
      <c r="B536" s="2">
        <f t="shared" si="8"/>
        <v>13.619073000000299</v>
      </c>
      <c r="C536">
        <v>3235.2943706000001</v>
      </c>
      <c r="D536">
        <v>117</v>
      </c>
      <c r="E536">
        <v>351</v>
      </c>
      <c r="F536">
        <v>105.56100000000001</v>
      </c>
      <c r="G536">
        <v>360.56299999999999</v>
      </c>
      <c r="H536">
        <v>118.0878</v>
      </c>
      <c r="I536">
        <v>346.234119999999</v>
      </c>
      <c r="J536">
        <v>322.13763828690099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162.941</v>
      </c>
      <c r="S536">
        <v>0.30299999999999999</v>
      </c>
      <c r="T536">
        <v>-0.45400000000000001</v>
      </c>
      <c r="U536">
        <v>0</v>
      </c>
      <c r="V536" t="b">
        <v>0</v>
      </c>
      <c r="W536" t="s">
        <v>52</v>
      </c>
    </row>
    <row r="537" spans="2:23" x14ac:dyDescent="0.3">
      <c r="B537" s="2">
        <f t="shared" si="8"/>
        <v>13.650212200000169</v>
      </c>
      <c r="C537">
        <v>3235.3255098</v>
      </c>
      <c r="D537">
        <v>117</v>
      </c>
      <c r="E537">
        <v>351</v>
      </c>
      <c r="F537">
        <v>105.56100000000001</v>
      </c>
      <c r="G537">
        <v>360.56299999999999</v>
      </c>
      <c r="H537">
        <v>118.0878</v>
      </c>
      <c r="I537">
        <v>346.234119999999</v>
      </c>
      <c r="J537">
        <v>322.13763828690099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162.941</v>
      </c>
      <c r="S537">
        <v>0.30299999999999999</v>
      </c>
      <c r="T537">
        <v>-0.45400000000000001</v>
      </c>
      <c r="U537">
        <v>0</v>
      </c>
      <c r="V537" t="b">
        <v>0</v>
      </c>
      <c r="W537" t="s">
        <v>52</v>
      </c>
    </row>
    <row r="538" spans="2:23" x14ac:dyDescent="0.3">
      <c r="B538" s="2">
        <f t="shared" si="8"/>
        <v>13.681003300000157</v>
      </c>
      <c r="C538">
        <v>3235.3563009</v>
      </c>
      <c r="D538">
        <v>117</v>
      </c>
      <c r="E538">
        <v>351</v>
      </c>
      <c r="F538">
        <v>105.56100000000001</v>
      </c>
      <c r="G538">
        <v>360.56299999999999</v>
      </c>
      <c r="H538">
        <v>118.0878</v>
      </c>
      <c r="I538">
        <v>346.234119999999</v>
      </c>
      <c r="J538">
        <v>322.13763828690099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162.946</v>
      </c>
      <c r="S538">
        <v>0.311</v>
      </c>
      <c r="T538">
        <v>-0.45800000000000002</v>
      </c>
      <c r="U538">
        <v>0</v>
      </c>
      <c r="V538" t="b">
        <v>0</v>
      </c>
      <c r="W538" t="s">
        <v>52</v>
      </c>
    </row>
    <row r="539" spans="2:23" x14ac:dyDescent="0.3">
      <c r="B539" s="2">
        <f t="shared" si="8"/>
        <v>13.712306100000205</v>
      </c>
      <c r="C539">
        <v>3235.3876037</v>
      </c>
      <c r="D539">
        <v>117</v>
      </c>
      <c r="E539">
        <v>351</v>
      </c>
      <c r="F539">
        <v>105.56100000000001</v>
      </c>
      <c r="G539">
        <v>360.56299999999999</v>
      </c>
      <c r="H539">
        <v>118.0878</v>
      </c>
      <c r="I539">
        <v>346.234119999999</v>
      </c>
      <c r="J539">
        <v>322.13763828690099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162.946</v>
      </c>
      <c r="S539">
        <v>0.311</v>
      </c>
      <c r="T539">
        <v>-0.45800000000000002</v>
      </c>
      <c r="U539">
        <v>0</v>
      </c>
      <c r="V539" t="b">
        <v>0</v>
      </c>
      <c r="W539" t="s">
        <v>52</v>
      </c>
    </row>
    <row r="540" spans="2:23" x14ac:dyDescent="0.3">
      <c r="B540" s="2">
        <f t="shared" si="8"/>
        <v>13.758961900000031</v>
      </c>
      <c r="C540">
        <v>3235.4342594999998</v>
      </c>
      <c r="D540">
        <v>117</v>
      </c>
      <c r="E540">
        <v>351</v>
      </c>
      <c r="F540">
        <v>105.56100000000001</v>
      </c>
      <c r="G540">
        <v>360.56299999999999</v>
      </c>
      <c r="H540">
        <v>118.0878</v>
      </c>
      <c r="I540">
        <v>346.234119999999</v>
      </c>
      <c r="J540">
        <v>322.13763828690099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162.94800000000001</v>
      </c>
      <c r="S540">
        <v>0.31900000000000001</v>
      </c>
      <c r="T540">
        <v>-0.45300000000000001</v>
      </c>
      <c r="U540">
        <v>0</v>
      </c>
      <c r="V540" t="b">
        <v>0</v>
      </c>
      <c r="W540" t="s">
        <v>52</v>
      </c>
    </row>
    <row r="541" spans="2:23" x14ac:dyDescent="0.3">
      <c r="B541" s="2">
        <f t="shared" si="8"/>
        <v>13.789472500000102</v>
      </c>
      <c r="C541">
        <v>3235.4647700999999</v>
      </c>
      <c r="D541">
        <v>117</v>
      </c>
      <c r="E541">
        <v>351</v>
      </c>
      <c r="F541">
        <v>105.56100000000001</v>
      </c>
      <c r="G541">
        <v>360.56299999999999</v>
      </c>
      <c r="H541">
        <v>118.0878</v>
      </c>
      <c r="I541">
        <v>346.234119999999</v>
      </c>
      <c r="J541">
        <v>322.13763828690099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162.94800000000001</v>
      </c>
      <c r="S541">
        <v>0.31900000000000001</v>
      </c>
      <c r="T541">
        <v>-0.45300000000000001</v>
      </c>
      <c r="U541">
        <v>0</v>
      </c>
      <c r="V541" t="b">
        <v>0</v>
      </c>
      <c r="W541" t="s">
        <v>52</v>
      </c>
    </row>
    <row r="542" spans="2:23" x14ac:dyDescent="0.3">
      <c r="B542" s="2">
        <f t="shared" si="8"/>
        <v>13.822084700000232</v>
      </c>
      <c r="C542">
        <v>3235.4973823</v>
      </c>
      <c r="D542">
        <v>117</v>
      </c>
      <c r="E542">
        <v>351</v>
      </c>
      <c r="F542">
        <v>105.56100000000001</v>
      </c>
      <c r="G542">
        <v>360.56299999999999</v>
      </c>
      <c r="H542">
        <v>118.0878</v>
      </c>
      <c r="I542">
        <v>346.234119999999</v>
      </c>
      <c r="J542">
        <v>322.13763828690099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162.94999999999999</v>
      </c>
      <c r="S542">
        <v>0.32600000000000001</v>
      </c>
      <c r="T542">
        <v>-0.45900000000000002</v>
      </c>
      <c r="U542">
        <v>0</v>
      </c>
      <c r="V542" t="b">
        <v>0</v>
      </c>
      <c r="W542" t="s">
        <v>52</v>
      </c>
    </row>
    <row r="543" spans="2:23" x14ac:dyDescent="0.3">
      <c r="B543" s="2">
        <f t="shared" si="8"/>
        <v>13.852689600000303</v>
      </c>
      <c r="C543">
        <v>3235.5279872000001</v>
      </c>
      <c r="D543">
        <v>117</v>
      </c>
      <c r="E543">
        <v>351</v>
      </c>
      <c r="F543">
        <v>105.56100000000001</v>
      </c>
      <c r="G543">
        <v>360.56299999999999</v>
      </c>
      <c r="H543">
        <v>118.0878</v>
      </c>
      <c r="I543">
        <v>346.234119999999</v>
      </c>
      <c r="J543">
        <v>322.13763828690099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162.94999999999999</v>
      </c>
      <c r="S543">
        <v>0.32600000000000001</v>
      </c>
      <c r="T543">
        <v>-0.45900000000000002</v>
      </c>
      <c r="U543">
        <v>0</v>
      </c>
      <c r="V543" t="b">
        <v>0</v>
      </c>
      <c r="W543" t="s">
        <v>52</v>
      </c>
    </row>
    <row r="544" spans="2:23" x14ac:dyDescent="0.3">
      <c r="B544" s="2">
        <f t="shared" si="8"/>
        <v>13.883946300000389</v>
      </c>
      <c r="C544">
        <v>3235.5592439000002</v>
      </c>
      <c r="D544">
        <v>117</v>
      </c>
      <c r="E544">
        <v>351</v>
      </c>
      <c r="F544">
        <v>105.56100000000001</v>
      </c>
      <c r="G544">
        <v>360.56299999999999</v>
      </c>
      <c r="H544">
        <v>118.0878</v>
      </c>
      <c r="I544">
        <v>346.234119999999</v>
      </c>
      <c r="J544">
        <v>322.13763828690099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162.95400000000001</v>
      </c>
      <c r="S544">
        <v>0.33400000000000002</v>
      </c>
      <c r="T544">
        <v>-0.44900000000000001</v>
      </c>
      <c r="U544">
        <v>0</v>
      </c>
      <c r="V544" t="b">
        <v>0</v>
      </c>
      <c r="W544" t="s">
        <v>52</v>
      </c>
    </row>
    <row r="545" spans="2:23" x14ac:dyDescent="0.3">
      <c r="B545" s="2">
        <f t="shared" si="8"/>
        <v>13.914673300000231</v>
      </c>
      <c r="C545">
        <v>3235.5899709</v>
      </c>
      <c r="D545">
        <v>117</v>
      </c>
      <c r="E545">
        <v>351</v>
      </c>
      <c r="F545">
        <v>105.56100000000001</v>
      </c>
      <c r="G545">
        <v>360.56299999999999</v>
      </c>
      <c r="H545">
        <v>118.0878</v>
      </c>
      <c r="I545">
        <v>346.234119999999</v>
      </c>
      <c r="J545">
        <v>322.13763828690099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162.95400000000001</v>
      </c>
      <c r="S545">
        <v>0.33400000000000002</v>
      </c>
      <c r="T545">
        <v>-0.44900000000000001</v>
      </c>
      <c r="U545">
        <v>0</v>
      </c>
      <c r="V545" t="b">
        <v>0</v>
      </c>
      <c r="W545" t="s">
        <v>52</v>
      </c>
    </row>
    <row r="546" spans="2:23" x14ac:dyDescent="0.3">
      <c r="B546" s="2">
        <f t="shared" si="8"/>
        <v>13.945167700000184</v>
      </c>
      <c r="C546">
        <v>3235.6204653</v>
      </c>
      <c r="D546">
        <v>117</v>
      </c>
      <c r="E546">
        <v>351</v>
      </c>
      <c r="F546">
        <v>105.56100000000001</v>
      </c>
      <c r="G546">
        <v>360.56299999999999</v>
      </c>
      <c r="H546">
        <v>118.0878</v>
      </c>
      <c r="I546">
        <v>346.234119999999</v>
      </c>
      <c r="J546">
        <v>322.13763828690099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162.95699999999999</v>
      </c>
      <c r="S546">
        <v>0.33700000000000002</v>
      </c>
      <c r="T546">
        <v>-0.441</v>
      </c>
      <c r="U546">
        <v>0</v>
      </c>
      <c r="V546" t="b">
        <v>0</v>
      </c>
      <c r="W546" t="s">
        <v>52</v>
      </c>
    </row>
    <row r="547" spans="2:23" x14ac:dyDescent="0.3">
      <c r="B547" s="2">
        <f t="shared" si="8"/>
        <v>13.992031400000087</v>
      </c>
      <c r="C547">
        <v>3235.6673289999999</v>
      </c>
      <c r="D547">
        <v>117</v>
      </c>
      <c r="E547">
        <v>351</v>
      </c>
      <c r="F547">
        <v>105.56100000000001</v>
      </c>
      <c r="G547">
        <v>360.56299999999999</v>
      </c>
      <c r="H547">
        <v>118.0878</v>
      </c>
      <c r="I547">
        <v>346.234119999999</v>
      </c>
      <c r="J547">
        <v>322.13763828690099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162.95699999999999</v>
      </c>
      <c r="S547">
        <v>0.33700000000000002</v>
      </c>
      <c r="T547">
        <v>-0.441</v>
      </c>
      <c r="U547">
        <v>0</v>
      </c>
      <c r="V547" t="b">
        <v>0</v>
      </c>
      <c r="W547" t="s">
        <v>52</v>
      </c>
    </row>
    <row r="548" spans="2:23" x14ac:dyDescent="0.3">
      <c r="B548" s="2">
        <f t="shared" si="8"/>
        <v>14.023872700000084</v>
      </c>
      <c r="C548">
        <v>3235.6991702999999</v>
      </c>
      <c r="D548">
        <v>117</v>
      </c>
      <c r="E548">
        <v>351</v>
      </c>
      <c r="F548">
        <v>105.56100000000001</v>
      </c>
      <c r="G548">
        <v>360.56299999999999</v>
      </c>
      <c r="H548">
        <v>118.0878</v>
      </c>
      <c r="I548">
        <v>346.234119999999</v>
      </c>
      <c r="J548">
        <v>322.13763828690099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162.96</v>
      </c>
      <c r="S548">
        <v>0.35199999999999998</v>
      </c>
      <c r="T548">
        <v>-0.44600000000000001</v>
      </c>
      <c r="U548">
        <v>0</v>
      </c>
      <c r="V548" t="b">
        <v>0</v>
      </c>
      <c r="W548" t="s">
        <v>52</v>
      </c>
    </row>
    <row r="549" spans="2:23" x14ac:dyDescent="0.3">
      <c r="B549" s="2">
        <f t="shared" si="8"/>
        <v>14.054001299999982</v>
      </c>
      <c r="C549">
        <v>3235.7292988999998</v>
      </c>
      <c r="D549">
        <v>117</v>
      </c>
      <c r="E549">
        <v>351</v>
      </c>
      <c r="F549">
        <v>105.56100000000001</v>
      </c>
      <c r="G549">
        <v>360.56299999999999</v>
      </c>
      <c r="H549">
        <v>118.0878</v>
      </c>
      <c r="I549">
        <v>346.234119999999</v>
      </c>
      <c r="J549">
        <v>322.13763828690099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162.96</v>
      </c>
      <c r="S549">
        <v>0.35199999999999998</v>
      </c>
      <c r="T549">
        <v>-0.44600000000000001</v>
      </c>
      <c r="U549">
        <v>0</v>
      </c>
      <c r="V549" t="b">
        <v>0</v>
      </c>
      <c r="W549" t="s">
        <v>52</v>
      </c>
    </row>
    <row r="550" spans="2:23" x14ac:dyDescent="0.3">
      <c r="B550" s="2">
        <f t="shared" si="8"/>
        <v>14.069429500000297</v>
      </c>
      <c r="C550">
        <v>3235.7447271000001</v>
      </c>
      <c r="D550">
        <v>117</v>
      </c>
      <c r="E550">
        <v>351</v>
      </c>
      <c r="F550">
        <v>105.56100000000001</v>
      </c>
      <c r="G550">
        <v>360.56299999999999</v>
      </c>
      <c r="H550">
        <v>118.0878</v>
      </c>
      <c r="I550">
        <v>346.234119999999</v>
      </c>
      <c r="J550">
        <v>322.13763828690099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162.96299999999999</v>
      </c>
      <c r="S550">
        <v>0.36099999999999999</v>
      </c>
      <c r="T550">
        <v>-0.45400000000000001</v>
      </c>
      <c r="U550">
        <v>0</v>
      </c>
      <c r="V550" t="b">
        <v>0</v>
      </c>
      <c r="W550" t="s">
        <v>52</v>
      </c>
    </row>
    <row r="551" spans="2:23" x14ac:dyDescent="0.3">
      <c r="B551" s="2">
        <f t="shared" si="8"/>
        <v>14.100932499999999</v>
      </c>
      <c r="C551">
        <v>3235.7762300999998</v>
      </c>
      <c r="D551">
        <v>117</v>
      </c>
      <c r="E551">
        <v>351</v>
      </c>
      <c r="F551">
        <v>105.56100000000001</v>
      </c>
      <c r="G551">
        <v>360.56299999999999</v>
      </c>
      <c r="H551">
        <v>118.0878</v>
      </c>
      <c r="I551">
        <v>346.234119999999</v>
      </c>
      <c r="J551">
        <v>322.13763828690099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162.96299999999999</v>
      </c>
      <c r="S551">
        <v>0.36099999999999999</v>
      </c>
      <c r="T551">
        <v>-0.45400000000000001</v>
      </c>
      <c r="U551">
        <v>0</v>
      </c>
      <c r="V551" t="b">
        <v>0</v>
      </c>
      <c r="W551" t="s">
        <v>52</v>
      </c>
    </row>
    <row r="552" spans="2:23" x14ac:dyDescent="0.3">
      <c r="B552" s="2">
        <f t="shared" si="8"/>
        <v>14.14680670000007</v>
      </c>
      <c r="C552">
        <v>3235.8221042999999</v>
      </c>
      <c r="D552">
        <v>117</v>
      </c>
      <c r="E552">
        <v>351</v>
      </c>
      <c r="F552">
        <v>105.56100000000001</v>
      </c>
      <c r="G552">
        <v>360.56299999999999</v>
      </c>
      <c r="H552">
        <v>118.0878</v>
      </c>
      <c r="I552">
        <v>346.234119999999</v>
      </c>
      <c r="J552">
        <v>322.13763828690099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162.96600000000001</v>
      </c>
      <c r="S552">
        <v>0.377</v>
      </c>
      <c r="T552">
        <v>-0.44900000000000001</v>
      </c>
      <c r="U552">
        <v>0</v>
      </c>
      <c r="V552" t="b">
        <v>0</v>
      </c>
      <c r="W552" t="s">
        <v>52</v>
      </c>
    </row>
    <row r="553" spans="2:23" x14ac:dyDescent="0.3">
      <c r="B553" s="2">
        <f t="shared" si="8"/>
        <v>14.17827780000016</v>
      </c>
      <c r="C553">
        <v>3235.8535754</v>
      </c>
      <c r="D553">
        <v>117</v>
      </c>
      <c r="E553">
        <v>351</v>
      </c>
      <c r="F553">
        <v>105.56100000000001</v>
      </c>
      <c r="G553">
        <v>360.56299999999999</v>
      </c>
      <c r="H553">
        <v>118.0878</v>
      </c>
      <c r="I553">
        <v>346.234119999999</v>
      </c>
      <c r="J553">
        <v>322.13763828690099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162.96600000000001</v>
      </c>
      <c r="S553">
        <v>0.377</v>
      </c>
      <c r="T553">
        <v>-0.44900000000000001</v>
      </c>
      <c r="U553">
        <v>0</v>
      </c>
      <c r="V553" t="b">
        <v>0</v>
      </c>
      <c r="W553" t="s">
        <v>52</v>
      </c>
    </row>
    <row r="554" spans="2:23" x14ac:dyDescent="0.3">
      <c r="B554" s="2">
        <f t="shared" si="8"/>
        <v>14.209291300000132</v>
      </c>
      <c r="C554">
        <v>3235.8845888999999</v>
      </c>
      <c r="D554">
        <v>117</v>
      </c>
      <c r="E554">
        <v>351</v>
      </c>
      <c r="F554">
        <v>105.56100000000001</v>
      </c>
      <c r="G554">
        <v>360.56299999999999</v>
      </c>
      <c r="H554">
        <v>118.0878</v>
      </c>
      <c r="I554">
        <v>346.234119999999</v>
      </c>
      <c r="J554">
        <v>322.13763828690099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162.96899999999999</v>
      </c>
      <c r="S554">
        <v>0.38600000000000001</v>
      </c>
      <c r="T554">
        <v>-0.45400000000000001</v>
      </c>
      <c r="U554">
        <v>0</v>
      </c>
      <c r="V554" t="b">
        <v>0</v>
      </c>
      <c r="W554" t="s">
        <v>52</v>
      </c>
    </row>
    <row r="555" spans="2:23" x14ac:dyDescent="0.3">
      <c r="B555" s="2">
        <f t="shared" si="8"/>
        <v>14.240556100000049</v>
      </c>
      <c r="C555">
        <v>3235.9158536999998</v>
      </c>
      <c r="D555">
        <v>117</v>
      </c>
      <c r="E555">
        <v>351</v>
      </c>
      <c r="F555">
        <v>105.56100000000001</v>
      </c>
      <c r="G555">
        <v>360.56299999999999</v>
      </c>
      <c r="H555">
        <v>118.0878</v>
      </c>
      <c r="I555">
        <v>346.234119999999</v>
      </c>
      <c r="J555">
        <v>322.13763828690099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162.96899999999999</v>
      </c>
      <c r="S555">
        <v>0.38600000000000001</v>
      </c>
      <c r="T555">
        <v>-0.45400000000000001</v>
      </c>
      <c r="U555">
        <v>0</v>
      </c>
      <c r="V555" t="b">
        <v>0</v>
      </c>
      <c r="W555" t="s">
        <v>52</v>
      </c>
    </row>
    <row r="556" spans="2:23" x14ac:dyDescent="0.3">
      <c r="B556" s="2">
        <f t="shared" si="8"/>
        <v>14.271950000000288</v>
      </c>
      <c r="C556">
        <v>3235.9472476000001</v>
      </c>
      <c r="D556">
        <v>117</v>
      </c>
      <c r="E556">
        <v>351</v>
      </c>
      <c r="F556">
        <v>105.56100000000001</v>
      </c>
      <c r="G556">
        <v>360.56299999999999</v>
      </c>
      <c r="H556">
        <v>118.0878</v>
      </c>
      <c r="I556">
        <v>346.234119999999</v>
      </c>
      <c r="J556">
        <v>322.13763828690099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162.97200000000001</v>
      </c>
      <c r="S556">
        <v>0.39800000000000002</v>
      </c>
      <c r="T556">
        <v>-0.45900000000000002</v>
      </c>
      <c r="U556">
        <v>0</v>
      </c>
      <c r="V556" t="b">
        <v>0</v>
      </c>
      <c r="W556" t="s">
        <v>52</v>
      </c>
    </row>
    <row r="557" spans="2:23" x14ac:dyDescent="0.3">
      <c r="B557" s="2">
        <f t="shared" si="8"/>
        <v>14.303397800000312</v>
      </c>
      <c r="C557">
        <v>3235.9786954000001</v>
      </c>
      <c r="D557">
        <v>117</v>
      </c>
      <c r="E557">
        <v>351</v>
      </c>
      <c r="F557">
        <v>105.56100000000001</v>
      </c>
      <c r="G557">
        <v>360.56299999999999</v>
      </c>
      <c r="H557">
        <v>118.0878</v>
      </c>
      <c r="I557">
        <v>346.234119999999</v>
      </c>
      <c r="J557">
        <v>322.13763828690099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162.97200000000001</v>
      </c>
      <c r="S557">
        <v>0.39800000000000002</v>
      </c>
      <c r="T557">
        <v>-0.45900000000000002</v>
      </c>
      <c r="U557">
        <v>0</v>
      </c>
      <c r="V557" t="b">
        <v>0</v>
      </c>
      <c r="W557" t="s">
        <v>52</v>
      </c>
    </row>
    <row r="558" spans="2:23" x14ac:dyDescent="0.3">
      <c r="B558" s="2">
        <f t="shared" si="8"/>
        <v>14.333667700000206</v>
      </c>
      <c r="C558">
        <v>3236.0089653</v>
      </c>
      <c r="D558">
        <v>117</v>
      </c>
      <c r="E558">
        <v>351</v>
      </c>
      <c r="F558">
        <v>105.56100000000001</v>
      </c>
      <c r="G558">
        <v>360.56299999999999</v>
      </c>
      <c r="H558">
        <v>118.0878</v>
      </c>
      <c r="I558">
        <v>346.234119999999</v>
      </c>
      <c r="J558">
        <v>322.13763828690099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162.97499999999999</v>
      </c>
      <c r="S558">
        <v>0.40500000000000003</v>
      </c>
      <c r="T558">
        <v>-0.46400000000000002</v>
      </c>
      <c r="U558">
        <v>0</v>
      </c>
      <c r="V558" t="b">
        <v>0</v>
      </c>
      <c r="W558" t="s">
        <v>52</v>
      </c>
    </row>
    <row r="559" spans="2:23" x14ac:dyDescent="0.3">
      <c r="B559" s="2">
        <f t="shared" si="8"/>
        <v>14.380823100000271</v>
      </c>
      <c r="C559">
        <v>3236.0561207000001</v>
      </c>
      <c r="D559">
        <v>117</v>
      </c>
      <c r="E559">
        <v>351</v>
      </c>
      <c r="F559">
        <v>105.56100000000001</v>
      </c>
      <c r="G559">
        <v>360.56299999999999</v>
      </c>
      <c r="H559">
        <v>118.0878</v>
      </c>
      <c r="I559">
        <v>346.234119999999</v>
      </c>
      <c r="J559">
        <v>322.13763828690099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162.97499999999999</v>
      </c>
      <c r="S559">
        <v>0.40500000000000003</v>
      </c>
      <c r="T559">
        <v>-0.46400000000000002</v>
      </c>
      <c r="U559">
        <v>0</v>
      </c>
      <c r="V559" t="b">
        <v>0</v>
      </c>
      <c r="W559" t="s">
        <v>52</v>
      </c>
    </row>
    <row r="560" spans="2:23" x14ac:dyDescent="0.3">
      <c r="B560" s="2">
        <f t="shared" si="8"/>
        <v>14.411975400000301</v>
      </c>
      <c r="C560">
        <v>3236.0872730000001</v>
      </c>
      <c r="D560">
        <v>117</v>
      </c>
      <c r="E560">
        <v>351</v>
      </c>
      <c r="F560">
        <v>105.56100000000001</v>
      </c>
      <c r="G560">
        <v>360.56299999999999</v>
      </c>
      <c r="H560">
        <v>118.0878</v>
      </c>
      <c r="I560">
        <v>346.234119999999</v>
      </c>
      <c r="J560">
        <v>322.13763828690099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162.97800000000001</v>
      </c>
      <c r="S560">
        <v>0.42699999999999999</v>
      </c>
      <c r="T560">
        <v>-0.46600000000000003</v>
      </c>
      <c r="U560">
        <v>0</v>
      </c>
      <c r="V560" t="b">
        <v>0</v>
      </c>
      <c r="W560" t="s">
        <v>52</v>
      </c>
    </row>
    <row r="561" spans="2:23" x14ac:dyDescent="0.3">
      <c r="B561" s="2">
        <f t="shared" si="8"/>
        <v>14.442735900000116</v>
      </c>
      <c r="C561">
        <v>3236.1180334999999</v>
      </c>
      <c r="D561">
        <v>117</v>
      </c>
      <c r="E561">
        <v>351</v>
      </c>
      <c r="F561">
        <v>105.56100000000001</v>
      </c>
      <c r="G561">
        <v>360.56299999999999</v>
      </c>
      <c r="H561">
        <v>118.0878</v>
      </c>
      <c r="I561">
        <v>346.234119999999</v>
      </c>
      <c r="J561">
        <v>322.13763828690099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162.97800000000001</v>
      </c>
      <c r="S561">
        <v>0.42699999999999999</v>
      </c>
      <c r="T561">
        <v>-0.46600000000000003</v>
      </c>
      <c r="U561">
        <v>0</v>
      </c>
      <c r="V561" t="b">
        <v>0</v>
      </c>
      <c r="W561" t="s">
        <v>52</v>
      </c>
    </row>
    <row r="562" spans="2:23" x14ac:dyDescent="0.3">
      <c r="B562" s="2">
        <f t="shared" si="8"/>
        <v>14.473656100000426</v>
      </c>
      <c r="C562">
        <v>3236.1489537000002</v>
      </c>
      <c r="D562">
        <v>117</v>
      </c>
      <c r="E562">
        <v>351</v>
      </c>
      <c r="F562">
        <v>105.56100000000001</v>
      </c>
      <c r="G562">
        <v>360.56299999999999</v>
      </c>
      <c r="H562">
        <v>118.0878</v>
      </c>
      <c r="I562">
        <v>346.234119999999</v>
      </c>
      <c r="J562">
        <v>322.13763828690099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162.97999999999999</v>
      </c>
      <c r="S562">
        <v>0.44800000000000001</v>
      </c>
      <c r="T562">
        <v>-0.46300000000000002</v>
      </c>
      <c r="U562">
        <v>0</v>
      </c>
      <c r="V562" t="b">
        <v>0</v>
      </c>
      <c r="W562" t="s">
        <v>52</v>
      </c>
    </row>
    <row r="563" spans="2:23" x14ac:dyDescent="0.3">
      <c r="B563" s="2">
        <f t="shared" si="8"/>
        <v>14.520020100000238</v>
      </c>
      <c r="C563">
        <v>3236.1953177</v>
      </c>
      <c r="D563">
        <v>117</v>
      </c>
      <c r="E563">
        <v>351</v>
      </c>
      <c r="F563">
        <v>105.56100000000001</v>
      </c>
      <c r="G563">
        <v>360.56299999999999</v>
      </c>
      <c r="H563">
        <v>118.0878</v>
      </c>
      <c r="I563">
        <v>346.234119999999</v>
      </c>
      <c r="J563">
        <v>322.13763828690099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162.97999999999999</v>
      </c>
      <c r="S563">
        <v>0.44800000000000001</v>
      </c>
      <c r="T563">
        <v>-0.46300000000000002</v>
      </c>
      <c r="U563">
        <v>0</v>
      </c>
      <c r="V563" t="b">
        <v>0</v>
      </c>
      <c r="W563" t="s">
        <v>52</v>
      </c>
    </row>
    <row r="564" spans="2:23" x14ac:dyDescent="0.3">
      <c r="B564" s="2">
        <f t="shared" si="8"/>
        <v>14.535756900000251</v>
      </c>
      <c r="C564">
        <v>3236.2110545</v>
      </c>
      <c r="D564">
        <v>117</v>
      </c>
      <c r="E564">
        <v>351</v>
      </c>
      <c r="F564">
        <v>105.56100000000001</v>
      </c>
      <c r="G564">
        <v>360.56299999999999</v>
      </c>
      <c r="H564">
        <v>118.0878</v>
      </c>
      <c r="I564">
        <v>346.234119999999</v>
      </c>
      <c r="J564">
        <v>322.13763828690099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162.982</v>
      </c>
      <c r="S564">
        <v>0.46800000000000003</v>
      </c>
      <c r="T564">
        <v>-0.47099999999999997</v>
      </c>
      <c r="U564">
        <v>0</v>
      </c>
      <c r="V564" t="b">
        <v>0</v>
      </c>
      <c r="W564" t="s">
        <v>52</v>
      </c>
    </row>
    <row r="565" spans="2:23" x14ac:dyDescent="0.3">
      <c r="B565" s="2">
        <f t="shared" si="8"/>
        <v>14.567050000000108</v>
      </c>
      <c r="C565">
        <v>3236.2423475999999</v>
      </c>
      <c r="D565">
        <v>117</v>
      </c>
      <c r="E565">
        <v>351</v>
      </c>
      <c r="F565">
        <v>105.56100000000001</v>
      </c>
      <c r="G565">
        <v>360.56299999999999</v>
      </c>
      <c r="H565">
        <v>118.0878</v>
      </c>
      <c r="I565">
        <v>346.234119999999</v>
      </c>
      <c r="J565">
        <v>322.13763828690099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162.982</v>
      </c>
      <c r="S565">
        <v>0.46800000000000003</v>
      </c>
      <c r="T565">
        <v>-0.47099999999999997</v>
      </c>
      <c r="U565">
        <v>0</v>
      </c>
      <c r="V565" t="b">
        <v>0</v>
      </c>
      <c r="W565" t="s">
        <v>52</v>
      </c>
    </row>
    <row r="566" spans="2:23" x14ac:dyDescent="0.3">
      <c r="B566" s="2">
        <f t="shared" si="8"/>
        <v>14.598388700000214</v>
      </c>
      <c r="C566">
        <v>3236.2736863</v>
      </c>
      <c r="D566">
        <v>117</v>
      </c>
      <c r="E566">
        <v>351</v>
      </c>
      <c r="F566">
        <v>105.56100000000001</v>
      </c>
      <c r="G566">
        <v>360.56299999999999</v>
      </c>
      <c r="H566">
        <v>118.0878</v>
      </c>
      <c r="I566">
        <v>346.234119999999</v>
      </c>
      <c r="J566">
        <v>322.13763828690099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162.98500000000001</v>
      </c>
      <c r="S566">
        <v>0.48599999999999999</v>
      </c>
      <c r="T566">
        <v>-0.47799999999999998</v>
      </c>
      <c r="U566">
        <v>0</v>
      </c>
      <c r="V566" t="b">
        <v>0</v>
      </c>
      <c r="W566" t="s">
        <v>52</v>
      </c>
    </row>
    <row r="567" spans="2:23" x14ac:dyDescent="0.3">
      <c r="B567" s="2">
        <f t="shared" si="8"/>
        <v>14.629995600000257</v>
      </c>
      <c r="C567">
        <v>3236.3052932000001</v>
      </c>
      <c r="D567">
        <v>117</v>
      </c>
      <c r="E567">
        <v>351</v>
      </c>
      <c r="F567">
        <v>105.56100000000001</v>
      </c>
      <c r="G567">
        <v>360.56299999999999</v>
      </c>
      <c r="H567">
        <v>118.0878</v>
      </c>
      <c r="I567">
        <v>346.234119999999</v>
      </c>
      <c r="J567">
        <v>322.13763828690099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162.98500000000001</v>
      </c>
      <c r="S567">
        <v>0.48599999999999999</v>
      </c>
      <c r="T567">
        <v>-0.47799999999999998</v>
      </c>
      <c r="U567">
        <v>0</v>
      </c>
      <c r="V567" t="b">
        <v>0</v>
      </c>
      <c r="W567" t="s">
        <v>52</v>
      </c>
    </row>
    <row r="568" spans="2:23" x14ac:dyDescent="0.3">
      <c r="B568" s="2">
        <f t="shared" si="8"/>
        <v>14.661513900000045</v>
      </c>
      <c r="C568">
        <v>3236.3368114999998</v>
      </c>
      <c r="D568">
        <v>117</v>
      </c>
      <c r="E568">
        <v>351</v>
      </c>
      <c r="F568">
        <v>105.56100000000001</v>
      </c>
      <c r="G568">
        <v>360.56299999999999</v>
      </c>
      <c r="H568">
        <v>118.0878</v>
      </c>
      <c r="I568">
        <v>346.234119999999</v>
      </c>
      <c r="J568">
        <v>322.13763828690099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162.989</v>
      </c>
      <c r="S568">
        <v>0.495</v>
      </c>
      <c r="T568">
        <v>-0.48399999999999999</v>
      </c>
      <c r="U568">
        <v>0</v>
      </c>
      <c r="V568" t="b">
        <v>0</v>
      </c>
      <c r="W568" t="s">
        <v>52</v>
      </c>
    </row>
    <row r="569" spans="2:23" x14ac:dyDescent="0.3">
      <c r="B569" s="2">
        <f t="shared" si="8"/>
        <v>14.69222660000014</v>
      </c>
      <c r="C569">
        <v>3236.3675241999999</v>
      </c>
      <c r="D569">
        <v>117</v>
      </c>
      <c r="E569">
        <v>351</v>
      </c>
      <c r="F569">
        <v>105.56100000000001</v>
      </c>
      <c r="G569">
        <v>360.56299999999999</v>
      </c>
      <c r="H569">
        <v>118.0878</v>
      </c>
      <c r="I569">
        <v>346.234119999999</v>
      </c>
      <c r="J569">
        <v>322.13763828690099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162.989</v>
      </c>
      <c r="S569">
        <v>0.495</v>
      </c>
      <c r="T569">
        <v>-0.48399999999999999</v>
      </c>
      <c r="U569">
        <v>0</v>
      </c>
      <c r="V569" t="b">
        <v>0</v>
      </c>
      <c r="W569" t="s">
        <v>52</v>
      </c>
    </row>
    <row r="570" spans="2:23" x14ac:dyDescent="0.3">
      <c r="B570" s="2">
        <f t="shared" si="8"/>
        <v>14.739200900000014</v>
      </c>
      <c r="C570">
        <v>3236.4144984999998</v>
      </c>
      <c r="D570">
        <v>117</v>
      </c>
      <c r="E570">
        <v>351</v>
      </c>
      <c r="F570">
        <v>105.56100000000001</v>
      </c>
      <c r="G570">
        <v>360.56299999999999</v>
      </c>
      <c r="H570">
        <v>118.0878</v>
      </c>
      <c r="I570">
        <v>346.234119999999</v>
      </c>
      <c r="J570">
        <v>322.13763828690099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162.99100000000001</v>
      </c>
      <c r="S570">
        <v>0.501</v>
      </c>
      <c r="T570">
        <v>-0.48099999999999998</v>
      </c>
      <c r="U570">
        <v>0</v>
      </c>
      <c r="V570" t="b">
        <v>0</v>
      </c>
      <c r="W570" t="s">
        <v>52</v>
      </c>
    </row>
    <row r="571" spans="2:23" x14ac:dyDescent="0.3">
      <c r="B571" s="2">
        <f t="shared" si="8"/>
        <v>14.754437200000211</v>
      </c>
      <c r="C571">
        <v>3236.4297348</v>
      </c>
      <c r="D571">
        <v>117</v>
      </c>
      <c r="E571">
        <v>351</v>
      </c>
      <c r="F571">
        <v>105.56100000000001</v>
      </c>
      <c r="G571">
        <v>360.56299999999999</v>
      </c>
      <c r="H571">
        <v>118.0878</v>
      </c>
      <c r="I571">
        <v>346.234119999999</v>
      </c>
      <c r="J571">
        <v>322.13763828690099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162.99100000000001</v>
      </c>
      <c r="S571">
        <v>0.501</v>
      </c>
      <c r="T571">
        <v>-0.48099999999999998</v>
      </c>
      <c r="U571">
        <v>0</v>
      </c>
      <c r="V571" t="b">
        <v>0</v>
      </c>
      <c r="W571" t="s">
        <v>52</v>
      </c>
    </row>
    <row r="572" spans="2:23" x14ac:dyDescent="0.3">
      <c r="B572" s="2">
        <f t="shared" si="8"/>
        <v>14.785069000000021</v>
      </c>
      <c r="C572">
        <v>3236.4603665999998</v>
      </c>
      <c r="D572">
        <v>117</v>
      </c>
      <c r="E572">
        <v>351</v>
      </c>
      <c r="F572">
        <v>105.56100000000001</v>
      </c>
      <c r="G572">
        <v>360.56299999999999</v>
      </c>
      <c r="H572">
        <v>118.0878</v>
      </c>
      <c r="I572">
        <v>346.234119999999</v>
      </c>
      <c r="J572">
        <v>322.13763828690099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162.994</v>
      </c>
      <c r="S572">
        <v>0.51100000000000001</v>
      </c>
      <c r="T572">
        <v>-0.48399999999999999</v>
      </c>
      <c r="U572">
        <v>0</v>
      </c>
      <c r="V572" t="b">
        <v>0</v>
      </c>
      <c r="W572" t="s">
        <v>52</v>
      </c>
    </row>
    <row r="573" spans="2:23" x14ac:dyDescent="0.3">
      <c r="B573" s="2">
        <f t="shared" si="8"/>
        <v>14.832659400000011</v>
      </c>
      <c r="C573">
        <v>3236.5079569999998</v>
      </c>
      <c r="D573">
        <v>117</v>
      </c>
      <c r="E573">
        <v>351</v>
      </c>
      <c r="F573">
        <v>105.56100000000001</v>
      </c>
      <c r="G573">
        <v>360.56299999999999</v>
      </c>
      <c r="H573">
        <v>118.0878</v>
      </c>
      <c r="I573">
        <v>346.234119999999</v>
      </c>
      <c r="J573">
        <v>322.13763828690099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162.994</v>
      </c>
      <c r="S573">
        <v>0.51100000000000001</v>
      </c>
      <c r="T573">
        <v>-0.48399999999999999</v>
      </c>
      <c r="U573">
        <v>0</v>
      </c>
      <c r="V573" t="b">
        <v>0</v>
      </c>
      <c r="W573" t="s">
        <v>52</v>
      </c>
    </row>
    <row r="574" spans="2:23" x14ac:dyDescent="0.3">
      <c r="B574" s="2">
        <f t="shared" si="8"/>
        <v>14.893836800000372</v>
      </c>
      <c r="C574">
        <v>3236.5691344000002</v>
      </c>
      <c r="D574">
        <v>117</v>
      </c>
      <c r="E574">
        <v>351</v>
      </c>
      <c r="F574">
        <v>105.56100000000001</v>
      </c>
      <c r="G574">
        <v>360.56299999999999</v>
      </c>
      <c r="H574">
        <v>118.0878</v>
      </c>
      <c r="I574">
        <v>346.234119999999</v>
      </c>
      <c r="J574">
        <v>322.13763828690099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162.99700000000001</v>
      </c>
      <c r="S574">
        <v>0.51800000000000002</v>
      </c>
      <c r="T574">
        <v>-0.49</v>
      </c>
      <c r="U574">
        <v>0</v>
      </c>
      <c r="V574" t="b">
        <v>0</v>
      </c>
      <c r="W574" t="s">
        <v>52</v>
      </c>
    </row>
    <row r="575" spans="2:23" x14ac:dyDescent="0.3">
      <c r="B575" s="2">
        <f t="shared" si="8"/>
        <v>14.909721200000149</v>
      </c>
      <c r="C575">
        <v>3236.5850187999999</v>
      </c>
      <c r="D575">
        <v>117</v>
      </c>
      <c r="E575">
        <v>351</v>
      </c>
      <c r="F575">
        <v>105.56100000000001</v>
      </c>
      <c r="G575">
        <v>360.56299999999999</v>
      </c>
      <c r="H575">
        <v>118.0878</v>
      </c>
      <c r="I575">
        <v>346.234119999999</v>
      </c>
      <c r="J575">
        <v>322.13763828690099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162.99700000000001</v>
      </c>
      <c r="S575">
        <v>0.51800000000000002</v>
      </c>
      <c r="T575">
        <v>-0.49</v>
      </c>
      <c r="U575">
        <v>0</v>
      </c>
      <c r="V575" t="b">
        <v>0</v>
      </c>
      <c r="W575" t="s">
        <v>52</v>
      </c>
    </row>
    <row r="576" spans="2:23" x14ac:dyDescent="0.3">
      <c r="B576" s="2">
        <f t="shared" si="8"/>
        <v>14.924976700000116</v>
      </c>
      <c r="C576">
        <v>3236.6002742999999</v>
      </c>
      <c r="D576">
        <v>117</v>
      </c>
      <c r="E576">
        <v>351</v>
      </c>
      <c r="F576">
        <v>105.56100000000001</v>
      </c>
      <c r="G576">
        <v>360.56299999999999</v>
      </c>
      <c r="H576">
        <v>118.0878</v>
      </c>
      <c r="I576">
        <v>346.234119999999</v>
      </c>
      <c r="J576">
        <v>322.13763828690099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162.999</v>
      </c>
      <c r="S576">
        <v>0.52500000000000002</v>
      </c>
      <c r="T576">
        <v>-0.49399999999999999</v>
      </c>
      <c r="U576">
        <v>0</v>
      </c>
      <c r="V576" t="b">
        <v>0</v>
      </c>
      <c r="W576" t="s">
        <v>52</v>
      </c>
    </row>
    <row r="577" spans="2:23" x14ac:dyDescent="0.3">
      <c r="B577" s="2">
        <f t="shared" si="8"/>
        <v>14.955839800000376</v>
      </c>
      <c r="C577">
        <v>3236.6311374000002</v>
      </c>
      <c r="D577">
        <v>117</v>
      </c>
      <c r="E577">
        <v>351</v>
      </c>
      <c r="F577">
        <v>105.56100000000001</v>
      </c>
      <c r="G577">
        <v>360.56299999999999</v>
      </c>
      <c r="H577">
        <v>118.0878</v>
      </c>
      <c r="I577">
        <v>346.234119999999</v>
      </c>
      <c r="J577">
        <v>322.13763828690099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162.999</v>
      </c>
      <c r="S577">
        <v>0.52500000000000002</v>
      </c>
      <c r="T577">
        <v>-0.49399999999999999</v>
      </c>
      <c r="U577">
        <v>0</v>
      </c>
      <c r="V577" t="b">
        <v>0</v>
      </c>
      <c r="W577" t="s">
        <v>52</v>
      </c>
    </row>
    <row r="578" spans="2:23" x14ac:dyDescent="0.3">
      <c r="B578" s="2">
        <f t="shared" si="8"/>
        <v>14.986666600000262</v>
      </c>
      <c r="C578">
        <v>3236.6619642000001</v>
      </c>
      <c r="D578">
        <v>117</v>
      </c>
      <c r="E578">
        <v>351</v>
      </c>
      <c r="F578">
        <v>105.56100000000001</v>
      </c>
      <c r="G578">
        <v>360.56299999999999</v>
      </c>
      <c r="H578">
        <v>118.0878</v>
      </c>
      <c r="I578">
        <v>346.234119999999</v>
      </c>
      <c r="J578">
        <v>322.13763828690099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163.00299999999999</v>
      </c>
      <c r="S578">
        <v>0.54400000000000004</v>
      </c>
      <c r="T578">
        <v>-0.498</v>
      </c>
      <c r="U578">
        <v>0</v>
      </c>
      <c r="V578" t="b">
        <v>0</v>
      </c>
      <c r="W578" t="s">
        <v>52</v>
      </c>
    </row>
    <row r="579" spans="2:23" x14ac:dyDescent="0.3">
      <c r="B579" s="2">
        <f t="shared" si="8"/>
        <v>15.049859900000229</v>
      </c>
      <c r="C579">
        <v>3236.7251575</v>
      </c>
      <c r="D579">
        <v>117</v>
      </c>
      <c r="E579">
        <v>351</v>
      </c>
      <c r="F579">
        <v>105.56100000000001</v>
      </c>
      <c r="G579">
        <v>360.56299999999999</v>
      </c>
      <c r="H579">
        <v>118.0878</v>
      </c>
      <c r="I579">
        <v>346.234119999999</v>
      </c>
      <c r="J579">
        <v>322.13763828690099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163.00299999999999</v>
      </c>
      <c r="S579">
        <v>0.54400000000000004</v>
      </c>
      <c r="T579">
        <v>-0.498</v>
      </c>
      <c r="U579">
        <v>0</v>
      </c>
      <c r="V579" t="b">
        <v>0</v>
      </c>
      <c r="W579" t="s">
        <v>52</v>
      </c>
    </row>
    <row r="580" spans="2:23" x14ac:dyDescent="0.3">
      <c r="B580" s="2">
        <f t="shared" ref="B580:B615" si="9">C580-$C$3</f>
        <v>15.065261300000202</v>
      </c>
      <c r="C580">
        <v>3236.7405589</v>
      </c>
      <c r="D580">
        <v>117</v>
      </c>
      <c r="E580">
        <v>351</v>
      </c>
      <c r="F580">
        <v>105.56100000000001</v>
      </c>
      <c r="G580">
        <v>360.56299999999999</v>
      </c>
      <c r="H580">
        <v>118.0878</v>
      </c>
      <c r="I580">
        <v>346.234119999999</v>
      </c>
      <c r="J580">
        <v>322.13763828690099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163.00899999999999</v>
      </c>
      <c r="S580">
        <v>0.55000000000000004</v>
      </c>
      <c r="T580">
        <v>-0.503</v>
      </c>
      <c r="U580">
        <v>0</v>
      </c>
      <c r="V580" t="b">
        <v>0</v>
      </c>
      <c r="W580" t="s">
        <v>52</v>
      </c>
    </row>
    <row r="581" spans="2:23" x14ac:dyDescent="0.3">
      <c r="B581" s="2">
        <f t="shared" si="9"/>
        <v>15.095883800000138</v>
      </c>
      <c r="C581">
        <v>3236.7711813999999</v>
      </c>
      <c r="D581">
        <v>117</v>
      </c>
      <c r="E581">
        <v>351</v>
      </c>
      <c r="F581">
        <v>105.56100000000001</v>
      </c>
      <c r="G581">
        <v>360.56299999999999</v>
      </c>
      <c r="H581">
        <v>118.0878</v>
      </c>
      <c r="I581">
        <v>346.234119999999</v>
      </c>
      <c r="J581">
        <v>322.13763828690099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163.00899999999999</v>
      </c>
      <c r="S581">
        <v>0.55000000000000004</v>
      </c>
      <c r="T581">
        <v>-0.503</v>
      </c>
      <c r="U581">
        <v>0</v>
      </c>
      <c r="V581" t="b">
        <v>0</v>
      </c>
      <c r="W581" t="s">
        <v>52</v>
      </c>
    </row>
    <row r="582" spans="2:23" x14ac:dyDescent="0.3">
      <c r="B582" s="2">
        <f t="shared" si="9"/>
        <v>15.127459300000282</v>
      </c>
      <c r="C582">
        <v>3236.8027569000001</v>
      </c>
      <c r="D582">
        <v>117</v>
      </c>
      <c r="E582">
        <v>351</v>
      </c>
      <c r="F582">
        <v>105.56100000000001</v>
      </c>
      <c r="G582">
        <v>360.56299999999999</v>
      </c>
      <c r="H582">
        <v>118.0878</v>
      </c>
      <c r="I582">
        <v>346.234119999999</v>
      </c>
      <c r="J582">
        <v>322.13763828690099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163.00899999999999</v>
      </c>
      <c r="S582">
        <v>0.55000000000000004</v>
      </c>
      <c r="T582">
        <v>-0.503</v>
      </c>
      <c r="U582">
        <v>0</v>
      </c>
      <c r="V582" t="b">
        <v>0</v>
      </c>
      <c r="W582" t="s">
        <v>52</v>
      </c>
    </row>
    <row r="583" spans="2:23" x14ac:dyDescent="0.3">
      <c r="B583" s="2">
        <f t="shared" si="9"/>
        <v>15.157855200000085</v>
      </c>
      <c r="C583">
        <v>3236.8331527999999</v>
      </c>
      <c r="D583">
        <v>117</v>
      </c>
      <c r="E583">
        <v>351</v>
      </c>
      <c r="F583">
        <v>105.56100000000001</v>
      </c>
      <c r="G583">
        <v>360.56299999999999</v>
      </c>
      <c r="H583">
        <v>118.0878</v>
      </c>
      <c r="I583">
        <v>346.234119999999</v>
      </c>
      <c r="J583">
        <v>322.13763828690099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163.012</v>
      </c>
      <c r="S583">
        <v>0.55900000000000005</v>
      </c>
      <c r="T583">
        <v>-0.505</v>
      </c>
      <c r="U583">
        <v>0</v>
      </c>
      <c r="V583" t="b">
        <v>0</v>
      </c>
      <c r="W583" t="s">
        <v>52</v>
      </c>
    </row>
    <row r="584" spans="2:23" x14ac:dyDescent="0.3">
      <c r="B584" s="2">
        <f t="shared" si="9"/>
        <v>15.1899856</v>
      </c>
      <c r="C584">
        <v>3236.8652831999998</v>
      </c>
      <c r="D584">
        <v>117</v>
      </c>
      <c r="E584">
        <v>351</v>
      </c>
      <c r="F584">
        <v>105.56100000000001</v>
      </c>
      <c r="G584">
        <v>360.56299999999999</v>
      </c>
      <c r="H584">
        <v>118.0878</v>
      </c>
      <c r="I584">
        <v>346.234119999999</v>
      </c>
      <c r="J584">
        <v>322.13763828690099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163.01599999999999</v>
      </c>
      <c r="S584">
        <v>0.56799999999999995</v>
      </c>
      <c r="T584">
        <v>-0.501</v>
      </c>
      <c r="U584">
        <v>0</v>
      </c>
      <c r="V584" t="b">
        <v>0</v>
      </c>
      <c r="W584" t="s">
        <v>52</v>
      </c>
    </row>
    <row r="585" spans="2:23" x14ac:dyDescent="0.3">
      <c r="B585" s="2">
        <f t="shared" si="9"/>
        <v>15.22177580000016</v>
      </c>
      <c r="C585">
        <v>3236.8970734</v>
      </c>
      <c r="D585">
        <v>117</v>
      </c>
      <c r="E585">
        <v>351</v>
      </c>
      <c r="F585">
        <v>105.56100000000001</v>
      </c>
      <c r="G585">
        <v>360.56299999999999</v>
      </c>
      <c r="H585">
        <v>118.0878</v>
      </c>
      <c r="I585">
        <v>346.234119999999</v>
      </c>
      <c r="J585">
        <v>322.13763828690099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163.01599999999999</v>
      </c>
      <c r="S585">
        <v>0.56799999999999995</v>
      </c>
      <c r="T585">
        <v>-0.501</v>
      </c>
      <c r="U585">
        <v>0</v>
      </c>
      <c r="V585" t="b">
        <v>0</v>
      </c>
      <c r="W585" t="s">
        <v>52</v>
      </c>
    </row>
    <row r="586" spans="2:23" x14ac:dyDescent="0.3">
      <c r="B586" s="2">
        <f t="shared" si="9"/>
        <v>15.253652200000033</v>
      </c>
      <c r="C586">
        <v>3236.9289497999998</v>
      </c>
      <c r="D586">
        <v>117</v>
      </c>
      <c r="E586">
        <v>351</v>
      </c>
      <c r="F586">
        <v>105.56100000000001</v>
      </c>
      <c r="G586">
        <v>360.56299999999999</v>
      </c>
      <c r="H586">
        <v>118.0878</v>
      </c>
      <c r="I586">
        <v>346.234119999999</v>
      </c>
      <c r="J586">
        <v>322.13763828690099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163.018</v>
      </c>
      <c r="S586">
        <v>0.57399999999999995</v>
      </c>
      <c r="T586">
        <v>-0.49399999999999999</v>
      </c>
      <c r="U586">
        <v>0</v>
      </c>
      <c r="V586" t="b">
        <v>0</v>
      </c>
      <c r="W586" t="s">
        <v>52</v>
      </c>
    </row>
    <row r="587" spans="2:23" x14ac:dyDescent="0.3">
      <c r="B587" s="2">
        <f t="shared" si="9"/>
        <v>15.284469600000193</v>
      </c>
      <c r="C587">
        <v>3236.9597672</v>
      </c>
      <c r="D587">
        <v>117</v>
      </c>
      <c r="E587">
        <v>351</v>
      </c>
      <c r="F587">
        <v>105.56100000000001</v>
      </c>
      <c r="G587">
        <v>360.56299999999999</v>
      </c>
      <c r="H587">
        <v>118.0878</v>
      </c>
      <c r="I587">
        <v>346.234119999999</v>
      </c>
      <c r="J587">
        <v>322.13763828690099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163.018</v>
      </c>
      <c r="S587">
        <v>0.57399999999999995</v>
      </c>
      <c r="T587">
        <v>-0.49399999999999999</v>
      </c>
      <c r="U587">
        <v>0</v>
      </c>
      <c r="V587" t="b">
        <v>0</v>
      </c>
      <c r="W587" t="s">
        <v>52</v>
      </c>
    </row>
    <row r="588" spans="2:23" x14ac:dyDescent="0.3">
      <c r="B588" s="2">
        <f t="shared" si="9"/>
        <v>15.315406300000177</v>
      </c>
      <c r="C588">
        <v>3236.9907039</v>
      </c>
      <c r="D588">
        <v>117</v>
      </c>
      <c r="E588">
        <v>351</v>
      </c>
      <c r="F588">
        <v>105.56100000000001</v>
      </c>
      <c r="G588">
        <v>360.56299999999999</v>
      </c>
      <c r="H588">
        <v>118.0878</v>
      </c>
      <c r="I588">
        <v>346.234119999999</v>
      </c>
      <c r="J588">
        <v>322.13763828690099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163.02099999999999</v>
      </c>
      <c r="S588">
        <v>0.57799999999999996</v>
      </c>
      <c r="T588">
        <v>-0.496</v>
      </c>
      <c r="U588">
        <v>0</v>
      </c>
      <c r="V588" t="b">
        <v>0</v>
      </c>
      <c r="W588" t="s">
        <v>52</v>
      </c>
    </row>
    <row r="589" spans="2:23" x14ac:dyDescent="0.3">
      <c r="B589" s="2">
        <f t="shared" si="9"/>
        <v>15.346303700000135</v>
      </c>
      <c r="C589">
        <v>3237.0216012999999</v>
      </c>
      <c r="D589">
        <v>117</v>
      </c>
      <c r="E589">
        <v>351</v>
      </c>
      <c r="F589">
        <v>105.56100000000001</v>
      </c>
      <c r="G589">
        <v>360.56299999999999</v>
      </c>
      <c r="H589">
        <v>118.0878</v>
      </c>
      <c r="I589">
        <v>346.234119999999</v>
      </c>
      <c r="J589">
        <v>322.13763828690099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163.02099999999999</v>
      </c>
      <c r="S589">
        <v>0.57799999999999996</v>
      </c>
      <c r="T589">
        <v>-0.496</v>
      </c>
      <c r="U589">
        <v>0</v>
      </c>
      <c r="V589" t="b">
        <v>0</v>
      </c>
      <c r="W589" t="s">
        <v>52</v>
      </c>
    </row>
    <row r="590" spans="2:23" x14ac:dyDescent="0.3">
      <c r="B590" s="2">
        <f t="shared" si="9"/>
        <v>15.377871300000152</v>
      </c>
      <c r="C590">
        <v>3237.0531688999999</v>
      </c>
      <c r="D590">
        <v>117</v>
      </c>
      <c r="E590">
        <v>351</v>
      </c>
      <c r="F590">
        <v>105.56100000000001</v>
      </c>
      <c r="G590">
        <v>360.56299999999999</v>
      </c>
      <c r="H590">
        <v>118.0878</v>
      </c>
      <c r="I590">
        <v>346.234119999999</v>
      </c>
      <c r="J590">
        <v>322.13763828690099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163.02099999999999</v>
      </c>
      <c r="S590">
        <v>0.57799999999999996</v>
      </c>
      <c r="T590">
        <v>-0.496</v>
      </c>
      <c r="U590">
        <v>0</v>
      </c>
      <c r="V590" t="b">
        <v>0</v>
      </c>
      <c r="W590" t="s">
        <v>52</v>
      </c>
    </row>
    <row r="591" spans="2:23" x14ac:dyDescent="0.3">
      <c r="B591" s="2">
        <f t="shared" si="9"/>
        <v>15.408933000000161</v>
      </c>
      <c r="C591">
        <v>3237.0842306</v>
      </c>
      <c r="D591">
        <v>117</v>
      </c>
      <c r="E591">
        <v>351</v>
      </c>
      <c r="F591">
        <v>105.56100000000001</v>
      </c>
      <c r="G591">
        <v>360.56299999999999</v>
      </c>
      <c r="H591">
        <v>118.0878</v>
      </c>
      <c r="I591">
        <v>346.234119999999</v>
      </c>
      <c r="J591">
        <v>322.13763828690099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163.02199999999999</v>
      </c>
      <c r="S591">
        <v>0.59299999999999997</v>
      </c>
      <c r="T591">
        <v>-0.501</v>
      </c>
      <c r="U591">
        <v>0</v>
      </c>
      <c r="V591" t="b">
        <v>0</v>
      </c>
      <c r="W591" t="s">
        <v>52</v>
      </c>
    </row>
    <row r="592" spans="2:23" x14ac:dyDescent="0.3">
      <c r="B592" s="2">
        <f t="shared" si="9"/>
        <v>15.454820200000086</v>
      </c>
      <c r="C592">
        <v>3237.1301177999999</v>
      </c>
      <c r="D592">
        <v>117</v>
      </c>
      <c r="E592">
        <v>351</v>
      </c>
      <c r="F592">
        <v>105.56100000000001</v>
      </c>
      <c r="G592">
        <v>360.56299999999999</v>
      </c>
      <c r="H592">
        <v>118.0878</v>
      </c>
      <c r="I592">
        <v>346.234119999999</v>
      </c>
      <c r="J592">
        <v>322.13763828690099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163.024</v>
      </c>
      <c r="S592">
        <v>0.60199999999999998</v>
      </c>
      <c r="T592">
        <v>-0.503</v>
      </c>
      <c r="U592">
        <v>0</v>
      </c>
      <c r="V592" t="b">
        <v>0</v>
      </c>
      <c r="W592" t="s">
        <v>52</v>
      </c>
    </row>
    <row r="593" spans="2:23" x14ac:dyDescent="0.3">
      <c r="B593" s="2">
        <f t="shared" si="9"/>
        <v>15.486155400000371</v>
      </c>
      <c r="C593">
        <v>3237.1614530000002</v>
      </c>
      <c r="D593">
        <v>117</v>
      </c>
      <c r="E593">
        <v>351</v>
      </c>
      <c r="F593">
        <v>105.56100000000001</v>
      </c>
      <c r="G593">
        <v>360.56299999999999</v>
      </c>
      <c r="H593">
        <v>118.0878</v>
      </c>
      <c r="I593">
        <v>346.234119999999</v>
      </c>
      <c r="J593">
        <v>322.13763828690099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163.024</v>
      </c>
      <c r="S593">
        <v>0.60199999999999998</v>
      </c>
      <c r="T593">
        <v>-0.503</v>
      </c>
      <c r="U593">
        <v>0</v>
      </c>
      <c r="V593" t="b">
        <v>0</v>
      </c>
      <c r="W593" t="s">
        <v>52</v>
      </c>
    </row>
    <row r="594" spans="2:23" x14ac:dyDescent="0.3">
      <c r="B594" s="2">
        <f t="shared" si="9"/>
        <v>15.518143800000416</v>
      </c>
      <c r="C594">
        <v>3237.1934414000002</v>
      </c>
      <c r="D594">
        <v>117</v>
      </c>
      <c r="E594">
        <v>351</v>
      </c>
      <c r="F594">
        <v>105.56100000000001</v>
      </c>
      <c r="G594">
        <v>360.56299999999999</v>
      </c>
      <c r="H594">
        <v>118.0878</v>
      </c>
      <c r="I594">
        <v>346.234119999999</v>
      </c>
      <c r="J594">
        <v>322.13763828690099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163.029</v>
      </c>
      <c r="S594">
        <v>0.61</v>
      </c>
      <c r="T594">
        <v>-0.50700000000000001</v>
      </c>
      <c r="U594">
        <v>0</v>
      </c>
      <c r="V594" t="b">
        <v>0</v>
      </c>
      <c r="W594" t="s">
        <v>52</v>
      </c>
    </row>
    <row r="595" spans="2:23" x14ac:dyDescent="0.3">
      <c r="B595" s="2">
        <f t="shared" si="9"/>
        <v>15.549363700000413</v>
      </c>
      <c r="C595">
        <v>3237.2246613000002</v>
      </c>
      <c r="D595">
        <v>117</v>
      </c>
      <c r="E595">
        <v>351</v>
      </c>
      <c r="F595">
        <v>105.56100000000001</v>
      </c>
      <c r="G595">
        <v>360.56299999999999</v>
      </c>
      <c r="H595">
        <v>118.0878</v>
      </c>
      <c r="I595">
        <v>346.234119999999</v>
      </c>
      <c r="J595">
        <v>322.13763828690099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163.029</v>
      </c>
      <c r="S595">
        <v>0.61</v>
      </c>
      <c r="T595">
        <v>-0.50700000000000001</v>
      </c>
      <c r="U595">
        <v>0</v>
      </c>
      <c r="V595" t="b">
        <v>0</v>
      </c>
      <c r="W595" t="s">
        <v>52</v>
      </c>
    </row>
    <row r="596" spans="2:23" x14ac:dyDescent="0.3">
      <c r="B596" s="2">
        <f t="shared" si="9"/>
        <v>15.58013340000025</v>
      </c>
      <c r="C596">
        <v>3237.255431</v>
      </c>
      <c r="D596">
        <v>117</v>
      </c>
      <c r="E596">
        <v>351</v>
      </c>
      <c r="F596">
        <v>105.56100000000001</v>
      </c>
      <c r="G596">
        <v>360.56299999999999</v>
      </c>
      <c r="H596">
        <v>118.0878</v>
      </c>
      <c r="I596">
        <v>346.234119999999</v>
      </c>
      <c r="J596">
        <v>322.13763828690099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163.03200000000001</v>
      </c>
      <c r="S596">
        <v>0.60899999999999999</v>
      </c>
      <c r="T596">
        <v>-0.502</v>
      </c>
      <c r="U596">
        <v>0</v>
      </c>
      <c r="V596" t="b">
        <v>0</v>
      </c>
      <c r="W596" t="s">
        <v>52</v>
      </c>
    </row>
    <row r="597" spans="2:23" x14ac:dyDescent="0.3">
      <c r="B597" s="2">
        <f t="shared" si="9"/>
        <v>15.610853900000166</v>
      </c>
      <c r="C597">
        <v>3237.2861515</v>
      </c>
      <c r="D597">
        <v>117</v>
      </c>
      <c r="E597">
        <v>351</v>
      </c>
      <c r="F597">
        <v>105.56100000000001</v>
      </c>
      <c r="G597">
        <v>360.56299999999999</v>
      </c>
      <c r="H597">
        <v>118.0878</v>
      </c>
      <c r="I597">
        <v>346.234119999999</v>
      </c>
      <c r="J597">
        <v>322.13763828690099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163.03200000000001</v>
      </c>
      <c r="S597">
        <v>0.60899999999999999</v>
      </c>
      <c r="T597">
        <v>-0.502</v>
      </c>
      <c r="U597">
        <v>0</v>
      </c>
      <c r="V597" t="b">
        <v>0</v>
      </c>
      <c r="W597" t="s">
        <v>52</v>
      </c>
    </row>
    <row r="598" spans="2:23" x14ac:dyDescent="0.3">
      <c r="B598" s="2">
        <f t="shared" si="9"/>
        <v>15.642530000000079</v>
      </c>
      <c r="C598">
        <v>3237.3178275999999</v>
      </c>
      <c r="D598">
        <v>117</v>
      </c>
      <c r="E598">
        <v>351</v>
      </c>
      <c r="F598">
        <v>105.56100000000001</v>
      </c>
      <c r="G598">
        <v>360.56299999999999</v>
      </c>
      <c r="H598">
        <v>118.0878</v>
      </c>
      <c r="I598">
        <v>346.234119999999</v>
      </c>
      <c r="J598">
        <v>322.13763828690099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163.036</v>
      </c>
      <c r="S598">
        <v>0.62</v>
      </c>
      <c r="T598">
        <v>-0.501</v>
      </c>
      <c r="U598">
        <v>0</v>
      </c>
      <c r="V598" t="b">
        <v>0</v>
      </c>
      <c r="W598" t="s">
        <v>52</v>
      </c>
    </row>
    <row r="599" spans="2:23" x14ac:dyDescent="0.3">
      <c r="B599" s="2">
        <f t="shared" si="9"/>
        <v>15.674575700000332</v>
      </c>
      <c r="C599">
        <v>3237.3498733000001</v>
      </c>
      <c r="D599">
        <v>117</v>
      </c>
      <c r="E599">
        <v>351</v>
      </c>
      <c r="F599">
        <v>105.56100000000001</v>
      </c>
      <c r="G599">
        <v>360.56299999999999</v>
      </c>
      <c r="H599">
        <v>118.0878</v>
      </c>
      <c r="I599">
        <v>346.234119999999</v>
      </c>
      <c r="J599">
        <v>322.13763828690099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163.036</v>
      </c>
      <c r="S599">
        <v>0.62</v>
      </c>
      <c r="T599">
        <v>-0.501</v>
      </c>
      <c r="U599">
        <v>0</v>
      </c>
      <c r="V599" t="b">
        <v>0</v>
      </c>
      <c r="W599" t="s">
        <v>52</v>
      </c>
    </row>
    <row r="600" spans="2:23" x14ac:dyDescent="0.3">
      <c r="B600" s="2">
        <f t="shared" si="9"/>
        <v>15.704907600000297</v>
      </c>
      <c r="C600">
        <v>3237.3802052000001</v>
      </c>
      <c r="D600">
        <v>117</v>
      </c>
      <c r="E600">
        <v>351</v>
      </c>
      <c r="F600">
        <v>105.56100000000001</v>
      </c>
      <c r="G600">
        <v>360.56299999999999</v>
      </c>
      <c r="H600">
        <v>118.0878</v>
      </c>
      <c r="I600">
        <v>346.234119999999</v>
      </c>
      <c r="J600">
        <v>322.13763828690099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163.03899999999999</v>
      </c>
      <c r="S600">
        <v>0.629</v>
      </c>
      <c r="T600">
        <v>-0.502</v>
      </c>
      <c r="U600">
        <v>0</v>
      </c>
      <c r="V600" t="b">
        <v>0</v>
      </c>
      <c r="W600" t="s">
        <v>52</v>
      </c>
    </row>
    <row r="601" spans="2:23" x14ac:dyDescent="0.3">
      <c r="B601" s="2">
        <f t="shared" si="9"/>
        <v>15.751919799999996</v>
      </c>
      <c r="C601">
        <v>3237.4272173999998</v>
      </c>
      <c r="D601">
        <v>117</v>
      </c>
      <c r="E601">
        <v>351</v>
      </c>
      <c r="F601">
        <v>105.56100000000001</v>
      </c>
      <c r="G601">
        <v>360.56299999999999</v>
      </c>
      <c r="H601">
        <v>118.0878</v>
      </c>
      <c r="I601">
        <v>346.234119999999</v>
      </c>
      <c r="J601">
        <v>322.13763828690099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163.042</v>
      </c>
      <c r="S601">
        <v>0.64300000000000002</v>
      </c>
      <c r="T601">
        <v>-0.50700000000000001</v>
      </c>
      <c r="U601">
        <v>0</v>
      </c>
      <c r="V601" t="b">
        <v>0</v>
      </c>
      <c r="W601" t="s">
        <v>52</v>
      </c>
    </row>
    <row r="602" spans="2:23" x14ac:dyDescent="0.3">
      <c r="B602" s="2">
        <f t="shared" si="9"/>
        <v>15.814429200000177</v>
      </c>
      <c r="C602">
        <v>3237.4897268</v>
      </c>
      <c r="D602">
        <v>117</v>
      </c>
      <c r="E602">
        <v>351</v>
      </c>
      <c r="F602">
        <v>105.56100000000001</v>
      </c>
      <c r="G602">
        <v>360.56299999999999</v>
      </c>
      <c r="H602">
        <v>118.0878</v>
      </c>
      <c r="I602">
        <v>346.234119999999</v>
      </c>
      <c r="J602">
        <v>322.13763828690099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163.042</v>
      </c>
      <c r="S602">
        <v>0.64300000000000002</v>
      </c>
      <c r="T602">
        <v>-0.50700000000000001</v>
      </c>
      <c r="U602">
        <v>0</v>
      </c>
      <c r="V602" t="b">
        <v>0</v>
      </c>
      <c r="W602" t="s">
        <v>52</v>
      </c>
    </row>
    <row r="603" spans="2:23" x14ac:dyDescent="0.3">
      <c r="B603" s="2">
        <f t="shared" si="9"/>
        <v>15.829957200000081</v>
      </c>
      <c r="C603">
        <v>3237.5052547999999</v>
      </c>
      <c r="D603">
        <v>117</v>
      </c>
      <c r="E603">
        <v>351</v>
      </c>
      <c r="F603">
        <v>105.56100000000001</v>
      </c>
      <c r="G603">
        <v>360.56299999999999</v>
      </c>
      <c r="H603">
        <v>118.0878</v>
      </c>
      <c r="I603">
        <v>346.234119999999</v>
      </c>
      <c r="J603">
        <v>322.13763828690099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163.042</v>
      </c>
      <c r="S603">
        <v>0.64300000000000002</v>
      </c>
      <c r="T603">
        <v>-0.50700000000000001</v>
      </c>
      <c r="U603">
        <v>0</v>
      </c>
      <c r="V603" t="b">
        <v>0</v>
      </c>
      <c r="W603" t="s">
        <v>52</v>
      </c>
    </row>
    <row r="604" spans="2:23" x14ac:dyDescent="0.3">
      <c r="B604" s="2">
        <f t="shared" si="9"/>
        <v>15.845246800000041</v>
      </c>
      <c r="C604">
        <v>3237.5205443999998</v>
      </c>
      <c r="D604">
        <v>117</v>
      </c>
      <c r="E604">
        <v>351</v>
      </c>
      <c r="F604">
        <v>105.56100000000001</v>
      </c>
      <c r="G604">
        <v>360.56299999999999</v>
      </c>
      <c r="H604">
        <v>118.0878</v>
      </c>
      <c r="I604">
        <v>346.234119999999</v>
      </c>
      <c r="J604">
        <v>322.13763828690099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163.04599999999999</v>
      </c>
      <c r="S604">
        <v>0.64300000000000002</v>
      </c>
      <c r="T604">
        <v>-0.504</v>
      </c>
      <c r="U604">
        <v>0</v>
      </c>
      <c r="V604" t="b">
        <v>0</v>
      </c>
      <c r="W604" t="s">
        <v>52</v>
      </c>
    </row>
    <row r="605" spans="2:23" x14ac:dyDescent="0.3">
      <c r="B605" s="2">
        <f t="shared" si="9"/>
        <v>15.876052500000242</v>
      </c>
      <c r="C605">
        <v>3237.5513501</v>
      </c>
      <c r="D605">
        <v>117</v>
      </c>
      <c r="E605">
        <v>351</v>
      </c>
      <c r="F605">
        <v>105.56100000000001</v>
      </c>
      <c r="G605">
        <v>360.56299999999999</v>
      </c>
      <c r="H605">
        <v>118.0878</v>
      </c>
      <c r="I605">
        <v>346.234119999999</v>
      </c>
      <c r="J605">
        <v>322.13763828690099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163.04599999999999</v>
      </c>
      <c r="S605">
        <v>0.64300000000000002</v>
      </c>
      <c r="T605">
        <v>-0.504</v>
      </c>
      <c r="U605">
        <v>0</v>
      </c>
      <c r="V605" t="b">
        <v>0</v>
      </c>
      <c r="W605" t="s">
        <v>52</v>
      </c>
    </row>
    <row r="606" spans="2:23" x14ac:dyDescent="0.3">
      <c r="B606" s="2">
        <f t="shared" si="9"/>
        <v>15.906010300000162</v>
      </c>
      <c r="C606">
        <v>3237.5813079</v>
      </c>
      <c r="D606">
        <v>117</v>
      </c>
      <c r="E606">
        <v>351</v>
      </c>
      <c r="F606">
        <v>105.56100000000001</v>
      </c>
      <c r="G606">
        <v>360.56299999999999</v>
      </c>
      <c r="H606">
        <v>118.0878</v>
      </c>
      <c r="I606">
        <v>346.234119999999</v>
      </c>
      <c r="J606">
        <v>322.13763828690099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163.048</v>
      </c>
      <c r="S606">
        <v>0.64200000000000002</v>
      </c>
      <c r="T606">
        <v>-0.50800000000000001</v>
      </c>
      <c r="U606">
        <v>0</v>
      </c>
      <c r="V606" t="b">
        <v>0</v>
      </c>
      <c r="W606" t="s">
        <v>52</v>
      </c>
    </row>
    <row r="607" spans="2:23" x14ac:dyDescent="0.3">
      <c r="B607" s="2">
        <f t="shared" si="9"/>
        <v>15.936195800000405</v>
      </c>
      <c r="C607">
        <v>3237.6114934000002</v>
      </c>
      <c r="D607">
        <v>117</v>
      </c>
      <c r="E607">
        <v>351</v>
      </c>
      <c r="F607">
        <v>105.56100000000001</v>
      </c>
      <c r="G607">
        <v>360.56299999999999</v>
      </c>
      <c r="H607">
        <v>118.0878</v>
      </c>
      <c r="I607">
        <v>346.234119999999</v>
      </c>
      <c r="J607">
        <v>322.13763828690099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163.048</v>
      </c>
      <c r="S607">
        <v>0.64200000000000002</v>
      </c>
      <c r="T607">
        <v>-0.50800000000000001</v>
      </c>
      <c r="U607">
        <v>0</v>
      </c>
      <c r="V607" t="b">
        <v>0</v>
      </c>
      <c r="W607" t="s">
        <v>52</v>
      </c>
    </row>
    <row r="608" spans="2:23" x14ac:dyDescent="0.3">
      <c r="B608" s="2">
        <f t="shared" si="9"/>
        <v>15.967200600000069</v>
      </c>
      <c r="C608">
        <v>3237.6424981999999</v>
      </c>
      <c r="D608">
        <v>117</v>
      </c>
      <c r="E608">
        <v>351</v>
      </c>
      <c r="F608">
        <v>105.56100000000001</v>
      </c>
      <c r="G608">
        <v>360.56299999999999</v>
      </c>
      <c r="H608">
        <v>118.0878</v>
      </c>
      <c r="I608">
        <v>346.234119999999</v>
      </c>
      <c r="J608">
        <v>322.13763828690099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163.048</v>
      </c>
      <c r="S608">
        <v>0.64200000000000002</v>
      </c>
      <c r="T608">
        <v>-0.50800000000000001</v>
      </c>
      <c r="U608">
        <v>0</v>
      </c>
      <c r="V608" t="b">
        <v>0</v>
      </c>
      <c r="W608" t="s">
        <v>52</v>
      </c>
    </row>
    <row r="609" spans="2:23" x14ac:dyDescent="0.3">
      <c r="B609" s="2">
        <f t="shared" si="9"/>
        <v>15.9984872</v>
      </c>
      <c r="C609">
        <v>3237.6737847999998</v>
      </c>
      <c r="D609">
        <v>117</v>
      </c>
      <c r="E609">
        <v>351</v>
      </c>
      <c r="F609">
        <v>105.56100000000001</v>
      </c>
      <c r="G609">
        <v>360.56299999999999</v>
      </c>
      <c r="H609">
        <v>118.0878</v>
      </c>
      <c r="I609">
        <v>346.234119999999</v>
      </c>
      <c r="J609">
        <v>322.13763828690099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163.05099999999999</v>
      </c>
      <c r="S609">
        <v>0.64900000000000002</v>
      </c>
      <c r="T609">
        <v>-0.50700000000000001</v>
      </c>
      <c r="U609">
        <v>0</v>
      </c>
      <c r="V609" t="b">
        <v>0</v>
      </c>
      <c r="W609" t="s">
        <v>52</v>
      </c>
    </row>
    <row r="610" spans="2:23" x14ac:dyDescent="0.3">
      <c r="B610" s="2">
        <f t="shared" si="9"/>
        <v>16.029870600000322</v>
      </c>
      <c r="C610">
        <v>3237.7051682000001</v>
      </c>
      <c r="D610">
        <v>117</v>
      </c>
      <c r="E610">
        <v>351</v>
      </c>
      <c r="F610">
        <v>105.56100000000001</v>
      </c>
      <c r="G610">
        <v>360.56299999999999</v>
      </c>
      <c r="H610">
        <v>118.0878</v>
      </c>
      <c r="I610">
        <v>346.234119999999</v>
      </c>
      <c r="J610">
        <v>322.13763828690099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163.05500000000001</v>
      </c>
      <c r="S610">
        <v>0.66</v>
      </c>
      <c r="T610">
        <v>-0.503</v>
      </c>
      <c r="U610">
        <v>0</v>
      </c>
      <c r="V610" t="b">
        <v>0</v>
      </c>
      <c r="W610" t="s">
        <v>52</v>
      </c>
    </row>
    <row r="611" spans="2:23" x14ac:dyDescent="0.3">
      <c r="B611" s="2">
        <f t="shared" si="9"/>
        <v>16.076247700000295</v>
      </c>
      <c r="C611">
        <v>3237.7515453000001</v>
      </c>
      <c r="D611">
        <v>117</v>
      </c>
      <c r="E611">
        <v>351</v>
      </c>
      <c r="F611">
        <v>105.56100000000001</v>
      </c>
      <c r="G611">
        <v>360.56299999999999</v>
      </c>
      <c r="H611">
        <v>118.0878</v>
      </c>
      <c r="I611">
        <v>346.234119999999</v>
      </c>
      <c r="J611">
        <v>322.13763828690099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163.05500000000001</v>
      </c>
      <c r="S611">
        <v>0.66</v>
      </c>
      <c r="T611">
        <v>-0.503</v>
      </c>
      <c r="U611">
        <v>0</v>
      </c>
      <c r="V611" t="b">
        <v>0</v>
      </c>
      <c r="W611" t="s">
        <v>52</v>
      </c>
    </row>
    <row r="612" spans="2:23" x14ac:dyDescent="0.3">
      <c r="B612" s="2">
        <f t="shared" si="9"/>
        <v>16.107167600000139</v>
      </c>
      <c r="C612">
        <v>3237.7824651999999</v>
      </c>
      <c r="D612">
        <v>117</v>
      </c>
      <c r="E612">
        <v>351</v>
      </c>
      <c r="F612">
        <v>105.56100000000001</v>
      </c>
      <c r="G612">
        <v>360.56299999999999</v>
      </c>
      <c r="H612">
        <v>118.0878</v>
      </c>
      <c r="I612">
        <v>346.234119999999</v>
      </c>
      <c r="J612">
        <v>322.13763828690099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163.05799999999999</v>
      </c>
      <c r="S612">
        <v>0.66600000000000004</v>
      </c>
      <c r="T612">
        <v>-0.50800000000000001</v>
      </c>
      <c r="U612">
        <v>0</v>
      </c>
      <c r="V612" t="b">
        <v>0</v>
      </c>
      <c r="W612" t="s">
        <v>52</v>
      </c>
    </row>
    <row r="613" spans="2:23" x14ac:dyDescent="0.3">
      <c r="B613" s="2">
        <f t="shared" si="9"/>
        <v>16.137708600000224</v>
      </c>
      <c r="C613">
        <v>3237.8130062</v>
      </c>
      <c r="D613">
        <v>117</v>
      </c>
      <c r="E613">
        <v>351</v>
      </c>
      <c r="F613">
        <v>105.56100000000001</v>
      </c>
      <c r="G613">
        <v>360.56299999999999</v>
      </c>
      <c r="H613">
        <v>118.0878</v>
      </c>
      <c r="I613">
        <v>346.234119999999</v>
      </c>
      <c r="J613">
        <v>322.13763828690099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163.05799999999999</v>
      </c>
      <c r="S613">
        <v>0.66600000000000004</v>
      </c>
      <c r="T613">
        <v>-0.50800000000000001</v>
      </c>
      <c r="U613">
        <v>0</v>
      </c>
      <c r="V613" t="b">
        <v>0</v>
      </c>
      <c r="W613" t="s">
        <v>52</v>
      </c>
    </row>
    <row r="614" spans="2:23" x14ac:dyDescent="0.3">
      <c r="B614" s="2">
        <f t="shared" si="9"/>
        <v>16.168693200000234</v>
      </c>
      <c r="C614">
        <v>3237.8439908</v>
      </c>
      <c r="D614">
        <v>117</v>
      </c>
      <c r="E614">
        <v>351</v>
      </c>
      <c r="F614">
        <v>105.56100000000001</v>
      </c>
      <c r="G614">
        <v>360.56299999999999</v>
      </c>
      <c r="H614">
        <v>118.0878</v>
      </c>
      <c r="I614">
        <v>346.234119999999</v>
      </c>
      <c r="J614">
        <v>322.13763828690099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163.06299999999999</v>
      </c>
      <c r="S614">
        <v>0.66500000000000004</v>
      </c>
      <c r="T614">
        <v>-0.501</v>
      </c>
      <c r="U614">
        <v>0</v>
      </c>
      <c r="V614" t="b">
        <v>0</v>
      </c>
      <c r="W614" t="s">
        <v>52</v>
      </c>
    </row>
    <row r="615" spans="2:23" x14ac:dyDescent="0.3">
      <c r="B615" s="2">
        <f t="shared" si="9"/>
        <v>16.21624810000003</v>
      </c>
      <c r="C615">
        <v>3237.8915456999998</v>
      </c>
      <c r="D615">
        <v>117</v>
      </c>
      <c r="E615">
        <v>351</v>
      </c>
      <c r="F615">
        <v>105.56100000000001</v>
      </c>
      <c r="G615">
        <v>360.56299999999999</v>
      </c>
      <c r="H615">
        <v>118.0878</v>
      </c>
      <c r="I615">
        <v>346.234119999999</v>
      </c>
      <c r="J615">
        <v>322.13763828690099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163.06299999999999</v>
      </c>
      <c r="S615">
        <v>0.66500000000000004</v>
      </c>
      <c r="T615">
        <v>-0.501</v>
      </c>
      <c r="U615">
        <v>0</v>
      </c>
      <c r="V615" t="b">
        <v>0</v>
      </c>
      <c r="W615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7E05E4-86D9-40DF-8CAA-D9C1B519D4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Rekap</vt:lpstr>
      <vt:lpstr>Maju 0.05</vt:lpstr>
      <vt:lpstr>Maju 0.1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Yosep Putra Setiyanto</dc:creator>
  <cp:lastModifiedBy>Yosep Putra Setiyanto</cp:lastModifiedBy>
  <dcterms:created xsi:type="dcterms:W3CDTF">2024-07-08T07:26:35Z</dcterms:created>
  <dcterms:modified xsi:type="dcterms:W3CDTF">2024-08-20T23:36:53Z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2024-07-08T07:26:36Z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1e103da9-4f9a-465a-ac48-ee2dfeb11a9b</vt:lpwstr>
  </property>
  <property fmtid="{D5CDD505-2E9C-101B-9397-08002B2CF9AE}" pid="8" name="MSIP_Label_38b525e5-f3da-4501-8f1e-526b6769fc56_ContentBits">
    <vt:lpwstr>0</vt:lpwstr>
  </property>
</Properties>
</file>